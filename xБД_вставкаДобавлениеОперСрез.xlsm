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ythonPrj\VBA\"/>
    </mc:Choice>
  </mc:AlternateContent>
  <xr:revisionPtr revIDLastSave="0" documentId="13_ncr:1_{39BE5D62-B38C-4F76-8355-2F32B4069FB4}" xr6:coauthVersionLast="47" xr6:coauthVersionMax="47" xr10:uidLastSave="{00000000-0000-0000-0000-000000000000}"/>
  <bookViews>
    <workbookView xWindow="1065" yWindow="-120" windowWidth="27855" windowHeight="16440" tabRatio="430" xr2:uid="{00000000-000D-0000-FFFF-FFFF00000000}"/>
  </bookViews>
  <sheets>
    <sheet name="In" sheetId="2" r:id="rId1"/>
    <sheet name="Лист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32" i="2" l="1"/>
  <c r="I732" i="2"/>
  <c r="K731" i="2"/>
  <c r="I731" i="2"/>
  <c r="K730" i="2"/>
  <c r="I730" i="2"/>
  <c r="K729" i="2"/>
  <c r="I729" i="2"/>
  <c r="K728" i="2"/>
  <c r="I728" i="2"/>
  <c r="K727" i="2"/>
  <c r="I727" i="2"/>
  <c r="K726" i="2"/>
  <c r="I726" i="2"/>
  <c r="K725" i="2"/>
  <c r="I725" i="2"/>
  <c r="K724" i="2"/>
  <c r="I724" i="2"/>
  <c r="K723" i="2"/>
  <c r="I723" i="2"/>
  <c r="K722" i="2"/>
  <c r="I722" i="2"/>
  <c r="K721" i="2"/>
  <c r="I721" i="2"/>
  <c r="K720" i="2"/>
  <c r="I720" i="2"/>
  <c r="K719" i="2"/>
  <c r="I719" i="2"/>
  <c r="K718" i="2"/>
  <c r="I718" i="2"/>
  <c r="K717" i="2"/>
  <c r="I717" i="2"/>
  <c r="K716" i="2"/>
  <c r="I716" i="2"/>
  <c r="K715" i="2"/>
  <c r="I715" i="2"/>
  <c r="K714" i="2"/>
  <c r="I714" i="2"/>
  <c r="K713" i="2"/>
  <c r="I713" i="2"/>
  <c r="K712" i="2"/>
  <c r="I712" i="2"/>
  <c r="K711" i="2"/>
  <c r="I711" i="2"/>
  <c r="K710" i="2"/>
  <c r="I710" i="2"/>
  <c r="K709" i="2"/>
  <c r="I709" i="2"/>
  <c r="K708" i="2"/>
  <c r="I708" i="2"/>
  <c r="K707" i="2"/>
  <c r="I707" i="2"/>
  <c r="K706" i="2"/>
  <c r="I706" i="2"/>
  <c r="K705" i="2"/>
  <c r="I705" i="2"/>
  <c r="K704" i="2"/>
  <c r="I704" i="2"/>
  <c r="K703" i="2"/>
  <c r="I703" i="2"/>
  <c r="K702" i="2"/>
  <c r="I702" i="2"/>
  <c r="K701" i="2"/>
  <c r="I701" i="2"/>
  <c r="K700" i="2"/>
  <c r="I700" i="2"/>
  <c r="K699" i="2"/>
  <c r="I699" i="2"/>
  <c r="K698" i="2"/>
  <c r="I698" i="2"/>
  <c r="K697" i="2"/>
  <c r="I697" i="2"/>
  <c r="K696" i="2"/>
  <c r="I696" i="2"/>
  <c r="K695" i="2"/>
  <c r="I695" i="2"/>
  <c r="K694" i="2"/>
  <c r="I694" i="2"/>
  <c r="K693" i="2"/>
  <c r="I693" i="2"/>
  <c r="K692" i="2"/>
  <c r="I692" i="2"/>
  <c r="K691" i="2"/>
  <c r="I691" i="2"/>
  <c r="K690" i="2"/>
  <c r="I690" i="2"/>
  <c r="K689" i="2"/>
  <c r="I689" i="2"/>
  <c r="K688" i="2"/>
  <c r="I688" i="2"/>
  <c r="K687" i="2"/>
  <c r="I687" i="2"/>
  <c r="K686" i="2"/>
  <c r="I686" i="2"/>
  <c r="K685" i="2"/>
  <c r="I685" i="2"/>
  <c r="K684" i="2"/>
  <c r="I684" i="2"/>
  <c r="K683" i="2"/>
  <c r="I683" i="2"/>
  <c r="K682" i="2"/>
  <c r="I682" i="2"/>
  <c r="K681" i="2"/>
  <c r="I681" i="2"/>
  <c r="K680" i="2"/>
  <c r="I680" i="2"/>
  <c r="K679" i="2"/>
  <c r="I679" i="2"/>
  <c r="K678" i="2"/>
  <c r="I678" i="2"/>
  <c r="K677" i="2"/>
  <c r="I677" i="2"/>
  <c r="K676" i="2"/>
  <c r="I676" i="2"/>
  <c r="K675" i="2"/>
  <c r="I675" i="2"/>
  <c r="K674" i="2"/>
  <c r="I674" i="2"/>
  <c r="K673" i="2"/>
  <c r="I673" i="2"/>
  <c r="K672" i="2"/>
  <c r="I672" i="2"/>
  <c r="K671" i="2"/>
  <c r="I671" i="2"/>
  <c r="K670" i="2"/>
  <c r="I670" i="2"/>
  <c r="K669" i="2"/>
  <c r="I669" i="2"/>
  <c r="K668" i="2"/>
  <c r="I668" i="2"/>
  <c r="K667" i="2"/>
  <c r="I667" i="2"/>
  <c r="K666" i="2"/>
  <c r="I666" i="2"/>
  <c r="K665" i="2"/>
  <c r="I665" i="2"/>
  <c r="K664" i="2"/>
  <c r="I664" i="2"/>
  <c r="K663" i="2"/>
  <c r="I663" i="2"/>
  <c r="K662" i="2"/>
  <c r="I662" i="2"/>
  <c r="K661" i="2"/>
  <c r="I661" i="2"/>
  <c r="K660" i="2"/>
  <c r="I660" i="2"/>
  <c r="K659" i="2"/>
  <c r="I659" i="2"/>
  <c r="K658" i="2"/>
  <c r="I658" i="2"/>
  <c r="K657" i="2"/>
  <c r="I657" i="2"/>
  <c r="K656" i="2"/>
  <c r="I656" i="2"/>
  <c r="K655" i="2"/>
  <c r="I655" i="2"/>
  <c r="K654" i="2"/>
  <c r="I654" i="2"/>
  <c r="K653" i="2"/>
  <c r="I653" i="2"/>
  <c r="K652" i="2"/>
  <c r="I652" i="2"/>
  <c r="K651" i="2"/>
  <c r="I651" i="2"/>
  <c r="K650" i="2"/>
  <c r="I650" i="2"/>
  <c r="K649" i="2"/>
  <c r="I649" i="2"/>
  <c r="K648" i="2"/>
  <c r="I648" i="2"/>
  <c r="K647" i="2"/>
  <c r="I647" i="2"/>
  <c r="K646" i="2"/>
  <c r="I646" i="2"/>
  <c r="K645" i="2"/>
  <c r="I645" i="2"/>
  <c r="K644" i="2"/>
  <c r="I644" i="2"/>
  <c r="K643" i="2"/>
  <c r="I643" i="2"/>
  <c r="K642" i="2"/>
  <c r="I642" i="2"/>
  <c r="K641" i="2"/>
  <c r="I641" i="2"/>
  <c r="K640" i="2"/>
  <c r="I640" i="2"/>
  <c r="K639" i="2"/>
  <c r="I639" i="2"/>
  <c r="K638" i="2"/>
  <c r="I638" i="2"/>
  <c r="K637" i="2"/>
  <c r="I637" i="2"/>
  <c r="K636" i="2"/>
  <c r="I636" i="2"/>
  <c r="K635" i="2"/>
  <c r="I635" i="2"/>
  <c r="K634" i="2"/>
  <c r="I634" i="2"/>
  <c r="K633" i="2"/>
  <c r="I633" i="2"/>
  <c r="K632" i="2"/>
  <c r="I632" i="2"/>
  <c r="K631" i="2"/>
  <c r="I631" i="2"/>
  <c r="K630" i="2"/>
  <c r="I630" i="2"/>
  <c r="K629" i="2"/>
  <c r="I629" i="2"/>
  <c r="K628" i="2"/>
  <c r="I628" i="2"/>
  <c r="K627" i="2"/>
  <c r="I627" i="2"/>
  <c r="K626" i="2"/>
  <c r="I626" i="2"/>
  <c r="K625" i="2"/>
  <c r="I625" i="2"/>
  <c r="K624" i="2"/>
  <c r="I624" i="2"/>
  <c r="K623" i="2"/>
  <c r="I623" i="2"/>
  <c r="K622" i="2"/>
  <c r="I622" i="2"/>
  <c r="K621" i="2"/>
  <c r="I621" i="2"/>
  <c r="K620" i="2"/>
  <c r="I620" i="2"/>
  <c r="K619" i="2"/>
  <c r="I619" i="2"/>
  <c r="K618" i="2"/>
  <c r="I618" i="2"/>
  <c r="K617" i="2"/>
  <c r="I617" i="2"/>
  <c r="K616" i="2"/>
  <c r="I616" i="2"/>
  <c r="K615" i="2"/>
  <c r="I615" i="2"/>
  <c r="K614" i="2"/>
  <c r="I614" i="2"/>
  <c r="K613" i="2"/>
  <c r="I613" i="2"/>
  <c r="K612" i="2"/>
  <c r="I612" i="2"/>
  <c r="K611" i="2"/>
  <c r="I611" i="2"/>
  <c r="K610" i="2"/>
  <c r="I610" i="2"/>
  <c r="K609" i="2"/>
  <c r="I609" i="2"/>
  <c r="K608" i="2"/>
  <c r="I608" i="2"/>
  <c r="K607" i="2"/>
  <c r="I607" i="2"/>
  <c r="K606" i="2"/>
  <c r="I606" i="2"/>
  <c r="K605" i="2"/>
  <c r="I605" i="2"/>
  <c r="K604" i="2"/>
  <c r="I604" i="2"/>
  <c r="K603" i="2"/>
  <c r="I603" i="2"/>
  <c r="K602" i="2"/>
  <c r="I602" i="2"/>
  <c r="K601" i="2"/>
  <c r="I601" i="2"/>
  <c r="K600" i="2"/>
  <c r="I600" i="2"/>
  <c r="K599" i="2"/>
  <c r="I599" i="2"/>
  <c r="K598" i="2"/>
  <c r="I598" i="2"/>
  <c r="K597" i="2"/>
  <c r="I597" i="2"/>
  <c r="K596" i="2"/>
  <c r="I596" i="2"/>
  <c r="K595" i="2"/>
  <c r="I595" i="2"/>
  <c r="K594" i="2"/>
  <c r="I594" i="2"/>
  <c r="K593" i="2"/>
  <c r="I593" i="2"/>
  <c r="K592" i="2"/>
  <c r="I592" i="2"/>
  <c r="K591" i="2"/>
  <c r="I591" i="2"/>
  <c r="K590" i="2"/>
  <c r="I590" i="2"/>
  <c r="K589" i="2"/>
  <c r="I589" i="2"/>
  <c r="K588" i="2"/>
  <c r="I588" i="2"/>
  <c r="K587" i="2"/>
  <c r="I587" i="2"/>
  <c r="K586" i="2"/>
  <c r="I586" i="2"/>
  <c r="K585" i="2"/>
  <c r="I585" i="2"/>
  <c r="K584" i="2"/>
  <c r="I584" i="2"/>
  <c r="K583" i="2"/>
  <c r="I583" i="2"/>
  <c r="K582" i="2"/>
  <c r="I582" i="2"/>
  <c r="K581" i="2"/>
  <c r="I581" i="2"/>
  <c r="K580" i="2"/>
  <c r="I580" i="2"/>
  <c r="K579" i="2"/>
  <c r="I579" i="2"/>
  <c r="K578" i="2"/>
  <c r="I578" i="2"/>
  <c r="K577" i="2"/>
  <c r="I577" i="2"/>
  <c r="K576" i="2"/>
  <c r="I576" i="2"/>
  <c r="K575" i="2"/>
  <c r="I575" i="2"/>
  <c r="K574" i="2"/>
  <c r="I574" i="2"/>
  <c r="K573" i="2"/>
  <c r="I573" i="2"/>
  <c r="K572" i="2"/>
  <c r="I572" i="2"/>
  <c r="K571" i="2"/>
  <c r="I571" i="2"/>
  <c r="K570" i="2"/>
  <c r="I570" i="2"/>
  <c r="K569" i="2"/>
  <c r="I569" i="2"/>
  <c r="K568" i="2"/>
  <c r="I568" i="2"/>
  <c r="K567" i="2"/>
  <c r="I567" i="2"/>
  <c r="K566" i="2"/>
  <c r="I566" i="2"/>
  <c r="K565" i="2"/>
  <c r="I565" i="2"/>
  <c r="K564" i="2"/>
  <c r="I564" i="2"/>
  <c r="K563" i="2"/>
  <c r="I563" i="2"/>
  <c r="K562" i="2"/>
  <c r="I562" i="2"/>
  <c r="K561" i="2"/>
  <c r="I561" i="2"/>
  <c r="K560" i="2"/>
  <c r="I560" i="2"/>
  <c r="K559" i="2"/>
  <c r="I559" i="2"/>
  <c r="K558" i="2"/>
  <c r="I558" i="2"/>
  <c r="K557" i="2"/>
  <c r="I557" i="2"/>
  <c r="K556" i="2"/>
  <c r="I556" i="2"/>
  <c r="K555" i="2"/>
  <c r="I555" i="2"/>
  <c r="K554" i="2"/>
  <c r="I554" i="2"/>
  <c r="K553" i="2"/>
  <c r="I553" i="2"/>
  <c r="K552" i="2"/>
  <c r="I552" i="2"/>
  <c r="K551" i="2"/>
  <c r="I551" i="2"/>
  <c r="K550" i="2"/>
  <c r="I550" i="2"/>
  <c r="K549" i="2"/>
  <c r="I549" i="2"/>
  <c r="K548" i="2"/>
  <c r="I548" i="2"/>
  <c r="K547" i="2"/>
  <c r="I547" i="2"/>
  <c r="K546" i="2"/>
  <c r="I546" i="2"/>
  <c r="K545" i="2"/>
  <c r="I545" i="2"/>
  <c r="K544" i="2"/>
  <c r="I544" i="2"/>
  <c r="K543" i="2"/>
  <c r="I543" i="2"/>
  <c r="K542" i="2"/>
  <c r="I542" i="2"/>
  <c r="K541" i="2"/>
  <c r="I541" i="2"/>
  <c r="K540" i="2"/>
  <c r="I540" i="2"/>
  <c r="K539" i="2"/>
  <c r="I539" i="2"/>
  <c r="K538" i="2"/>
  <c r="I538" i="2"/>
  <c r="K537" i="2"/>
  <c r="I537" i="2"/>
  <c r="K536" i="2"/>
  <c r="I536" i="2"/>
  <c r="K535" i="2"/>
  <c r="I535" i="2"/>
  <c r="K534" i="2"/>
  <c r="I534" i="2"/>
  <c r="K533" i="2"/>
  <c r="I533" i="2"/>
  <c r="K532" i="2"/>
  <c r="I532" i="2"/>
  <c r="K531" i="2"/>
  <c r="I531" i="2"/>
  <c r="K530" i="2"/>
  <c r="I530" i="2"/>
  <c r="K529" i="2"/>
  <c r="I529" i="2"/>
  <c r="K528" i="2"/>
  <c r="I528" i="2"/>
  <c r="K527" i="2"/>
  <c r="I527" i="2"/>
  <c r="K526" i="2"/>
  <c r="I526" i="2"/>
  <c r="K525" i="2"/>
  <c r="I525" i="2"/>
  <c r="K524" i="2"/>
  <c r="I524" i="2"/>
  <c r="K523" i="2"/>
  <c r="I523" i="2"/>
  <c r="K522" i="2"/>
  <c r="I522" i="2"/>
  <c r="K521" i="2"/>
  <c r="I521" i="2"/>
  <c r="K520" i="2"/>
  <c r="I520" i="2"/>
  <c r="K519" i="2"/>
  <c r="I519" i="2"/>
  <c r="K518" i="2"/>
  <c r="I518" i="2"/>
  <c r="K517" i="2"/>
  <c r="I517" i="2"/>
  <c r="K516" i="2"/>
  <c r="I516" i="2"/>
  <c r="K515" i="2"/>
  <c r="I515" i="2"/>
  <c r="K514" i="2"/>
  <c r="I514" i="2"/>
  <c r="K513" i="2"/>
  <c r="I513" i="2"/>
  <c r="K512" i="2"/>
  <c r="I512" i="2"/>
  <c r="K511" i="2"/>
  <c r="I511" i="2"/>
  <c r="K510" i="2"/>
  <c r="I510" i="2"/>
  <c r="K509" i="2"/>
  <c r="I509" i="2"/>
  <c r="K508" i="2"/>
  <c r="I508" i="2"/>
  <c r="K507" i="2"/>
  <c r="I507" i="2"/>
  <c r="K506" i="2"/>
  <c r="I506" i="2"/>
  <c r="K505" i="2"/>
  <c r="I505" i="2"/>
  <c r="K504" i="2"/>
  <c r="I504" i="2"/>
  <c r="K503" i="2"/>
  <c r="I503" i="2"/>
  <c r="K502" i="2"/>
  <c r="I502" i="2"/>
  <c r="K501" i="2"/>
  <c r="I501" i="2"/>
  <c r="K500" i="2"/>
  <c r="I500" i="2"/>
  <c r="K499" i="2"/>
  <c r="I499" i="2"/>
  <c r="K498" i="2"/>
  <c r="I498" i="2"/>
  <c r="K497" i="2"/>
  <c r="I497" i="2"/>
  <c r="K496" i="2"/>
  <c r="I496" i="2"/>
  <c r="K495" i="2"/>
  <c r="I495" i="2"/>
  <c r="K494" i="2"/>
  <c r="I494" i="2"/>
  <c r="K493" i="2"/>
  <c r="I493" i="2"/>
  <c r="K492" i="2"/>
  <c r="I492" i="2"/>
  <c r="K491" i="2"/>
  <c r="I491" i="2"/>
  <c r="K490" i="2"/>
  <c r="I490" i="2"/>
  <c r="K489" i="2"/>
  <c r="I489" i="2"/>
  <c r="K488" i="2"/>
  <c r="I488" i="2"/>
  <c r="K487" i="2"/>
  <c r="I487" i="2"/>
  <c r="K486" i="2"/>
  <c r="I486" i="2"/>
  <c r="K485" i="2"/>
  <c r="I485" i="2"/>
  <c r="K484" i="2"/>
  <c r="I484" i="2"/>
  <c r="K483" i="2"/>
  <c r="I483" i="2"/>
  <c r="K482" i="2"/>
  <c r="I482" i="2"/>
  <c r="K481" i="2"/>
  <c r="I481" i="2"/>
  <c r="K480" i="2"/>
  <c r="I480" i="2"/>
  <c r="K479" i="2"/>
  <c r="I479" i="2"/>
  <c r="K478" i="2"/>
  <c r="I478" i="2"/>
  <c r="K477" i="2"/>
  <c r="I477" i="2"/>
  <c r="K476" i="2"/>
  <c r="I476" i="2"/>
  <c r="K475" i="2"/>
  <c r="I475" i="2"/>
  <c r="K474" i="2"/>
  <c r="I474" i="2"/>
  <c r="K473" i="2"/>
  <c r="I473" i="2"/>
  <c r="K472" i="2"/>
  <c r="I472" i="2"/>
  <c r="K471" i="2"/>
  <c r="I471" i="2"/>
  <c r="K470" i="2"/>
  <c r="I470" i="2"/>
  <c r="K469" i="2"/>
  <c r="I469" i="2"/>
  <c r="K468" i="2"/>
  <c r="I468" i="2"/>
  <c r="K467" i="2"/>
  <c r="I467" i="2"/>
  <c r="K466" i="2"/>
  <c r="I466" i="2"/>
  <c r="K465" i="2"/>
  <c r="I465" i="2"/>
  <c r="K464" i="2"/>
  <c r="I464" i="2"/>
  <c r="K463" i="2"/>
  <c r="I463" i="2"/>
  <c r="K462" i="2"/>
  <c r="I462" i="2"/>
  <c r="K461" i="2"/>
  <c r="I461" i="2"/>
  <c r="K460" i="2"/>
  <c r="I460" i="2"/>
  <c r="K459" i="2"/>
  <c r="I459" i="2"/>
  <c r="K458" i="2"/>
  <c r="I458" i="2"/>
  <c r="K457" i="2"/>
  <c r="I457" i="2"/>
  <c r="K456" i="2"/>
  <c r="I456" i="2"/>
  <c r="K455" i="2"/>
  <c r="I455" i="2"/>
  <c r="K454" i="2"/>
  <c r="I454" i="2"/>
  <c r="K453" i="2"/>
  <c r="I453" i="2"/>
  <c r="K452" i="2"/>
  <c r="I452" i="2"/>
  <c r="K451" i="2"/>
  <c r="I451" i="2"/>
  <c r="K450" i="2"/>
  <c r="I450" i="2"/>
  <c r="K449" i="2"/>
  <c r="I449" i="2"/>
  <c r="K448" i="2"/>
  <c r="I448" i="2"/>
  <c r="K447" i="2"/>
  <c r="I447" i="2"/>
  <c r="K446" i="2"/>
  <c r="I446" i="2"/>
  <c r="K445" i="2"/>
  <c r="I445" i="2"/>
  <c r="K444" i="2"/>
  <c r="I444" i="2"/>
  <c r="K443" i="2"/>
  <c r="I443" i="2"/>
  <c r="K442" i="2"/>
  <c r="I442" i="2"/>
  <c r="K441" i="2"/>
  <c r="I441" i="2"/>
  <c r="K440" i="2"/>
  <c r="I440" i="2"/>
  <c r="K439" i="2"/>
  <c r="I439" i="2"/>
  <c r="K438" i="2"/>
  <c r="I438" i="2"/>
  <c r="K437" i="2"/>
  <c r="I437" i="2"/>
  <c r="K436" i="2"/>
  <c r="I436" i="2"/>
  <c r="K435" i="2"/>
  <c r="I435" i="2"/>
  <c r="K434" i="2"/>
  <c r="I434" i="2"/>
  <c r="K433" i="2"/>
  <c r="I433" i="2"/>
  <c r="K432" i="2"/>
  <c r="I432" i="2"/>
  <c r="K431" i="2"/>
  <c r="I431" i="2"/>
  <c r="K430" i="2"/>
  <c r="I430" i="2"/>
  <c r="K429" i="2"/>
  <c r="I429" i="2"/>
  <c r="K428" i="2"/>
  <c r="I428" i="2"/>
  <c r="K427" i="2"/>
  <c r="I427" i="2"/>
  <c r="K426" i="2"/>
  <c r="I426" i="2"/>
  <c r="K425" i="2"/>
  <c r="I425" i="2"/>
  <c r="K424" i="2"/>
  <c r="I424" i="2"/>
  <c r="K423" i="2"/>
  <c r="I423" i="2"/>
  <c r="K422" i="2"/>
  <c r="I422" i="2"/>
  <c r="K421" i="2"/>
  <c r="I421" i="2"/>
  <c r="K420" i="2"/>
  <c r="I420" i="2"/>
  <c r="K419" i="2"/>
  <c r="I419" i="2"/>
  <c r="K418" i="2"/>
  <c r="I418" i="2"/>
  <c r="K417" i="2"/>
  <c r="I417" i="2"/>
  <c r="K416" i="2"/>
  <c r="I416" i="2"/>
  <c r="K415" i="2"/>
  <c r="I415" i="2"/>
  <c r="K414" i="2"/>
  <c r="I414" i="2"/>
  <c r="K413" i="2"/>
  <c r="I413" i="2"/>
  <c r="K412" i="2"/>
  <c r="I412" i="2"/>
  <c r="K411" i="2"/>
  <c r="I411" i="2"/>
  <c r="K410" i="2"/>
  <c r="I410" i="2"/>
  <c r="K409" i="2"/>
  <c r="I409" i="2"/>
  <c r="K408" i="2"/>
  <c r="I408" i="2"/>
  <c r="K407" i="2"/>
  <c r="I407" i="2"/>
  <c r="K406" i="2"/>
  <c r="I406" i="2"/>
  <c r="K405" i="2"/>
  <c r="I405" i="2"/>
  <c r="K404" i="2"/>
  <c r="I404" i="2"/>
  <c r="K403" i="2"/>
  <c r="I403" i="2"/>
  <c r="K402" i="2"/>
  <c r="I402" i="2"/>
  <c r="K401" i="2"/>
  <c r="I401" i="2"/>
  <c r="K400" i="2"/>
  <c r="I400" i="2"/>
  <c r="K399" i="2"/>
  <c r="I399" i="2"/>
  <c r="K398" i="2"/>
  <c r="I398" i="2"/>
  <c r="K397" i="2"/>
  <c r="I397" i="2"/>
  <c r="K396" i="2"/>
  <c r="I396" i="2"/>
  <c r="K395" i="2"/>
  <c r="I395" i="2"/>
  <c r="K394" i="2"/>
  <c r="I394" i="2"/>
  <c r="K393" i="2"/>
  <c r="I393" i="2"/>
  <c r="K392" i="2"/>
  <c r="I392" i="2"/>
  <c r="K391" i="2"/>
  <c r="I391" i="2"/>
  <c r="K390" i="2"/>
  <c r="I390" i="2"/>
  <c r="K389" i="2"/>
  <c r="I389" i="2"/>
  <c r="K388" i="2"/>
  <c r="I388" i="2"/>
  <c r="K387" i="2"/>
  <c r="I387" i="2"/>
  <c r="K386" i="2"/>
  <c r="I386" i="2"/>
  <c r="K385" i="2"/>
  <c r="I385" i="2"/>
  <c r="K384" i="2"/>
  <c r="I384" i="2"/>
  <c r="K383" i="2"/>
  <c r="I383" i="2"/>
  <c r="K382" i="2"/>
  <c r="I382" i="2"/>
  <c r="K381" i="2"/>
  <c r="I381" i="2"/>
  <c r="K380" i="2"/>
  <c r="I380" i="2"/>
  <c r="K379" i="2"/>
  <c r="I379" i="2"/>
  <c r="K378" i="2"/>
  <c r="I378" i="2"/>
  <c r="K377" i="2"/>
  <c r="I377" i="2"/>
  <c r="K376" i="2"/>
  <c r="I376" i="2"/>
  <c r="K375" i="2"/>
  <c r="I375" i="2"/>
  <c r="K374" i="2"/>
  <c r="I374" i="2"/>
  <c r="K373" i="2"/>
  <c r="I373" i="2"/>
  <c r="K372" i="2"/>
  <c r="I372" i="2"/>
  <c r="K371" i="2"/>
  <c r="I371" i="2"/>
  <c r="K370" i="2"/>
  <c r="I370" i="2"/>
  <c r="K369" i="2"/>
  <c r="I369" i="2"/>
  <c r="K368" i="2"/>
  <c r="I368" i="2"/>
  <c r="K367" i="2"/>
  <c r="I367" i="2"/>
  <c r="K366" i="2"/>
  <c r="I366" i="2"/>
  <c r="K365" i="2"/>
  <c r="I365" i="2"/>
  <c r="K364" i="2"/>
  <c r="I364" i="2"/>
  <c r="K363" i="2"/>
  <c r="I363" i="2"/>
  <c r="K362" i="2"/>
  <c r="I362" i="2"/>
  <c r="K361" i="2"/>
  <c r="I361" i="2"/>
  <c r="K360" i="2"/>
  <c r="I360" i="2"/>
  <c r="K359" i="2"/>
  <c r="I359" i="2"/>
  <c r="K358" i="2"/>
  <c r="I358" i="2"/>
  <c r="K357" i="2"/>
  <c r="I357" i="2"/>
  <c r="K356" i="2"/>
  <c r="I356" i="2"/>
  <c r="K355" i="2"/>
  <c r="I355" i="2"/>
  <c r="K354" i="2"/>
  <c r="I354" i="2"/>
  <c r="K353" i="2"/>
  <c r="I353" i="2"/>
  <c r="K352" i="2"/>
  <c r="I352" i="2"/>
  <c r="K351" i="2"/>
  <c r="I351" i="2"/>
  <c r="K350" i="2"/>
  <c r="I350" i="2"/>
  <c r="K349" i="2"/>
  <c r="I349" i="2"/>
  <c r="K348" i="2"/>
  <c r="I348" i="2"/>
  <c r="K347" i="2"/>
  <c r="I347" i="2"/>
  <c r="K346" i="2"/>
  <c r="I346" i="2"/>
  <c r="K345" i="2"/>
  <c r="I345" i="2"/>
  <c r="K344" i="2"/>
  <c r="I344" i="2"/>
  <c r="K343" i="2"/>
  <c r="I343" i="2"/>
  <c r="K342" i="2"/>
  <c r="I342" i="2"/>
  <c r="K341" i="2"/>
  <c r="I341" i="2"/>
  <c r="K340" i="2"/>
  <c r="I340" i="2"/>
  <c r="K339" i="2"/>
  <c r="I339" i="2"/>
  <c r="K338" i="2"/>
  <c r="I338" i="2"/>
  <c r="K337" i="2"/>
  <c r="I337" i="2"/>
  <c r="K336" i="2"/>
  <c r="I336" i="2"/>
  <c r="K335" i="2"/>
  <c r="I335" i="2"/>
  <c r="K334" i="2"/>
  <c r="I334" i="2"/>
  <c r="K333" i="2"/>
  <c r="I333" i="2"/>
  <c r="K332" i="2"/>
  <c r="I332" i="2"/>
  <c r="K331" i="2"/>
  <c r="I331" i="2"/>
  <c r="K330" i="2"/>
  <c r="I330" i="2"/>
  <c r="K329" i="2"/>
  <c r="I329" i="2"/>
  <c r="K328" i="2"/>
  <c r="I328" i="2"/>
  <c r="K327" i="2"/>
  <c r="I327" i="2"/>
  <c r="K326" i="2"/>
  <c r="I326" i="2"/>
  <c r="K325" i="2"/>
  <c r="I325" i="2"/>
  <c r="K324" i="2"/>
  <c r="I324" i="2"/>
  <c r="K323" i="2"/>
  <c r="I323" i="2"/>
  <c r="K322" i="2"/>
  <c r="I322" i="2"/>
  <c r="K321" i="2"/>
  <c r="I321" i="2"/>
  <c r="K320" i="2"/>
  <c r="I320" i="2"/>
  <c r="K319" i="2"/>
  <c r="I319" i="2"/>
  <c r="K318" i="2"/>
  <c r="I318" i="2"/>
  <c r="K317" i="2"/>
  <c r="I317" i="2"/>
  <c r="K316" i="2"/>
  <c r="I316" i="2"/>
  <c r="K315" i="2"/>
  <c r="I315" i="2"/>
  <c r="K314" i="2"/>
  <c r="I314" i="2"/>
  <c r="K313" i="2"/>
  <c r="I313" i="2"/>
  <c r="K312" i="2"/>
  <c r="I312" i="2"/>
  <c r="K311" i="2"/>
  <c r="I311" i="2"/>
  <c r="K310" i="2"/>
  <c r="I310" i="2"/>
  <c r="K309" i="2"/>
  <c r="I309" i="2"/>
  <c r="K308" i="2"/>
  <c r="I308" i="2"/>
  <c r="K307" i="2"/>
  <c r="I307" i="2"/>
  <c r="K306" i="2"/>
  <c r="I306" i="2"/>
  <c r="K305" i="2"/>
  <c r="I305" i="2"/>
  <c r="K304" i="2"/>
  <c r="I304" i="2"/>
  <c r="K303" i="2"/>
  <c r="I303" i="2"/>
  <c r="K302" i="2"/>
  <c r="I302" i="2"/>
  <c r="K301" i="2"/>
  <c r="I301" i="2"/>
  <c r="K300" i="2"/>
  <c r="I300" i="2"/>
  <c r="K299" i="2"/>
  <c r="I299" i="2"/>
  <c r="K298" i="2"/>
  <c r="I298" i="2"/>
  <c r="K297" i="2"/>
  <c r="I297" i="2"/>
  <c r="K296" i="2"/>
  <c r="I296" i="2"/>
  <c r="K295" i="2"/>
  <c r="I295" i="2"/>
  <c r="K294" i="2"/>
  <c r="I294" i="2"/>
  <c r="K293" i="2"/>
  <c r="I293" i="2"/>
  <c r="K292" i="2"/>
  <c r="I292" i="2"/>
  <c r="K291" i="2"/>
  <c r="I291" i="2"/>
  <c r="K290" i="2"/>
  <c r="I290" i="2"/>
  <c r="K289" i="2"/>
  <c r="I289" i="2"/>
  <c r="K288" i="2"/>
  <c r="I288" i="2"/>
  <c r="K287" i="2"/>
  <c r="I287" i="2"/>
  <c r="K286" i="2"/>
  <c r="I286" i="2"/>
  <c r="K285" i="2"/>
  <c r="I285" i="2"/>
  <c r="K284" i="2"/>
  <c r="I284" i="2"/>
  <c r="K283" i="2"/>
  <c r="I283" i="2"/>
  <c r="K282" i="2"/>
  <c r="I282" i="2"/>
  <c r="K281" i="2"/>
  <c r="I281" i="2"/>
  <c r="K280" i="2"/>
  <c r="I280" i="2"/>
  <c r="K279" i="2"/>
  <c r="I279" i="2"/>
  <c r="K278" i="2"/>
  <c r="I278" i="2"/>
  <c r="K277" i="2"/>
  <c r="I277" i="2"/>
  <c r="K276" i="2"/>
  <c r="I276" i="2"/>
  <c r="K275" i="2"/>
  <c r="I275" i="2"/>
  <c r="K274" i="2"/>
  <c r="I274" i="2"/>
  <c r="K273" i="2"/>
  <c r="I273" i="2"/>
  <c r="K272" i="2"/>
  <c r="I272" i="2"/>
  <c r="K271" i="2"/>
  <c r="I271" i="2"/>
  <c r="K270" i="2"/>
  <c r="I270" i="2"/>
  <c r="K269" i="2"/>
  <c r="I269" i="2"/>
  <c r="K268" i="2"/>
  <c r="I268" i="2"/>
  <c r="K267" i="2"/>
  <c r="I267" i="2"/>
  <c r="K266" i="2"/>
  <c r="I266" i="2"/>
  <c r="K265" i="2"/>
  <c r="I265" i="2"/>
  <c r="K264" i="2"/>
  <c r="I264" i="2"/>
  <c r="K263" i="2"/>
  <c r="I263" i="2"/>
  <c r="K262" i="2"/>
  <c r="I262" i="2"/>
  <c r="K261" i="2"/>
  <c r="I261" i="2"/>
  <c r="K260" i="2"/>
  <c r="I260" i="2"/>
  <c r="K259" i="2"/>
  <c r="I259" i="2"/>
  <c r="K258" i="2"/>
  <c r="I258" i="2"/>
  <c r="K257" i="2"/>
  <c r="I257" i="2"/>
  <c r="K256" i="2"/>
  <c r="I256" i="2"/>
  <c r="K255" i="2"/>
  <c r="I255" i="2"/>
  <c r="K254" i="2"/>
  <c r="I254" i="2"/>
  <c r="K253" i="2"/>
  <c r="I253" i="2"/>
  <c r="K252" i="2"/>
  <c r="I252" i="2"/>
  <c r="K251" i="2"/>
  <c r="I251" i="2"/>
  <c r="K250" i="2"/>
  <c r="I250" i="2"/>
  <c r="K249" i="2"/>
  <c r="I249" i="2"/>
  <c r="K248" i="2"/>
  <c r="I248" i="2"/>
  <c r="K247" i="2"/>
  <c r="I247" i="2"/>
  <c r="K246" i="2"/>
  <c r="I246" i="2"/>
  <c r="K245" i="2"/>
  <c r="I245" i="2"/>
  <c r="K244" i="2"/>
  <c r="I244" i="2"/>
  <c r="K243" i="2"/>
  <c r="I243" i="2"/>
  <c r="K242" i="2"/>
  <c r="I242" i="2"/>
  <c r="K241" i="2"/>
  <c r="I241" i="2"/>
  <c r="K240" i="2"/>
  <c r="I240" i="2"/>
  <c r="K239" i="2"/>
  <c r="I239" i="2"/>
  <c r="K238" i="2"/>
  <c r="I238" i="2"/>
  <c r="K237" i="2"/>
  <c r="I237" i="2"/>
  <c r="K236" i="2"/>
  <c r="I236" i="2"/>
  <c r="K235" i="2"/>
  <c r="I235" i="2"/>
  <c r="K234" i="2"/>
  <c r="I234" i="2"/>
  <c r="K233" i="2"/>
  <c r="I233" i="2"/>
  <c r="K232" i="2"/>
  <c r="I232" i="2"/>
  <c r="K231" i="2"/>
  <c r="I231" i="2"/>
  <c r="K230" i="2"/>
  <c r="I230" i="2"/>
  <c r="K229" i="2"/>
  <c r="I229" i="2"/>
  <c r="K228" i="2"/>
  <c r="I228" i="2"/>
  <c r="K227" i="2"/>
  <c r="I227" i="2"/>
  <c r="K226" i="2"/>
  <c r="I226" i="2"/>
  <c r="K225" i="2"/>
  <c r="I225" i="2"/>
  <c r="K224" i="2"/>
  <c r="I224" i="2"/>
  <c r="K223" i="2"/>
  <c r="I223" i="2"/>
  <c r="K222" i="2"/>
  <c r="I222" i="2"/>
  <c r="K221" i="2"/>
  <c r="I221" i="2"/>
  <c r="K220" i="2"/>
  <c r="I220" i="2"/>
  <c r="K219" i="2"/>
  <c r="I219" i="2"/>
  <c r="K218" i="2"/>
  <c r="I218" i="2"/>
  <c r="K217" i="2"/>
  <c r="I217" i="2"/>
  <c r="K216" i="2"/>
  <c r="I216" i="2"/>
  <c r="K215" i="2"/>
  <c r="I215" i="2"/>
  <c r="K214" i="2"/>
  <c r="I214" i="2"/>
  <c r="K213" i="2"/>
  <c r="I213" i="2"/>
  <c r="K212" i="2"/>
  <c r="I212" i="2"/>
  <c r="K211" i="2"/>
  <c r="I211" i="2"/>
  <c r="K210" i="2"/>
  <c r="I210" i="2"/>
  <c r="K209" i="2"/>
  <c r="I209" i="2"/>
  <c r="K208" i="2"/>
  <c r="I208" i="2"/>
  <c r="K207" i="2"/>
  <c r="I207" i="2"/>
  <c r="K206" i="2"/>
  <c r="I206" i="2"/>
  <c r="K205" i="2"/>
  <c r="I205" i="2"/>
  <c r="K204" i="2"/>
  <c r="I204" i="2"/>
  <c r="K203" i="2"/>
  <c r="I203" i="2"/>
  <c r="K202" i="2"/>
  <c r="I202" i="2"/>
  <c r="K201" i="2"/>
  <c r="I201" i="2"/>
  <c r="K200" i="2"/>
  <c r="I200" i="2"/>
  <c r="K199" i="2"/>
  <c r="I199" i="2"/>
  <c r="K198" i="2"/>
  <c r="I198" i="2"/>
  <c r="K197" i="2"/>
  <c r="I197" i="2"/>
  <c r="K196" i="2"/>
  <c r="I196" i="2"/>
  <c r="K195" i="2"/>
  <c r="I195" i="2"/>
  <c r="K194" i="2"/>
  <c r="I194" i="2"/>
  <c r="K193" i="2"/>
  <c r="I193" i="2"/>
  <c r="K192" i="2"/>
  <c r="I192" i="2"/>
  <c r="K191" i="2"/>
  <c r="I191" i="2"/>
  <c r="K190" i="2"/>
  <c r="I190" i="2"/>
  <c r="K189" i="2"/>
  <c r="I189" i="2"/>
  <c r="K188" i="2"/>
  <c r="I188" i="2"/>
  <c r="K187" i="2"/>
  <c r="I187" i="2"/>
  <c r="K186" i="2"/>
  <c r="I186" i="2"/>
  <c r="K185" i="2"/>
  <c r="I185" i="2"/>
  <c r="K184" i="2"/>
  <c r="I184" i="2"/>
  <c r="K183" i="2"/>
  <c r="I183" i="2"/>
  <c r="K182" i="2"/>
  <c r="I182" i="2"/>
  <c r="K181" i="2"/>
  <c r="I181" i="2"/>
  <c r="K180" i="2"/>
  <c r="I180" i="2"/>
  <c r="K179" i="2"/>
  <c r="I179" i="2"/>
  <c r="K178" i="2"/>
  <c r="I178" i="2"/>
  <c r="K177" i="2"/>
  <c r="I177" i="2"/>
  <c r="K176" i="2"/>
  <c r="I176" i="2"/>
  <c r="K175" i="2"/>
  <c r="I175" i="2"/>
  <c r="K174" i="2"/>
  <c r="I174" i="2"/>
  <c r="K173" i="2"/>
  <c r="I173" i="2"/>
  <c r="K172" i="2"/>
  <c r="I172" i="2"/>
  <c r="K171" i="2"/>
  <c r="I171" i="2"/>
  <c r="K170" i="2"/>
  <c r="I170" i="2"/>
  <c r="K169" i="2"/>
  <c r="I169" i="2"/>
  <c r="K168" i="2"/>
  <c r="I168" i="2"/>
  <c r="K167" i="2"/>
  <c r="I167" i="2"/>
  <c r="K166" i="2"/>
  <c r="I166" i="2"/>
  <c r="K165" i="2"/>
  <c r="I165" i="2"/>
  <c r="K164" i="2"/>
  <c r="I164" i="2"/>
  <c r="K163" i="2"/>
  <c r="I163" i="2"/>
  <c r="K162" i="2"/>
  <c r="I162" i="2"/>
  <c r="K161" i="2"/>
  <c r="I161" i="2"/>
  <c r="K160" i="2"/>
  <c r="I160" i="2"/>
  <c r="K159" i="2"/>
  <c r="I159" i="2"/>
  <c r="K158" i="2"/>
  <c r="I158" i="2"/>
  <c r="K157" i="2"/>
  <c r="I157" i="2"/>
  <c r="K156" i="2"/>
  <c r="I156" i="2"/>
  <c r="K155" i="2"/>
  <c r="I155" i="2"/>
  <c r="K154" i="2"/>
  <c r="I154" i="2"/>
  <c r="K153" i="2"/>
  <c r="I153" i="2"/>
  <c r="K152" i="2"/>
  <c r="I152" i="2"/>
  <c r="K151" i="2"/>
  <c r="I151" i="2"/>
  <c r="K150" i="2"/>
  <c r="I150" i="2"/>
  <c r="K149" i="2"/>
  <c r="I149" i="2"/>
  <c r="K148" i="2"/>
  <c r="I148" i="2"/>
  <c r="K147" i="2"/>
  <c r="I147" i="2"/>
  <c r="K146" i="2"/>
  <c r="I146" i="2"/>
  <c r="K145" i="2"/>
  <c r="I145" i="2"/>
  <c r="K144" i="2"/>
  <c r="I144" i="2"/>
  <c r="K143" i="2"/>
  <c r="I143" i="2"/>
  <c r="K142" i="2"/>
  <c r="I142" i="2"/>
  <c r="K141" i="2"/>
  <c r="I141" i="2"/>
  <c r="K140" i="2"/>
  <c r="I140" i="2"/>
  <c r="K139" i="2"/>
  <c r="I139" i="2"/>
  <c r="K138" i="2"/>
  <c r="I138" i="2"/>
  <c r="K137" i="2"/>
  <c r="I137" i="2"/>
  <c r="K136" i="2"/>
  <c r="I136" i="2"/>
  <c r="K135" i="2"/>
  <c r="I135" i="2"/>
  <c r="K134" i="2"/>
  <c r="I134" i="2"/>
  <c r="K133" i="2"/>
  <c r="I133" i="2"/>
  <c r="K132" i="2"/>
  <c r="I132" i="2"/>
  <c r="K131" i="2"/>
  <c r="I131" i="2"/>
  <c r="K130" i="2"/>
  <c r="I130" i="2"/>
  <c r="K129" i="2"/>
  <c r="I129" i="2"/>
  <c r="K128" i="2"/>
  <c r="I128" i="2"/>
  <c r="K127" i="2"/>
  <c r="I127" i="2"/>
  <c r="K126" i="2"/>
  <c r="I126" i="2"/>
  <c r="K125" i="2"/>
  <c r="I125" i="2"/>
  <c r="K124" i="2"/>
  <c r="I124" i="2"/>
  <c r="K123" i="2"/>
  <c r="I123" i="2"/>
  <c r="K122" i="2"/>
  <c r="I122" i="2"/>
  <c r="K121" i="2"/>
  <c r="I121" i="2"/>
  <c r="K120" i="2"/>
  <c r="I120" i="2"/>
  <c r="K119" i="2"/>
  <c r="I119" i="2"/>
  <c r="K118" i="2"/>
  <c r="I118" i="2"/>
  <c r="K117" i="2"/>
  <c r="I117" i="2"/>
  <c r="K116" i="2"/>
  <c r="I116" i="2"/>
  <c r="K115" i="2"/>
  <c r="I115" i="2"/>
  <c r="K114" i="2"/>
  <c r="I114" i="2"/>
  <c r="K113" i="2"/>
  <c r="I113" i="2"/>
  <c r="K112" i="2"/>
  <c r="I112" i="2"/>
  <c r="K111" i="2"/>
  <c r="I111" i="2"/>
  <c r="K110" i="2"/>
  <c r="I110" i="2"/>
  <c r="K109" i="2"/>
  <c r="I109" i="2"/>
  <c r="K108" i="2"/>
  <c r="I108" i="2"/>
  <c r="K107" i="2"/>
  <c r="I107" i="2"/>
  <c r="K106" i="2"/>
  <c r="I106" i="2"/>
  <c r="K105" i="2"/>
  <c r="I105" i="2"/>
  <c r="K104" i="2"/>
  <c r="I104" i="2"/>
  <c r="K103" i="2"/>
  <c r="I103" i="2"/>
  <c r="K102" i="2"/>
  <c r="I102" i="2"/>
  <c r="K101" i="2"/>
  <c r="I101" i="2"/>
  <c r="K100" i="2"/>
  <c r="I100" i="2"/>
  <c r="K99" i="2"/>
  <c r="I99" i="2"/>
  <c r="K98" i="2"/>
  <c r="I98" i="2"/>
  <c r="K97" i="2"/>
  <c r="I97" i="2"/>
  <c r="K96" i="2"/>
  <c r="I96" i="2"/>
  <c r="K95" i="2"/>
  <c r="I95" i="2"/>
  <c r="K94" i="2"/>
  <c r="I94" i="2"/>
  <c r="K93" i="2"/>
  <c r="I93" i="2"/>
  <c r="K92" i="2"/>
  <c r="I92" i="2"/>
  <c r="K91" i="2"/>
  <c r="I91" i="2"/>
  <c r="K90" i="2"/>
  <c r="I90" i="2"/>
  <c r="K89" i="2"/>
  <c r="I89" i="2"/>
  <c r="K88" i="2"/>
  <c r="I88" i="2"/>
  <c r="K87" i="2"/>
  <c r="I87" i="2"/>
  <c r="K86" i="2"/>
  <c r="I86" i="2"/>
  <c r="K85" i="2"/>
  <c r="I85" i="2"/>
  <c r="K84" i="2"/>
  <c r="I84" i="2"/>
  <c r="K83" i="2"/>
  <c r="I83" i="2"/>
  <c r="K82" i="2"/>
  <c r="I82" i="2"/>
  <c r="K81" i="2"/>
  <c r="I81" i="2"/>
  <c r="K80" i="2"/>
  <c r="I80" i="2"/>
  <c r="K79" i="2"/>
  <c r="I79" i="2"/>
  <c r="K78" i="2"/>
  <c r="I78" i="2"/>
  <c r="K77" i="2"/>
  <c r="I77" i="2"/>
  <c r="K76" i="2"/>
  <c r="I76" i="2"/>
  <c r="K75" i="2"/>
  <c r="I75" i="2"/>
  <c r="K74" i="2"/>
  <c r="I74" i="2"/>
  <c r="K73" i="2"/>
  <c r="I73" i="2"/>
  <c r="K72" i="2"/>
  <c r="I72" i="2"/>
  <c r="K71" i="2"/>
  <c r="I71" i="2"/>
  <c r="K70" i="2"/>
  <c r="I70" i="2"/>
  <c r="K69" i="2"/>
  <c r="I69" i="2"/>
  <c r="K68" i="2"/>
  <c r="I68" i="2"/>
  <c r="K67" i="2"/>
  <c r="I67" i="2"/>
  <c r="K66" i="2"/>
  <c r="I66" i="2"/>
  <c r="K65" i="2"/>
  <c r="I65" i="2"/>
  <c r="K64" i="2"/>
  <c r="I64" i="2"/>
  <c r="K63" i="2"/>
  <c r="I63" i="2"/>
  <c r="K62" i="2"/>
  <c r="I62" i="2"/>
  <c r="K61" i="2"/>
  <c r="I61" i="2"/>
  <c r="K60" i="2"/>
  <c r="I60" i="2"/>
  <c r="K59" i="2"/>
  <c r="I59" i="2"/>
  <c r="K58" i="2"/>
  <c r="I58" i="2"/>
  <c r="K57" i="2"/>
  <c r="I57" i="2"/>
  <c r="K56" i="2"/>
  <c r="I56" i="2"/>
  <c r="K55" i="2"/>
  <c r="I55" i="2"/>
  <c r="K54" i="2"/>
  <c r="I54" i="2"/>
  <c r="K53" i="2"/>
  <c r="I53" i="2"/>
  <c r="K52" i="2"/>
  <c r="I52" i="2"/>
  <c r="K51" i="2"/>
  <c r="I51" i="2"/>
  <c r="K50" i="2"/>
  <c r="I50" i="2"/>
  <c r="K49" i="2"/>
  <c r="I49" i="2"/>
  <c r="K48" i="2"/>
  <c r="I48" i="2"/>
  <c r="K47" i="2"/>
  <c r="I47" i="2"/>
  <c r="K46" i="2"/>
  <c r="I46" i="2"/>
  <c r="K45" i="2"/>
  <c r="I45" i="2"/>
  <c r="K44" i="2"/>
  <c r="I44" i="2"/>
  <c r="K43" i="2"/>
  <c r="I43" i="2"/>
  <c r="K42" i="2"/>
  <c r="I42" i="2"/>
  <c r="K41" i="2"/>
  <c r="I41" i="2"/>
  <c r="K40" i="2"/>
  <c r="I40" i="2"/>
  <c r="K39" i="2"/>
  <c r="I39" i="2"/>
  <c r="K38" i="2"/>
  <c r="I38" i="2"/>
  <c r="K37" i="2"/>
  <c r="I37" i="2"/>
  <c r="K36" i="2"/>
  <c r="I36" i="2"/>
  <c r="K35" i="2"/>
  <c r="I35" i="2"/>
  <c r="K34" i="2"/>
  <c r="I34" i="2"/>
  <c r="K33" i="2"/>
  <c r="I33" i="2"/>
  <c r="K32" i="2"/>
  <c r="I32" i="2"/>
  <c r="K31" i="2"/>
  <c r="I31" i="2"/>
  <c r="K30" i="2"/>
  <c r="I30" i="2"/>
  <c r="K29" i="2"/>
  <c r="I29" i="2"/>
  <c r="K28" i="2"/>
  <c r="I28" i="2"/>
  <c r="K27" i="2"/>
  <c r="I27" i="2"/>
  <c r="K26" i="2"/>
  <c r="I26" i="2"/>
  <c r="K25" i="2"/>
  <c r="I25" i="2"/>
  <c r="K24" i="2"/>
  <c r="I24" i="2"/>
  <c r="K23" i="2"/>
  <c r="I23" i="2"/>
  <c r="K22" i="2"/>
  <c r="I22" i="2"/>
  <c r="K21" i="2"/>
  <c r="I21" i="2"/>
  <c r="K20" i="2"/>
  <c r="I20" i="2"/>
  <c r="K19" i="2"/>
  <c r="I19" i="2"/>
  <c r="K18" i="2"/>
  <c r="I18" i="2"/>
  <c r="K17" i="2"/>
  <c r="I17" i="2"/>
  <c r="K16" i="2"/>
  <c r="I16" i="2"/>
  <c r="K15" i="2"/>
  <c r="I15" i="2"/>
  <c r="K14" i="2"/>
  <c r="I14" i="2"/>
  <c r="K13" i="2"/>
  <c r="I13" i="2"/>
  <c r="K12" i="2"/>
  <c r="I12" i="2"/>
  <c r="K11" i="2"/>
  <c r="I11" i="2"/>
  <c r="K10" i="2"/>
  <c r="I10" i="2"/>
  <c r="K9" i="2"/>
  <c r="I9" i="2"/>
  <c r="K8" i="2"/>
  <c r="I8" i="2"/>
  <c r="K7" i="2"/>
  <c r="I7" i="2"/>
  <c r="K6" i="2"/>
  <c r="I6" i="2"/>
  <c r="K5" i="2"/>
  <c r="I5" i="2"/>
  <c r="K4" i="2"/>
  <c r="I4" i="2"/>
  <c r="K3" i="2"/>
  <c r="I3" i="2"/>
  <c r="K2" i="2"/>
  <c r="I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64A794-935B-440A-BEAC-0882A2C76461}" keepAlive="1" name="Запрос — f" description="Соединение с запросом &quot;f&quot; в книге." type="5" refreshedVersion="0" background="1">
    <dbPr connection="Provider=Microsoft.Mashup.OleDb.1;Data Source=$Workbook$;Location=f;Extended Properties=&quot;&quot;" command="SELECT * FROM [f]"/>
  </connection>
  <connection id="2" xr16:uid="{764B6A01-F911-46E6-97BA-38D3EB995C46}" keepAlive="1" name="Запрос — In" description="Соединение с запросом &quot;In&quot; в книге." type="5" refreshedVersion="7" background="1" saveData="1">
    <dbPr connection="Provider=Microsoft.Mashup.OleDb.1;Data Source=$Workbook$;Location=In;Extended Properties=&quot;&quot;" command="SELECT * FROM [In]"/>
  </connection>
</connections>
</file>

<file path=xl/sharedStrings.xml><?xml version="1.0" encoding="utf-8"?>
<sst xmlns="http://schemas.openxmlformats.org/spreadsheetml/2006/main" count="21243" uniqueCount="5568">
  <si>
    <t>Батайск 1</t>
  </si>
  <si>
    <t>Батайск 2</t>
  </si>
  <si>
    <t>Батайск 3</t>
  </si>
  <si>
    <t>Мин Воды</t>
  </si>
  <si>
    <t>Омск</t>
  </si>
  <si>
    <t>Самара</t>
  </si>
  <si>
    <t>Тимашевск</t>
  </si>
  <si>
    <t>Тула</t>
  </si>
  <si>
    <t>Усть-Лабинск</t>
  </si>
  <si>
    <t>JH6</t>
  </si>
  <si>
    <t>FAW</t>
  </si>
  <si>
    <t/>
  </si>
  <si>
    <t>-</t>
  </si>
  <si>
    <t>00:00</t>
  </si>
  <si>
    <t>00:11</t>
  </si>
  <si>
    <t>Россия,Нижегородская область</t>
  </si>
  <si>
    <t>FAW JH6 р152ху198</t>
  </si>
  <si>
    <t>C7H(250)</t>
  </si>
  <si>
    <t>SITRAK</t>
  </si>
  <si>
    <t>0</t>
  </si>
  <si>
    <t>11:23</t>
  </si>
  <si>
    <t>12:36</t>
  </si>
  <si>
    <t>Россия,Ленинградская область</t>
  </si>
  <si>
    <t>Россия,Не определено</t>
  </si>
  <si>
    <t>SITRAK р488вх198</t>
  </si>
  <si>
    <t>00:19</t>
  </si>
  <si>
    <t>14:45</t>
  </si>
  <si>
    <t>08:54</t>
  </si>
  <si>
    <t>Россия,Татарстан</t>
  </si>
  <si>
    <t>SITRAK C7H х094ун198</t>
  </si>
  <si>
    <t>495AS</t>
  </si>
  <si>
    <t>Sany</t>
  </si>
  <si>
    <t>19:57</t>
  </si>
  <si>
    <t>00:58</t>
  </si>
  <si>
    <t>Россия,Башкортостан</t>
  </si>
  <si>
    <t>Sany у723со198</t>
  </si>
  <si>
    <t>М1945</t>
  </si>
  <si>
    <t>КАМАЗ</t>
  </si>
  <si>
    <t>18:21</t>
  </si>
  <si>
    <t>Россия,Новосибирская область</t>
  </si>
  <si>
    <t>Волгоград 1</t>
  </si>
  <si>
    <t>КАМАЗ х297ус198</t>
  </si>
  <si>
    <t>X6000 (SX4188YY381)</t>
  </si>
  <si>
    <t>SHACMAN</t>
  </si>
  <si>
    <t>05:04</t>
  </si>
  <si>
    <t>00:16</t>
  </si>
  <si>
    <t>Россия,Чувашия</t>
  </si>
  <si>
    <t>Shacman Х6000 х568ур198</t>
  </si>
  <si>
    <t>07:33</t>
  </si>
  <si>
    <t>Россия,Владимирская область</t>
  </si>
  <si>
    <t>Россия,Тверская область</t>
  </si>
  <si>
    <t>SITRAK C7H х649ур198</t>
  </si>
  <si>
    <t>AUMAN</t>
  </si>
  <si>
    <t>FOTON</t>
  </si>
  <si>
    <t>06:21</t>
  </si>
  <si>
    <t>01:33</t>
  </si>
  <si>
    <t>Россия,Московская область</t>
  </si>
  <si>
    <t>FOTON AUMAN у781ув198</t>
  </si>
  <si>
    <t>23:59</t>
  </si>
  <si>
    <t>FOTON AUMAN р187хм198</t>
  </si>
  <si>
    <t>06:05</t>
  </si>
  <si>
    <t>Россия,Ульяновская область</t>
  </si>
  <si>
    <t>SANY 495AS у532со198</t>
  </si>
  <si>
    <t>00:07</t>
  </si>
  <si>
    <t>Россия,Ростовская область</t>
  </si>
  <si>
    <t>SITRAK C7H х583ур198</t>
  </si>
  <si>
    <t>SD</t>
  </si>
  <si>
    <t>KRONE</t>
  </si>
  <si>
    <t>SLXi-300</t>
  </si>
  <si>
    <t>ThermoKing</t>
  </si>
  <si>
    <t>Krone ут853977</t>
  </si>
  <si>
    <t>54901-94 (К5)</t>
  </si>
  <si>
    <t>01:54</t>
  </si>
  <si>
    <t>КАМАЗ х165мр198</t>
  </si>
  <si>
    <t>C7H(500)</t>
  </si>
  <si>
    <t>11:10</t>
  </si>
  <si>
    <t>Россия,Самарская область</t>
  </si>
  <si>
    <t>Россия,Свердловская область</t>
  </si>
  <si>
    <t>SITRAK C7H х571ур198</t>
  </si>
  <si>
    <t>10:39</t>
  </si>
  <si>
    <t>07:49</t>
  </si>
  <si>
    <t>Krone ут879077</t>
  </si>
  <si>
    <t>Vector 1550</t>
  </si>
  <si>
    <t>Carrier</t>
  </si>
  <si>
    <t>,</t>
  </si>
  <si>
    <t>Krone ус165877</t>
  </si>
  <si>
    <t>00:17</t>
  </si>
  <si>
    <t>00:20</t>
  </si>
  <si>
    <t>Россия,Краснодарский край</t>
  </si>
  <si>
    <t>SITRAK х216нм198</t>
  </si>
  <si>
    <t>Krone хх461752</t>
  </si>
  <si>
    <t>KX</t>
  </si>
  <si>
    <t>DONGFENG</t>
  </si>
  <si>
    <t>09:18</t>
  </si>
  <si>
    <t>Россия,Пензенская область</t>
  </si>
  <si>
    <t>Россия,Волгоградская область</t>
  </si>
  <si>
    <t>Dongfeng KX с044ст797</t>
  </si>
  <si>
    <t>Dongfeng KX х140аа198</t>
  </si>
  <si>
    <t>КФИ</t>
  </si>
  <si>
    <t>ЦТТМ</t>
  </si>
  <si>
    <t>09:23</t>
  </si>
  <si>
    <t>Россия,Воронежская область</t>
  </si>
  <si>
    <t>ЦТТМ ев393278</t>
  </si>
  <si>
    <t>09:01</t>
  </si>
  <si>
    <t>SITRAK C7H у104сс797</t>
  </si>
  <si>
    <t>SKO24</t>
  </si>
  <si>
    <t>Schmitz</t>
  </si>
  <si>
    <t>10:49</t>
  </si>
  <si>
    <t>Россия,Приморский край</t>
  </si>
  <si>
    <t>Россия,Хабаровский край</t>
  </si>
  <si>
    <t>Schmitz ев321878</t>
  </si>
  <si>
    <t>15:40</t>
  </si>
  <si>
    <t>08:19</t>
  </si>
  <si>
    <t>FOTON м125тн797</t>
  </si>
  <si>
    <t>KST-2000</t>
  </si>
  <si>
    <t>SuperSnow</t>
  </si>
  <si>
    <t>01:24</t>
  </si>
  <si>
    <t>11:00</t>
  </si>
  <si>
    <t>Россия,Рязанская область</t>
  </si>
  <si>
    <t>Полуприцеп ЦТТМ тв952077</t>
  </si>
  <si>
    <t>07:57</t>
  </si>
  <si>
    <t>Полуприцеп ЦТТМ тв951977</t>
  </si>
  <si>
    <t>CGC4181</t>
  </si>
  <si>
    <t>DAYUN</t>
  </si>
  <si>
    <t>09:49</t>
  </si>
  <si>
    <t>DAYUN м720ту797</t>
  </si>
  <si>
    <t>02:46</t>
  </si>
  <si>
    <t>DAYUN м139тх797</t>
  </si>
  <si>
    <t>00:28</t>
  </si>
  <si>
    <t>DAYUN в507тн797</t>
  </si>
  <si>
    <t>01:53</t>
  </si>
  <si>
    <t>DAYUN м642ту797</t>
  </si>
  <si>
    <t>07:54</t>
  </si>
  <si>
    <t>06:58</t>
  </si>
  <si>
    <t>DAYUN в665тн797</t>
  </si>
  <si>
    <t>ЦТТМ тв917977</t>
  </si>
  <si>
    <t>12:04</t>
  </si>
  <si>
    <t>SITRAK е913то797</t>
  </si>
  <si>
    <t>04:05</t>
  </si>
  <si>
    <t>03:59</t>
  </si>
  <si>
    <t>ЦТТМ тв869177</t>
  </si>
  <si>
    <t>12:39</t>
  </si>
  <si>
    <t>Россия,Еврейская автономная область</t>
  </si>
  <si>
    <t>Россия,Амурская область</t>
  </si>
  <si>
    <t>SITRAK е905ск797</t>
  </si>
  <si>
    <t>ЦТТМ тв920877</t>
  </si>
  <si>
    <t>FH-Truck</t>
  </si>
  <si>
    <t>Volvo</t>
  </si>
  <si>
    <t>Россия,Новгородская область</t>
  </si>
  <si>
    <t>VOLVO FH р168хс198</t>
  </si>
  <si>
    <t>02:11</t>
  </si>
  <si>
    <t>Россия,Липецкая область</t>
  </si>
  <si>
    <t>Полуприцеп ЦТТМ тв940377</t>
  </si>
  <si>
    <t>12:47</t>
  </si>
  <si>
    <t>02:51</t>
  </si>
  <si>
    <t>Россия,Забайкальский край</t>
  </si>
  <si>
    <t>Полуприцеп тв924077</t>
  </si>
  <si>
    <t>326</t>
  </si>
  <si>
    <t>316</t>
  </si>
  <si>
    <t>07:22</t>
  </si>
  <si>
    <t>Полуприцеп тв935077</t>
  </si>
  <si>
    <t>08:38</t>
  </si>
  <si>
    <t>Россия,Красноярский край</t>
  </si>
  <si>
    <t>Полуприцеп тв867677</t>
  </si>
  <si>
    <t>Нет</t>
  </si>
  <si>
    <t>ЦТТМ ут259877</t>
  </si>
  <si>
    <t>02:43</t>
  </si>
  <si>
    <t>14:51</t>
  </si>
  <si>
    <t>Россия,Тульская область</t>
  </si>
  <si>
    <t>ЦТТМ ев394078</t>
  </si>
  <si>
    <t>02:29</t>
  </si>
  <si>
    <t>15:19</t>
  </si>
  <si>
    <t>06:11</t>
  </si>
  <si>
    <t>ЦТТМ ев391078</t>
  </si>
  <si>
    <t>10:02</t>
  </si>
  <si>
    <t>08:49</t>
  </si>
  <si>
    <t>Россия,Курская область</t>
  </si>
  <si>
    <t>ЦТТМ ев387278</t>
  </si>
  <si>
    <t>00:46</t>
  </si>
  <si>
    <t>ЦТТМ ус154377</t>
  </si>
  <si>
    <t>ЦТТМ ут897477</t>
  </si>
  <si>
    <t>00:31</t>
  </si>
  <si>
    <t>02:19</t>
  </si>
  <si>
    <t>ЦТТМ ев393078</t>
  </si>
  <si>
    <t>01:09</t>
  </si>
  <si>
    <t>13:26</t>
  </si>
  <si>
    <t>ЦТТМ ус158877</t>
  </si>
  <si>
    <t>11:31</t>
  </si>
  <si>
    <t>SITRAK C7H р254хм198</t>
  </si>
  <si>
    <t>02:41</t>
  </si>
  <si>
    <t>Россия,Омская область</t>
  </si>
  <si>
    <t>ЦТТМ ус281077</t>
  </si>
  <si>
    <t>ЦТТМ ус144777</t>
  </si>
  <si>
    <t>00:24</t>
  </si>
  <si>
    <t>FOTON р195еу198</t>
  </si>
  <si>
    <t>15:52</t>
  </si>
  <si>
    <t>08:07</t>
  </si>
  <si>
    <t>KRONE ус142477</t>
  </si>
  <si>
    <t>00:27</t>
  </si>
  <si>
    <t>SITRAK C7H м559во763</t>
  </si>
  <si>
    <t>KRONE ее680378</t>
  </si>
  <si>
    <t>02:03</t>
  </si>
  <si>
    <t>Россия,Калужская область</t>
  </si>
  <si>
    <t>SHACMAN р251вв198</t>
  </si>
  <si>
    <t>SHACMAN р253вс198</t>
  </si>
  <si>
    <t>Schmitz ее194678</t>
  </si>
  <si>
    <t>06:33</t>
  </si>
  <si>
    <t>06:34</t>
  </si>
  <si>
    <t>Россия,Ставропольский край</t>
  </si>
  <si>
    <t>KRONE ее804478</t>
  </si>
  <si>
    <t>15:21</t>
  </si>
  <si>
    <t>Krone ус089777</t>
  </si>
  <si>
    <t>10:19</t>
  </si>
  <si>
    <t>Россия,Саратовская область</t>
  </si>
  <si>
    <t>Krone ус092077</t>
  </si>
  <si>
    <t>23:54</t>
  </si>
  <si>
    <t>00:05</t>
  </si>
  <si>
    <t>Volvo х787нк198</t>
  </si>
  <si>
    <t>05:54</t>
  </si>
  <si>
    <t>08:31</t>
  </si>
  <si>
    <t>09:34</t>
  </si>
  <si>
    <t>SITRAK C7H р188вт198</t>
  </si>
  <si>
    <t>00:26</t>
  </si>
  <si>
    <t>FAW JH6 р462вт198</t>
  </si>
  <si>
    <t>01:39</t>
  </si>
  <si>
    <t>Krone хх446452</t>
  </si>
  <si>
    <t>04:38</t>
  </si>
  <si>
    <t>Россия,Челябинская область</t>
  </si>
  <si>
    <t>Shacman Х6000 х218нм198</t>
  </si>
  <si>
    <t>07:31</t>
  </si>
  <si>
    <t>14:55</t>
  </si>
  <si>
    <t>01:32</t>
  </si>
  <si>
    <t>SITRAK р486хо198</t>
  </si>
  <si>
    <t>J7</t>
  </si>
  <si>
    <t>15:27</t>
  </si>
  <si>
    <t>08:32</t>
  </si>
  <si>
    <t>FAW J7 х044ун198</t>
  </si>
  <si>
    <t>23:11</t>
  </si>
  <si>
    <t>00:48</t>
  </si>
  <si>
    <t>SITRAK х569ур198</t>
  </si>
  <si>
    <t>12:25</t>
  </si>
  <si>
    <t>06:56</t>
  </si>
  <si>
    <t>Krone хх449152</t>
  </si>
  <si>
    <t>15:15</t>
  </si>
  <si>
    <t>08:44</t>
  </si>
  <si>
    <t>Krone ус154677</t>
  </si>
  <si>
    <t>06:29</t>
  </si>
  <si>
    <t>08:57</t>
  </si>
  <si>
    <t>FOTON AUMAN х128нв198</t>
  </si>
  <si>
    <t>01:28</t>
  </si>
  <si>
    <t>FOTON AUMAN х207нм198</t>
  </si>
  <si>
    <t>03:08</t>
  </si>
  <si>
    <t>06:54</t>
  </si>
  <si>
    <t>SITRAK х202нм198</t>
  </si>
  <si>
    <t>07:32</t>
  </si>
  <si>
    <t>03:00</t>
  </si>
  <si>
    <t>Полуприцеп тв957477</t>
  </si>
  <si>
    <t>15:54</t>
  </si>
  <si>
    <t>08:05</t>
  </si>
  <si>
    <t>ЦТТМ тв876077</t>
  </si>
  <si>
    <t>00:55</t>
  </si>
  <si>
    <t>FOTON AUMAN е497тх797</t>
  </si>
  <si>
    <t>02:32</t>
  </si>
  <si>
    <t>Россия,Карелия</t>
  </si>
  <si>
    <t>FOTON AUMAN а170ху797</t>
  </si>
  <si>
    <t>SITRAK к169тс797</t>
  </si>
  <si>
    <t>DAYUN е928ск797</t>
  </si>
  <si>
    <t>13:54</t>
  </si>
  <si>
    <t>DAYUN е263тм797</t>
  </si>
  <si>
    <t>23:56</t>
  </si>
  <si>
    <t>00:03</t>
  </si>
  <si>
    <t>ЦТТМ тв933577</t>
  </si>
  <si>
    <t>13:52</t>
  </si>
  <si>
    <t>10:07</t>
  </si>
  <si>
    <t>Полуприцеп ЦТТМ тв995177</t>
  </si>
  <si>
    <t>CARGOLINE 972200</t>
  </si>
  <si>
    <t>526</t>
  </si>
  <si>
    <t>508</t>
  </si>
  <si>
    <t>ЦТТМ тв905677</t>
  </si>
  <si>
    <t>07:29</t>
  </si>
  <si>
    <t>11:11</t>
  </si>
  <si>
    <t>ЦТТМ тв958077</t>
  </si>
  <si>
    <t>FOTON AUMAN е776тх797</t>
  </si>
  <si>
    <t>02:16</t>
  </si>
  <si>
    <t>Россия,Тамбовская область</t>
  </si>
  <si>
    <t>ЦТТМ тв869677</t>
  </si>
  <si>
    <t>00:18</t>
  </si>
  <si>
    <t>FOTON AUMAN е185ту797</t>
  </si>
  <si>
    <t>18:48</t>
  </si>
  <si>
    <t>FOTON е787ск797</t>
  </si>
  <si>
    <t>00:36</t>
  </si>
  <si>
    <t>FOTON AUMAN е388св797</t>
  </si>
  <si>
    <t>10:42</t>
  </si>
  <si>
    <t>FOTON AUMAN а094хн797</t>
  </si>
  <si>
    <t>13:08</t>
  </si>
  <si>
    <t>FOTON AUMAN в412тм797</t>
  </si>
  <si>
    <t>FOTON е288ср797</t>
  </si>
  <si>
    <t>GX DFH4180</t>
  </si>
  <si>
    <t>16:22</t>
  </si>
  <si>
    <t>07:37</t>
  </si>
  <si>
    <t>Россия,Оренбургская область</t>
  </si>
  <si>
    <t>Dongfeng GX у707ув198</t>
  </si>
  <si>
    <t>02:20</t>
  </si>
  <si>
    <t>SITRAK C7H р158хе198</t>
  </si>
  <si>
    <t>14:24</t>
  </si>
  <si>
    <t>09:35</t>
  </si>
  <si>
    <t>Dongfeng GX у775ув198</t>
  </si>
  <si>
    <t>Dongfeng KX х696нк198</t>
  </si>
  <si>
    <t>08:33</t>
  </si>
  <si>
    <t>SITRAK C7H х181нм198</t>
  </si>
  <si>
    <t>00:10</t>
  </si>
  <si>
    <t>SITRAK C7H х220нм198</t>
  </si>
  <si>
    <t>01:10</t>
  </si>
  <si>
    <t>14:19</t>
  </si>
  <si>
    <t>08:29</t>
  </si>
  <si>
    <t>Dongfeng KX с592см797</t>
  </si>
  <si>
    <t>05:59</t>
  </si>
  <si>
    <t>ЦТТМ ев391378</t>
  </si>
  <si>
    <t>SITRAK C7H е982ту797</t>
  </si>
  <si>
    <t>FOTON AUMAN р057сх797</t>
  </si>
  <si>
    <t>06:44</t>
  </si>
  <si>
    <t>ЦТТМ ев394178</t>
  </si>
  <si>
    <t>00:15</t>
  </si>
  <si>
    <t>13:59</t>
  </si>
  <si>
    <t>09:44</t>
  </si>
  <si>
    <t>ЦТТМ ев387478</t>
  </si>
  <si>
    <t>Vector 1950</t>
  </si>
  <si>
    <t>04:20</t>
  </si>
  <si>
    <t>Schmitz ут136577</t>
  </si>
  <si>
    <t>AKL9404XLCA</t>
  </si>
  <si>
    <t>Long Gua</t>
  </si>
  <si>
    <t>01:50</t>
  </si>
  <si>
    <t>Long Gua ут137877</t>
  </si>
  <si>
    <t>10:30</t>
  </si>
  <si>
    <t>ЦТТМ ев391278</t>
  </si>
  <si>
    <t>Полуприцеп ЦТТМ тв921077</t>
  </si>
  <si>
    <t>12:46</t>
  </si>
  <si>
    <t>05:02</t>
  </si>
  <si>
    <t>ЦТТМ тв828777</t>
  </si>
  <si>
    <t>07:30</t>
  </si>
  <si>
    <t>ЦТТМ тв869377</t>
  </si>
  <si>
    <t>07:12</t>
  </si>
  <si>
    <t>Полуприцеп ЦТТМ тв994977</t>
  </si>
  <si>
    <t>FOTON AUMAN х588ст797</t>
  </si>
  <si>
    <t>ЦТТМ тв925577</t>
  </si>
  <si>
    <t>08:28</t>
  </si>
  <si>
    <t>ЦТТМ тв884877</t>
  </si>
  <si>
    <t>10:56</t>
  </si>
  <si>
    <t>FOTON AUMAN в174тс797</t>
  </si>
  <si>
    <t>DAYUN а107сх797</t>
  </si>
  <si>
    <t>DAYUN е812то797</t>
  </si>
  <si>
    <t>13:04</t>
  </si>
  <si>
    <t>03:22</t>
  </si>
  <si>
    <t>DAYUN а092хв797</t>
  </si>
  <si>
    <t>DAYUN в246тн797</t>
  </si>
  <si>
    <t>04:13</t>
  </si>
  <si>
    <t>ЦТТМ тв934477</t>
  </si>
  <si>
    <t>ЦТТМ тв933477</t>
  </si>
  <si>
    <t>02:55</t>
  </si>
  <si>
    <t>16:52</t>
  </si>
  <si>
    <t>ЦТТМ тв868277</t>
  </si>
  <si>
    <t>Россия,Курганская область</t>
  </si>
  <si>
    <t>FOTON м152тс797</t>
  </si>
  <si>
    <t>03:36</t>
  </si>
  <si>
    <t>FOTON AUMAN в963тт797</t>
  </si>
  <si>
    <t>FOTON е794ту797</t>
  </si>
  <si>
    <t>10:40</t>
  </si>
  <si>
    <t>01:23</t>
  </si>
  <si>
    <t>Управление ТО ТС</t>
  </si>
  <si>
    <t>FOTON AUMAN к438ту797</t>
  </si>
  <si>
    <t>FOTON AUMAN х477му198</t>
  </si>
  <si>
    <t>01:18</t>
  </si>
  <si>
    <t>00:33</t>
  </si>
  <si>
    <t>FOTON AUMAN в457тн797</t>
  </si>
  <si>
    <t>FOTON а076тн797</t>
  </si>
  <si>
    <t>ЦТТМ тв887077</t>
  </si>
  <si>
    <t>04:57</t>
  </si>
  <si>
    <t>Полуприцеп ЦТТМ тв854277</t>
  </si>
  <si>
    <t>08:17</t>
  </si>
  <si>
    <t>07:36</t>
  </si>
  <si>
    <t>DAYUN в973те797</t>
  </si>
  <si>
    <t>00:14</t>
  </si>
  <si>
    <t>DAYUN к814ту797</t>
  </si>
  <si>
    <t>1848</t>
  </si>
  <si>
    <t>BEIBEN</t>
  </si>
  <si>
    <t>BEIBEN м641ту797</t>
  </si>
  <si>
    <t>BEIBEN е910то797</t>
  </si>
  <si>
    <t>BEIBEN е190ту797</t>
  </si>
  <si>
    <t>00:38</t>
  </si>
  <si>
    <t>SITRAK C7H е256тх797</t>
  </si>
  <si>
    <t>00:45</t>
  </si>
  <si>
    <t>Полуприцеп ЦТТМ тв994577</t>
  </si>
  <si>
    <t>03:27</t>
  </si>
  <si>
    <t>ЦТТМ тв994277</t>
  </si>
  <si>
    <t>06:59</t>
  </si>
  <si>
    <t>Полуприцеп тв917877</t>
  </si>
  <si>
    <t>00:22</t>
  </si>
  <si>
    <t>13:42</t>
  </si>
  <si>
    <t>Полуприцеп тв993477</t>
  </si>
  <si>
    <t>SITRAK C7H е845ту797</t>
  </si>
  <si>
    <t>ЦТТМ ев387578</t>
  </si>
  <si>
    <t>11:06</t>
  </si>
  <si>
    <t>ЦТТМ ев393478</t>
  </si>
  <si>
    <t>Cargobull</t>
  </si>
  <si>
    <t>Краснодар 2</t>
  </si>
  <si>
    <t>Schmitz ев620878</t>
  </si>
  <si>
    <t>ЦТТМ ус289877</t>
  </si>
  <si>
    <t>Отсутствует в списке</t>
  </si>
  <si>
    <t>MAMMUT</t>
  </si>
  <si>
    <t>711</t>
  </si>
  <si>
    <t>21:48</t>
  </si>
  <si>
    <t>MAMMUT ев621678</t>
  </si>
  <si>
    <t>FOTON AUMAN у100ун198</t>
  </si>
  <si>
    <t>FOTON у769ув198</t>
  </si>
  <si>
    <t>13:38</t>
  </si>
  <si>
    <t>09:11</t>
  </si>
  <si>
    <t>ЦТТМ ус136477</t>
  </si>
  <si>
    <t>00:29</t>
  </si>
  <si>
    <t>10:18</t>
  </si>
  <si>
    <t>Schmitz ев571678</t>
  </si>
  <si>
    <t>22:03</t>
  </si>
  <si>
    <t>SHACMAN в580кк774</t>
  </si>
  <si>
    <t>у406ву198</t>
  </si>
  <si>
    <t>KRONE вр029878</t>
  </si>
  <si>
    <t>Schmitz ее680878</t>
  </si>
  <si>
    <t>Schmitz вр721678</t>
  </si>
  <si>
    <t>FOTON AUMAN р402хс198</t>
  </si>
  <si>
    <t>Schmitz вс670878</t>
  </si>
  <si>
    <t>Schmitz вс293778</t>
  </si>
  <si>
    <t>09:09</t>
  </si>
  <si>
    <t>09:04</t>
  </si>
  <si>
    <t>Krone ут892177</t>
  </si>
  <si>
    <t>06:14</t>
  </si>
  <si>
    <t>SITRAK C7H х589ур198</t>
  </si>
  <si>
    <t>09:33</t>
  </si>
  <si>
    <t>KRONE ее586778</t>
  </si>
  <si>
    <t>Krone ус089577</t>
  </si>
  <si>
    <t>5490-S5 (К4)</t>
  </si>
  <si>
    <t>КАМАЗ в588не30</t>
  </si>
  <si>
    <t>00:44</t>
  </si>
  <si>
    <t>06:13</t>
  </si>
  <si>
    <t>Schmitz ев566678</t>
  </si>
  <si>
    <t>SLX300</t>
  </si>
  <si>
    <t>02:09</t>
  </si>
  <si>
    <t>14:38</t>
  </si>
  <si>
    <t>07:11</t>
  </si>
  <si>
    <t>Krone ус023477</t>
  </si>
  <si>
    <t>05:39</t>
  </si>
  <si>
    <t>ЦТТМ ус047977</t>
  </si>
  <si>
    <t>00:23</t>
  </si>
  <si>
    <t>Krone ус092977</t>
  </si>
  <si>
    <t>SITRAK C7H р148ху198</t>
  </si>
  <si>
    <t>SITRAK C7H р187хе198</t>
  </si>
  <si>
    <t>КАМАЗ х325ус198</t>
  </si>
  <si>
    <t>08:53</t>
  </si>
  <si>
    <t>SITRAK р227ха198</t>
  </si>
  <si>
    <t>01:11</t>
  </si>
  <si>
    <t>08:23</t>
  </si>
  <si>
    <t>Krone ус029977</t>
  </si>
  <si>
    <t>21:55</t>
  </si>
  <si>
    <t>02:04</t>
  </si>
  <si>
    <t>Krone ус029377</t>
  </si>
  <si>
    <t>19:42</t>
  </si>
  <si>
    <t>04:17</t>
  </si>
  <si>
    <t>Krone ус018377</t>
  </si>
  <si>
    <t>12:27</t>
  </si>
  <si>
    <t>07:17</t>
  </si>
  <si>
    <t>Россия,Мордовия</t>
  </si>
  <si>
    <t>КАМАЗ р234хе198</t>
  </si>
  <si>
    <t>SITRAK х618хк198</t>
  </si>
  <si>
    <t>02:48</t>
  </si>
  <si>
    <t>SITRAK C7H о250сс198</t>
  </si>
  <si>
    <t>Krone ев512178</t>
  </si>
  <si>
    <t>00:43</t>
  </si>
  <si>
    <t>05:16</t>
  </si>
  <si>
    <t>FOTON о623уа198</t>
  </si>
  <si>
    <t>04:56</t>
  </si>
  <si>
    <t>Dongfeng GX х347му198</t>
  </si>
  <si>
    <t>14:35</t>
  </si>
  <si>
    <t>09:24</t>
  </si>
  <si>
    <t>SITRAK C7H х885ме198</t>
  </si>
  <si>
    <t>10:31</t>
  </si>
  <si>
    <t>Krone ус192177</t>
  </si>
  <si>
    <t>13:19</t>
  </si>
  <si>
    <t>10:12</t>
  </si>
  <si>
    <t>SITRAK C7H х177нм198</t>
  </si>
  <si>
    <t>Krone ут872777</t>
  </si>
  <si>
    <t>04:06</t>
  </si>
  <si>
    <t>SITRAK х313нм198</t>
  </si>
  <si>
    <t>Россия,Кировская область</t>
  </si>
  <si>
    <t>SITRAK р088ха198</t>
  </si>
  <si>
    <t>Dongfeng KX х161ав198</t>
  </si>
  <si>
    <t>09:22</t>
  </si>
  <si>
    <t>13:49</t>
  </si>
  <si>
    <t>Dongfeng KX с586св797</t>
  </si>
  <si>
    <t>19:26</t>
  </si>
  <si>
    <t>04:33</t>
  </si>
  <si>
    <t>Россия,Кемеровская область</t>
  </si>
  <si>
    <t>Dongfeng KX х146ав198</t>
  </si>
  <si>
    <t>00:49</t>
  </si>
  <si>
    <t>12:41</t>
  </si>
  <si>
    <t>Dongfeng KX х104ав198</t>
  </si>
  <si>
    <t>Dongfeng KX с078ст797</t>
  </si>
  <si>
    <t>Россия,Тюменская область</t>
  </si>
  <si>
    <t>Dongfeng KX х119аа198</t>
  </si>
  <si>
    <t>07:10</t>
  </si>
  <si>
    <t>SITRAK C7H е409см797</t>
  </si>
  <si>
    <t>17:49</t>
  </si>
  <si>
    <t>ЦТТМ ев387078</t>
  </si>
  <si>
    <t>Россия,Пермский край</t>
  </si>
  <si>
    <t>SITRAK C7H у115сс797</t>
  </si>
  <si>
    <t>09:59</t>
  </si>
  <si>
    <t>Long Gua ут136477</t>
  </si>
  <si>
    <t>DAYUN к913то797</t>
  </si>
  <si>
    <t>DAYUN е218ту797</t>
  </si>
  <si>
    <t>15:12</t>
  </si>
  <si>
    <t>ЦТТМ тв957277</t>
  </si>
  <si>
    <t>12:38</t>
  </si>
  <si>
    <t>DAYUN к439ту797</t>
  </si>
  <si>
    <t>Россия,Ханты-Мансийский автономный округ — Югра</t>
  </si>
  <si>
    <t>FOTON AUMAN к132тм797</t>
  </si>
  <si>
    <t>06:08</t>
  </si>
  <si>
    <t>03:05</t>
  </si>
  <si>
    <t>FOTON AUMAN к419ту797</t>
  </si>
  <si>
    <t>12:07</t>
  </si>
  <si>
    <t>FOTON AUMAN е290тм797</t>
  </si>
  <si>
    <t>Krone ус018577</t>
  </si>
  <si>
    <t>05:15</t>
  </si>
  <si>
    <t>Полуприцеп ЦТТМ тв875777</t>
  </si>
  <si>
    <t>05:22</t>
  </si>
  <si>
    <t>ЦТТМ тв994777</t>
  </si>
  <si>
    <t>ЦТТМ тв920777</t>
  </si>
  <si>
    <t>09:41</t>
  </si>
  <si>
    <t>SITRAK е337тм797</t>
  </si>
  <si>
    <t>02:58</t>
  </si>
  <si>
    <t>DAYUN к422ту797</t>
  </si>
  <si>
    <t>DAYUN в435тн797</t>
  </si>
  <si>
    <t>09:21</t>
  </si>
  <si>
    <t>FOTON AUMAN е320ср797</t>
  </si>
  <si>
    <t>01:37</t>
  </si>
  <si>
    <t>FOTON а075ух797</t>
  </si>
  <si>
    <t>02:54</t>
  </si>
  <si>
    <t>FOTON AUMAN е413то797</t>
  </si>
  <si>
    <t>10:05</t>
  </si>
  <si>
    <t>FOTON AUMAN в568тн797</t>
  </si>
  <si>
    <t>05:03</t>
  </si>
  <si>
    <t>FOTON AUMAN е335ср797</t>
  </si>
  <si>
    <t>FOTON AUMAN е755ту797</t>
  </si>
  <si>
    <t>14:29</t>
  </si>
  <si>
    <t>FOTON в255тн797</t>
  </si>
  <si>
    <t>08:37</t>
  </si>
  <si>
    <t>14:20</t>
  </si>
  <si>
    <t>01:02</t>
  </si>
  <si>
    <t>ЦТТМ тв958177</t>
  </si>
  <si>
    <t>23:39</t>
  </si>
  <si>
    <t>FOTON к599тр797</t>
  </si>
  <si>
    <t>FOTON м686ту797</t>
  </si>
  <si>
    <t>FOTON х896сн797</t>
  </si>
  <si>
    <t>17:30</t>
  </si>
  <si>
    <t>FOTON к828ту797</t>
  </si>
  <si>
    <t>Россия,Ярославская область</t>
  </si>
  <si>
    <t>Полуприцеп ЦТТМ тв998077</t>
  </si>
  <si>
    <t>00:54</t>
  </si>
  <si>
    <t>12:34</t>
  </si>
  <si>
    <t>Полуприцеп ЦТТМ тв897577</t>
  </si>
  <si>
    <t>Полуприцеп ЦТТМ тв826477</t>
  </si>
  <si>
    <t>02:07</t>
  </si>
  <si>
    <t>Полуприцеп ЦТТМ тв998177</t>
  </si>
  <si>
    <t>0.</t>
  </si>
  <si>
    <t>DAYUN е209ту797</t>
  </si>
  <si>
    <t>DAYUN е340тм797</t>
  </si>
  <si>
    <t>02:39</t>
  </si>
  <si>
    <t>SITRAK C7H х108ср797</t>
  </si>
  <si>
    <t>SITRAK C7H е181ту797</t>
  </si>
  <si>
    <t>00:35</t>
  </si>
  <si>
    <t>Россия,Орловская область</t>
  </si>
  <si>
    <t>Полуприцеп ЦТТМ тв925077</t>
  </si>
  <si>
    <t>BEIBEN в461те797</t>
  </si>
  <si>
    <t>08:11</t>
  </si>
  <si>
    <t>08:27</t>
  </si>
  <si>
    <t>BEIBEN а076тс797</t>
  </si>
  <si>
    <t>12:29</t>
  </si>
  <si>
    <t>Россия,Ивановская область</t>
  </si>
  <si>
    <t>SITRAK C7H в476тн797</t>
  </si>
  <si>
    <t>14:44</t>
  </si>
  <si>
    <t>07:47</t>
  </si>
  <si>
    <t>Полуприцеп тв865977</t>
  </si>
  <si>
    <t>Полуприцеп тв924877</t>
  </si>
  <si>
    <t>03:38</t>
  </si>
  <si>
    <t>ЦТТМ ев393578</t>
  </si>
  <si>
    <t>ЦТТМ ев393778</t>
  </si>
  <si>
    <t>09:16</t>
  </si>
  <si>
    <t>ЦТТМ ев392478</t>
  </si>
  <si>
    <t>18:51</t>
  </si>
  <si>
    <t>ЦТТМ ус280877</t>
  </si>
  <si>
    <t>04:29</t>
  </si>
  <si>
    <t>ЦТТМ ев391178</t>
  </si>
  <si>
    <t>ЦТТМ ус147377</t>
  </si>
  <si>
    <t>SITRAK е032тт797</t>
  </si>
  <si>
    <t>07:19</t>
  </si>
  <si>
    <t>Krone ус209677</t>
  </si>
  <si>
    <t>SITRAK C7H м817вн763</t>
  </si>
  <si>
    <t>FOTON AUMAN р462вх198</t>
  </si>
  <si>
    <t>Schmitz вс670678</t>
  </si>
  <si>
    <t>01:25</t>
  </si>
  <si>
    <t>15:08</t>
  </si>
  <si>
    <t>Krone ут878777</t>
  </si>
  <si>
    <t>TY 330-A</t>
  </si>
  <si>
    <t>08:40</t>
  </si>
  <si>
    <t>06:15</t>
  </si>
  <si>
    <t>MAMMUT ев588678</t>
  </si>
  <si>
    <t>отсутствует в списке</t>
  </si>
  <si>
    <t>Иной</t>
  </si>
  <si>
    <t>04:22</t>
  </si>
  <si>
    <t>Schmitz ев571778</t>
  </si>
  <si>
    <t>05:05</t>
  </si>
  <si>
    <t>SITRAK C7H х843ме198</t>
  </si>
  <si>
    <t>SITRAK C7H о192ан198</t>
  </si>
  <si>
    <t>Krone ус092177</t>
  </si>
  <si>
    <t>Krone ус091277</t>
  </si>
  <si>
    <t>Krone ен142450</t>
  </si>
  <si>
    <t>Krone ус091377</t>
  </si>
  <si>
    <t>11:03</t>
  </si>
  <si>
    <t>Krone ус099877</t>
  </si>
  <si>
    <t>КАМАЗ в607ен774</t>
  </si>
  <si>
    <t>SITRAK C7H р166хк198</t>
  </si>
  <si>
    <t>Krone ус036477</t>
  </si>
  <si>
    <t>SITRAK C7H р188хх198</t>
  </si>
  <si>
    <t>05:23</t>
  </si>
  <si>
    <t>18:05</t>
  </si>
  <si>
    <t>VOLVO FH р165хн198</t>
  </si>
  <si>
    <t>01:05</t>
  </si>
  <si>
    <t>SITRAK о247нк136</t>
  </si>
  <si>
    <t>06:06</t>
  </si>
  <si>
    <t>SITRAK C7H х231нм198</t>
  </si>
  <si>
    <t>07:34</t>
  </si>
  <si>
    <t>Krone ус018177</t>
  </si>
  <si>
    <t>05:25</t>
  </si>
  <si>
    <t>10:15</t>
  </si>
  <si>
    <t>КАМАЗ х297нм198</t>
  </si>
  <si>
    <t>SITRAK C7H р189кв198</t>
  </si>
  <si>
    <t>C7H</t>
  </si>
  <si>
    <t>SITRAK C7H х050ун198</t>
  </si>
  <si>
    <t>FOTON AUMAN х090нв198</t>
  </si>
  <si>
    <t>Dongfeng GX х087ун198</t>
  </si>
  <si>
    <t>SANY 495AS у603со198</t>
  </si>
  <si>
    <t>09:55</t>
  </si>
  <si>
    <t>04:02</t>
  </si>
  <si>
    <t>FOTON AUMAN х182нм198</t>
  </si>
  <si>
    <t>00:59</t>
  </si>
  <si>
    <t>SITRAK х338ус198</t>
  </si>
  <si>
    <t>01:30</t>
  </si>
  <si>
    <t>Dongfeng KX х126ав198</t>
  </si>
  <si>
    <t>00:40</t>
  </si>
  <si>
    <t>Dongfeng KX х158ав198</t>
  </si>
  <si>
    <t>02:38</t>
  </si>
  <si>
    <t>Dongfeng KX х153ав198</t>
  </si>
  <si>
    <t>03:20</t>
  </si>
  <si>
    <t>08:35</t>
  </si>
  <si>
    <t>Dongfeng KX х137ав198</t>
  </si>
  <si>
    <t>Dongfeng KX х125аа198</t>
  </si>
  <si>
    <t>09:13</t>
  </si>
  <si>
    <t>SITRAK C7H у565су797</t>
  </si>
  <si>
    <t>Schmitz ут136377</t>
  </si>
  <si>
    <t>SITRAK C7H у042сс797</t>
  </si>
  <si>
    <t>DAYUN е394св797</t>
  </si>
  <si>
    <t>DAYUN м960та797</t>
  </si>
  <si>
    <t>DAYUN а095ср797</t>
  </si>
  <si>
    <t>ЦТТМ тв944177</t>
  </si>
  <si>
    <t>07:58</t>
  </si>
  <si>
    <t>ЦТТМ тв932777</t>
  </si>
  <si>
    <t>DAYUN х543со797</t>
  </si>
  <si>
    <t>FOTON AUMAN м997тн797</t>
  </si>
  <si>
    <t>FOTON AUMAN е704то797</t>
  </si>
  <si>
    <t>06:01</t>
  </si>
  <si>
    <t>FOTON AUMAN а055сх797</t>
  </si>
  <si>
    <t>14:59</t>
  </si>
  <si>
    <t>08:45</t>
  </si>
  <si>
    <t>ЦТТМ тв934277</t>
  </si>
  <si>
    <t>09:57</t>
  </si>
  <si>
    <t>ЦТТМ тв933777</t>
  </si>
  <si>
    <t>5542</t>
  </si>
  <si>
    <t>ЦТТМ тв897677</t>
  </si>
  <si>
    <t>14:36</t>
  </si>
  <si>
    <t>FOTON AUMAN м112тс797</t>
  </si>
  <si>
    <t>SITRAK е331ср797</t>
  </si>
  <si>
    <t>05:24</t>
  </si>
  <si>
    <t>SITRAK к918то797</t>
  </si>
  <si>
    <t>00:25</t>
  </si>
  <si>
    <t>SITRAK а076ху797</t>
  </si>
  <si>
    <t>05:17</t>
  </si>
  <si>
    <t>SITRAK а061са797</t>
  </si>
  <si>
    <t>07:39</t>
  </si>
  <si>
    <t>DAYUN в607тр797</t>
  </si>
  <si>
    <t>DAYUN о561сх797</t>
  </si>
  <si>
    <t>05:28</t>
  </si>
  <si>
    <t>04:31</t>
  </si>
  <si>
    <t>DAYUN е847ту797</t>
  </si>
  <si>
    <t>07:06</t>
  </si>
  <si>
    <t>ЦТТМ тв924577</t>
  </si>
  <si>
    <t>FOTON AUMAN м690ту797</t>
  </si>
  <si>
    <t>23:05</t>
  </si>
  <si>
    <t>FOTON о017ст797</t>
  </si>
  <si>
    <t>FOTON AUMAN в585тн797</t>
  </si>
  <si>
    <t>FOTON AUMAN а096хм797</t>
  </si>
  <si>
    <t>FOTON AUMAN в722тн797</t>
  </si>
  <si>
    <t>FOTON AUMAN е236тс797</t>
  </si>
  <si>
    <t>FOTON е941ск797</t>
  </si>
  <si>
    <t>ЦТТМ тв994677</t>
  </si>
  <si>
    <t>810</t>
  </si>
  <si>
    <t>ЦТТМ тв917577</t>
  </si>
  <si>
    <t>13:39</t>
  </si>
  <si>
    <t>10:20</t>
  </si>
  <si>
    <t>FOTON м093тс797</t>
  </si>
  <si>
    <t>FOTON х909сн797</t>
  </si>
  <si>
    <t>Полуприцеп ЦТТМ тв997577</t>
  </si>
  <si>
    <t>14:54</t>
  </si>
  <si>
    <t>Полуприцеп ЦТТМ тв869277</t>
  </si>
  <si>
    <t>17:12</t>
  </si>
  <si>
    <t>06:47</t>
  </si>
  <si>
    <t>Полуприцеп ЦТТМ тв946877</t>
  </si>
  <si>
    <t>05:26</t>
  </si>
  <si>
    <t>Long Gua ут137477</t>
  </si>
  <si>
    <t>12:21</t>
  </si>
  <si>
    <t>07:43</t>
  </si>
  <si>
    <t>Полуприцеп ЦТТМ тв925177</t>
  </si>
  <si>
    <t>03:18</t>
  </si>
  <si>
    <t>DAYUN м317тс797</t>
  </si>
  <si>
    <t>BEIBEN в957тр797</t>
  </si>
  <si>
    <t>SITRAK C7H к410ту797</t>
  </si>
  <si>
    <t>Полуприцеп ЦТТМ тв943677</t>
  </si>
  <si>
    <t>Полуприцеп тв924277</t>
  </si>
  <si>
    <t>07:13</t>
  </si>
  <si>
    <t>Полуприцеп ЦТТМ тв918077</t>
  </si>
  <si>
    <t>ЦТТМ ев391878</t>
  </si>
  <si>
    <t>03:28</t>
  </si>
  <si>
    <t>19:19</t>
  </si>
  <si>
    <t>01:12</t>
  </si>
  <si>
    <t>ЦТТМ ус343977</t>
  </si>
  <si>
    <t>10:11</t>
  </si>
  <si>
    <t>SITRAKр161хе198</t>
  </si>
  <si>
    <t>11:08</t>
  </si>
  <si>
    <t>ЦТТМ ус136977</t>
  </si>
  <si>
    <t>10:01</t>
  </si>
  <si>
    <t>Schmitz ус282277</t>
  </si>
  <si>
    <t>FOTON р143хв198</t>
  </si>
  <si>
    <t>13:14</t>
  </si>
  <si>
    <t>ЦТТМ ус308877</t>
  </si>
  <si>
    <t>04:40</t>
  </si>
  <si>
    <t>14:50</t>
  </si>
  <si>
    <t>KRONE ус129977</t>
  </si>
  <si>
    <t>16:15</t>
  </si>
  <si>
    <t>ЦТТМ ус154477</t>
  </si>
  <si>
    <t>ЦТТМ ус207377</t>
  </si>
  <si>
    <t>Schmitz вс744178</t>
  </si>
  <si>
    <t>SHACMAN в581кк774</t>
  </si>
  <si>
    <t>01:14</t>
  </si>
  <si>
    <t>SHACMAN р254вр198</t>
  </si>
  <si>
    <t>Schmitz вс740878</t>
  </si>
  <si>
    <t>Schmitz вр664678</t>
  </si>
  <si>
    <t>FOTON AUMAN р462хе198</t>
  </si>
  <si>
    <t>03:42</t>
  </si>
  <si>
    <t>FOTON AUMAN р401хв198</t>
  </si>
  <si>
    <t>00:52</t>
  </si>
  <si>
    <t>10:32</t>
  </si>
  <si>
    <t>12:35</t>
  </si>
  <si>
    <t>Krone ус135977</t>
  </si>
  <si>
    <t>Schmitz вс671278</t>
  </si>
  <si>
    <t>01:08</t>
  </si>
  <si>
    <t>ЦТТМ ус136877</t>
  </si>
  <si>
    <t>ЦТТМ ус134577</t>
  </si>
  <si>
    <t>04:45</t>
  </si>
  <si>
    <t>KRONE ее682678</t>
  </si>
  <si>
    <t>Schmitz ев573378</t>
  </si>
  <si>
    <t>Schmitz ев573478</t>
  </si>
  <si>
    <t>00:32</t>
  </si>
  <si>
    <t>Schmitz ее744378</t>
  </si>
  <si>
    <t>02:08</t>
  </si>
  <si>
    <t>Schmitz ее563378</t>
  </si>
  <si>
    <t>13:51</t>
  </si>
  <si>
    <t>KRONE ее564078</t>
  </si>
  <si>
    <t>Krone ус092377</t>
  </si>
  <si>
    <t>14:48</t>
  </si>
  <si>
    <t>07:41</t>
  </si>
  <si>
    <t>KRONE ее658878</t>
  </si>
  <si>
    <t>03:58</t>
  </si>
  <si>
    <t>Schmitz ее658378</t>
  </si>
  <si>
    <t>KRONE ее586178</t>
  </si>
  <si>
    <t>KRONE ее683178</t>
  </si>
  <si>
    <t>Schmitz ее682978</t>
  </si>
  <si>
    <t>Schmitz ее251478</t>
  </si>
  <si>
    <t>Krone ус089677</t>
  </si>
  <si>
    <t>16:02</t>
  </si>
  <si>
    <t>SITRAK C7H р169хо198</t>
  </si>
  <si>
    <t>М1840</t>
  </si>
  <si>
    <t>КАМАЗ р164хм198</t>
  </si>
  <si>
    <t>SHACMAN  х234нм198</t>
  </si>
  <si>
    <t>07:16</t>
  </si>
  <si>
    <t>FOTON р403во198</t>
  </si>
  <si>
    <t>Krone ут892577</t>
  </si>
  <si>
    <t>21:42</t>
  </si>
  <si>
    <t>Shacman Х6000 р462ва198</t>
  </si>
  <si>
    <t>ЦТТМ ут897277</t>
  </si>
  <si>
    <t>02:14</t>
  </si>
  <si>
    <t>08:30</t>
  </si>
  <si>
    <t>Sany у612со198</t>
  </si>
  <si>
    <t>FOTON AUMAN р185хк198</t>
  </si>
  <si>
    <t>01:40</t>
  </si>
  <si>
    <t>FOTON AUMAN у740ув198</t>
  </si>
  <si>
    <t>Камаз М1945 х379му198</t>
  </si>
  <si>
    <t>06:53</t>
  </si>
  <si>
    <t>FOTON AUMAN р190ев198</t>
  </si>
  <si>
    <t>Krone ут878877</t>
  </si>
  <si>
    <t>SITRAK C7H х638ур198</t>
  </si>
  <si>
    <t>10:58</t>
  </si>
  <si>
    <t>Dongfeng KX х103ав198</t>
  </si>
  <si>
    <t>Dongfeng KX с058ст797</t>
  </si>
  <si>
    <t>Dongfeng KX с578сх797</t>
  </si>
  <si>
    <t>23:16</t>
  </si>
  <si>
    <t>Dongfeng KX х132ав198</t>
  </si>
  <si>
    <t>Dongfeng KX т090са797</t>
  </si>
  <si>
    <t>ЦТТМ ев387678</t>
  </si>
  <si>
    <t>Schmitz ут136777</t>
  </si>
  <si>
    <t>10:45</t>
  </si>
  <si>
    <t>Полуприцеп тв946077</t>
  </si>
  <si>
    <t>786</t>
  </si>
  <si>
    <t>785</t>
  </si>
  <si>
    <t>00:56</t>
  </si>
  <si>
    <t>20:26</t>
  </si>
  <si>
    <t>ЦТТМ тв941277</t>
  </si>
  <si>
    <t>03:48</t>
  </si>
  <si>
    <t>SITRAK C7H е908то797</t>
  </si>
  <si>
    <t>Полуприцеп ЦТТМ тв958277</t>
  </si>
  <si>
    <t>656</t>
  </si>
  <si>
    <t>Полуприцеп ЦТТМ тв883877</t>
  </si>
  <si>
    <t>ЦТТМ тв958577</t>
  </si>
  <si>
    <t>FOTON AUMAN е304ср797</t>
  </si>
  <si>
    <t>14:39</t>
  </si>
  <si>
    <t>ЦТТМ тв918677</t>
  </si>
  <si>
    <t>04:46</t>
  </si>
  <si>
    <t>08:25</t>
  </si>
  <si>
    <t>Полуприцеп ЦТТМ тв944377</t>
  </si>
  <si>
    <t>05:32</t>
  </si>
  <si>
    <t>ЦТТМ тв944277</t>
  </si>
  <si>
    <t>ЦТТМ тв993077</t>
  </si>
  <si>
    <t>15:00</t>
  </si>
  <si>
    <t>FOTON AUMAN о035ск797</t>
  </si>
  <si>
    <t>DAYUN м185тн797</t>
  </si>
  <si>
    <t>DAYUN в744тв797</t>
  </si>
  <si>
    <t>KRONE ее563878</t>
  </si>
  <si>
    <t>02:06</t>
  </si>
  <si>
    <t>FOTON AUMAN к646тр797</t>
  </si>
  <si>
    <t>FOTON AUMAN в474тн797</t>
  </si>
  <si>
    <t>FOTON е321см797</t>
  </si>
  <si>
    <t>FOTON AUMAN к605тр797</t>
  </si>
  <si>
    <t>FOTON AUMAN х589со797</t>
  </si>
  <si>
    <t>FOTON AUMAN а166хр797</t>
  </si>
  <si>
    <t>37.04</t>
  </si>
  <si>
    <t>02:52</t>
  </si>
  <si>
    <t>FOTON в613тн797</t>
  </si>
  <si>
    <t>01:15</t>
  </si>
  <si>
    <t>01:34</t>
  </si>
  <si>
    <t>FOTON AUMAN в371тм797</t>
  </si>
  <si>
    <t>FOTON AUMAN к240тс797</t>
  </si>
  <si>
    <t>01:07</t>
  </si>
  <si>
    <t>01:00</t>
  </si>
  <si>
    <t>FOTON е412см797</t>
  </si>
  <si>
    <t>Полуприцеп ЦТТМ тв939677</t>
  </si>
  <si>
    <t>15:36</t>
  </si>
  <si>
    <t>Полуприцеп ЦТТМ тв933177</t>
  </si>
  <si>
    <t>05:45</t>
  </si>
  <si>
    <t>Полуприцеп ЦТТМ тв884177</t>
  </si>
  <si>
    <t>05:36</t>
  </si>
  <si>
    <t>Полуприцеп ЦТТМ тв939777</t>
  </si>
  <si>
    <t>09:32</t>
  </si>
  <si>
    <t>Полуприцеп ЦТТМ тв939577</t>
  </si>
  <si>
    <t>DAYUN а055ут797</t>
  </si>
  <si>
    <t>DAYUN е633тр797</t>
  </si>
  <si>
    <t>Полуприцеп ЦТТМ тв957777</t>
  </si>
  <si>
    <t>SITRAK а164уо797</t>
  </si>
  <si>
    <t>03:53</t>
  </si>
  <si>
    <t>Полуприцеп тв924777</t>
  </si>
  <si>
    <t>962</t>
  </si>
  <si>
    <t>00:53</t>
  </si>
  <si>
    <t>ЦТТМ ев391978</t>
  </si>
  <si>
    <t>ЦТТМ ев392878</t>
  </si>
  <si>
    <t>09:50</t>
  </si>
  <si>
    <t>ЦТТМ ев392778</t>
  </si>
  <si>
    <t>MAXIMA 1300</t>
  </si>
  <si>
    <t>02:42</t>
  </si>
  <si>
    <t>Schmitz ус283077</t>
  </si>
  <si>
    <t>ЦТТМ ус136377</t>
  </si>
  <si>
    <t>KRONE ус029877</t>
  </si>
  <si>
    <t>Россия,Кабардино-Балкария</t>
  </si>
  <si>
    <t>ЦТТМ ев390978</t>
  </si>
  <si>
    <t>ЦТТМ ус135577</t>
  </si>
  <si>
    <t>ЦТТМ ус135477</t>
  </si>
  <si>
    <t>Scania у833нн716</t>
  </si>
  <si>
    <t>SITRAK к868ка763</t>
  </si>
  <si>
    <t>10:03</t>
  </si>
  <si>
    <t>09:10</t>
  </si>
  <si>
    <t>KRONE вр089478</t>
  </si>
  <si>
    <t>SCHMITZ ее561678</t>
  </si>
  <si>
    <t>ЦТТМ ус125177</t>
  </si>
  <si>
    <t>Schmitz ее743278</t>
  </si>
  <si>
    <t>Schmitz ее743578</t>
  </si>
  <si>
    <t>Schmitz ев573278</t>
  </si>
  <si>
    <t>12:52</t>
  </si>
  <si>
    <t>10:51</t>
  </si>
  <si>
    <t>Krone ус106177</t>
  </si>
  <si>
    <t>01:36</t>
  </si>
  <si>
    <t>KRONE ее589978</t>
  </si>
  <si>
    <t>KRONE ее743378</t>
  </si>
  <si>
    <t>Полуприцеп ЦТТМ тв944577</t>
  </si>
  <si>
    <t>02:10</t>
  </si>
  <si>
    <t>Krone еу809550</t>
  </si>
  <si>
    <t>FOTON AUMAN р160ху198</t>
  </si>
  <si>
    <t>00:01</t>
  </si>
  <si>
    <t>КАМАЗ м185на797</t>
  </si>
  <si>
    <t>10:17</t>
  </si>
  <si>
    <t>Dongfeng GX р403ве198</t>
  </si>
  <si>
    <t>SITRAK C7H LZZ7CCWD3PC614437</t>
  </si>
  <si>
    <t>14:32</t>
  </si>
  <si>
    <t>09:27</t>
  </si>
  <si>
    <t>Krone ут902777</t>
  </si>
  <si>
    <t>FOTON AUMAN р189вс198</t>
  </si>
  <si>
    <t>VOLVO FH р141ху198</t>
  </si>
  <si>
    <t>02:30</t>
  </si>
  <si>
    <t>SITRAK р487вк198</t>
  </si>
  <si>
    <t>Krone ус028577</t>
  </si>
  <si>
    <t>08:41</t>
  </si>
  <si>
    <t>Sany х341ус198</t>
  </si>
  <si>
    <t>КАМАЗ е226мв790</t>
  </si>
  <si>
    <t>07:18</t>
  </si>
  <si>
    <t>Россия,Белгородская область</t>
  </si>
  <si>
    <t>FOTON AUMAN х205нм198</t>
  </si>
  <si>
    <t>SANY 495AS у728со198</t>
  </si>
  <si>
    <t>SITRAK C7H х628ур198</t>
  </si>
  <si>
    <t>FOTON AUMAN х226нм198</t>
  </si>
  <si>
    <t>Dongfeng KX х160ав198</t>
  </si>
  <si>
    <t>04:28</t>
  </si>
  <si>
    <t>Dongfeng KX х117аа198</t>
  </si>
  <si>
    <t>23:44</t>
  </si>
  <si>
    <t>Dongfeng KX х121ав198</t>
  </si>
  <si>
    <t>01:21</t>
  </si>
  <si>
    <t>10:54</t>
  </si>
  <si>
    <t>Dongfeng KX х143ав198</t>
  </si>
  <si>
    <t>Dongfeng KX х159ав198</t>
  </si>
  <si>
    <t>Dongfeng KX с627св797</t>
  </si>
  <si>
    <t>Dongfeng KX с052сн797</t>
  </si>
  <si>
    <t>Dongfeng KX х100ав198</t>
  </si>
  <si>
    <t>ЦТТМ ев393678</t>
  </si>
  <si>
    <t>SITRAK C7H е233тх797</t>
  </si>
  <si>
    <t>ЦТТМ ев387378</t>
  </si>
  <si>
    <t>ЦТТМ ев386978</t>
  </si>
  <si>
    <t>09:25</t>
  </si>
  <si>
    <t>SITRAK C7H у096сс797</t>
  </si>
  <si>
    <t>03:17</t>
  </si>
  <si>
    <t>Schmitz ев321778</t>
  </si>
  <si>
    <t>04:43</t>
  </si>
  <si>
    <t>Schmitz ев322078</t>
  </si>
  <si>
    <t>Schmitz ев322178</t>
  </si>
  <si>
    <t>Schmitz ев321678</t>
  </si>
  <si>
    <t>09:53</t>
  </si>
  <si>
    <t>ЦТТМ тв953377</t>
  </si>
  <si>
    <t>ЦТТМ тв876277</t>
  </si>
  <si>
    <t>ЦТТМ тв995877</t>
  </si>
  <si>
    <t>16:55</t>
  </si>
  <si>
    <t>Полуприцеп ЦТТМ тв818777</t>
  </si>
  <si>
    <t>DAYUN в814тв797</t>
  </si>
  <si>
    <t>DAYUN е834ту797</t>
  </si>
  <si>
    <t>05:27</t>
  </si>
  <si>
    <t>FOTON к591та797</t>
  </si>
  <si>
    <t>FOTON AUMAN е049тт797</t>
  </si>
  <si>
    <t>13:44</t>
  </si>
  <si>
    <t>FOTON AUMAN е743ту797</t>
  </si>
  <si>
    <t>ЦТТМ тв883477</t>
  </si>
  <si>
    <t>ЦТТМ тв918277</t>
  </si>
  <si>
    <t>ЦТТМ тв952177</t>
  </si>
  <si>
    <t>ЦТТМ тв934177</t>
  </si>
  <si>
    <t>05:20</t>
  </si>
  <si>
    <t>FOTON AUMAN е265ту797</t>
  </si>
  <si>
    <t>02:21</t>
  </si>
  <si>
    <t>12:37</t>
  </si>
  <si>
    <t>09:00</t>
  </si>
  <si>
    <t>SITRAK м689ту797</t>
  </si>
  <si>
    <t>SITRAK е890то797</t>
  </si>
  <si>
    <t>DAYUN е918со797</t>
  </si>
  <si>
    <t>01:31</t>
  </si>
  <si>
    <t>DAYUN м039тх797</t>
  </si>
  <si>
    <t>FOTON AUMAN в980те797</t>
  </si>
  <si>
    <t>13:02</t>
  </si>
  <si>
    <t>10:38</t>
  </si>
  <si>
    <t>FOTON AUMAN в347тм797</t>
  </si>
  <si>
    <t>08:51</t>
  </si>
  <si>
    <t>FOTON AUMAN о014ст797</t>
  </si>
  <si>
    <t>FOTON AUMAN м122тс797</t>
  </si>
  <si>
    <t>FOTON AUMAN р075са797</t>
  </si>
  <si>
    <t>00:42</t>
  </si>
  <si>
    <t>FOTON AUMAN а171те797</t>
  </si>
  <si>
    <t>00:50</t>
  </si>
  <si>
    <t>FOTON AUMAN а069ху797</t>
  </si>
  <si>
    <t>FOTON м336тс797</t>
  </si>
  <si>
    <t>FOTON AUMAN о025ст797</t>
  </si>
  <si>
    <t>FOTON AUMAN е230тс797</t>
  </si>
  <si>
    <t>330</t>
  </si>
  <si>
    <t>ЦТТМ тв936577</t>
  </si>
  <si>
    <t>Полуприцеп ЦТТМ тв940277</t>
  </si>
  <si>
    <t>06:04</t>
  </si>
  <si>
    <t>06:55</t>
  </si>
  <si>
    <t>Полуприцеп ЦТТМ тв896477</t>
  </si>
  <si>
    <t>ЦТТМ тв854377</t>
  </si>
  <si>
    <t>Полуприцеп ЦТТМ тв886377</t>
  </si>
  <si>
    <t>Полуприцеп ЦТТМ тв946477</t>
  </si>
  <si>
    <t>01:51</t>
  </si>
  <si>
    <t>Полуприцеп ЦТТМ тв993877</t>
  </si>
  <si>
    <t>DAYUN к792ту797</t>
  </si>
  <si>
    <t>Полуприцеп ЦТТМ тв946177</t>
  </si>
  <si>
    <t>BEIBEN м280тс797</t>
  </si>
  <si>
    <t>06:43</t>
  </si>
  <si>
    <t>DAYUN к440ту797</t>
  </si>
  <si>
    <t>FOTON AUMAN р154хс198</t>
  </si>
  <si>
    <t>01:52</t>
  </si>
  <si>
    <t>KRONE ус330377</t>
  </si>
  <si>
    <t>Ref/Ret</t>
  </si>
  <si>
    <t>KRONE ва716760</t>
  </si>
  <si>
    <t>04:49</t>
  </si>
  <si>
    <t>ЦТТМ ус136677</t>
  </si>
  <si>
    <t>SITRAK C7H LZZ7CCWD0PC487744</t>
  </si>
  <si>
    <t>04:32</t>
  </si>
  <si>
    <t>у154хе198</t>
  </si>
  <si>
    <t>546</t>
  </si>
  <si>
    <t>13:45</t>
  </si>
  <si>
    <t>Полуприцеп ЦТТМ тв993277</t>
  </si>
  <si>
    <t>05:52</t>
  </si>
  <si>
    <t>Полуприцеп тв925277</t>
  </si>
  <si>
    <t>Полуприцеп ЦТТМ тв925877</t>
  </si>
  <si>
    <t>ЦТТМ ев392678</t>
  </si>
  <si>
    <t>ЦТТМ ев393978</t>
  </si>
  <si>
    <t>ЦТТМ ус330577</t>
  </si>
  <si>
    <t>ЦТТМ ус289977</t>
  </si>
  <si>
    <t>06:30</t>
  </si>
  <si>
    <t>13:24</t>
  </si>
  <si>
    <t>04:04</t>
  </si>
  <si>
    <t>ЦТТМ ус151777</t>
  </si>
  <si>
    <t>Отсутствует в списке ус149277</t>
  </si>
  <si>
    <t>ЦТТМ ус304877</t>
  </si>
  <si>
    <t>12:08</t>
  </si>
  <si>
    <t>ЦТТМ ус290077</t>
  </si>
  <si>
    <t>ЦТТМ ус280777</t>
  </si>
  <si>
    <t>ЦТТМ ут897177</t>
  </si>
  <si>
    <t>Schmitz вр722278</t>
  </si>
  <si>
    <t>1051</t>
  </si>
  <si>
    <t>11:40</t>
  </si>
  <si>
    <t>MAMMUT ев588778</t>
  </si>
  <si>
    <t>18:01</t>
  </si>
  <si>
    <t>Krone ус136277</t>
  </si>
  <si>
    <t>Krone ев572178</t>
  </si>
  <si>
    <t>15:23</t>
  </si>
  <si>
    <t>08:36</t>
  </si>
  <si>
    <t>ЦТТМ ус129577</t>
  </si>
  <si>
    <t>ЦТТМ ус092877</t>
  </si>
  <si>
    <t>05:40</t>
  </si>
  <si>
    <t>07:45</t>
  </si>
  <si>
    <t>KRONE ус096577</t>
  </si>
  <si>
    <t>Krone ее684878</t>
  </si>
  <si>
    <t>Россия,Иркутская область</t>
  </si>
  <si>
    <t>Krone ус091177</t>
  </si>
  <si>
    <t>21:40</t>
  </si>
  <si>
    <t>Schmitz ее658678</t>
  </si>
  <si>
    <t>KRONE ее565078</t>
  </si>
  <si>
    <t>Schmitz ее586078</t>
  </si>
  <si>
    <t>09:29</t>
  </si>
  <si>
    <t>Schmitz ее250578</t>
  </si>
  <si>
    <t>06:48</t>
  </si>
  <si>
    <t>KRONE ее039378</t>
  </si>
  <si>
    <t>КАМАЗ х117ен774</t>
  </si>
  <si>
    <t>Actros 1840</t>
  </si>
  <si>
    <t>Mercedes-Benz</t>
  </si>
  <si>
    <t>05:33</t>
  </si>
  <si>
    <t>Mercedes-Benz р195вр198</t>
  </si>
  <si>
    <t>Dongfeng GX х351му198</t>
  </si>
  <si>
    <t>14:27</t>
  </si>
  <si>
    <t>SITRAK C7H х262ус198</t>
  </si>
  <si>
    <t>Krone ус091677</t>
  </si>
  <si>
    <t>04:36</t>
  </si>
  <si>
    <t>SITRAK C7H х603хк198</t>
  </si>
  <si>
    <t>SANY 495AS у638со198</t>
  </si>
  <si>
    <t>17:09</t>
  </si>
  <si>
    <t>ЦТТМ ев391778</t>
  </si>
  <si>
    <t>SITRAK р486хт198</t>
  </si>
  <si>
    <t>ЦТТМ ут892077</t>
  </si>
  <si>
    <t>SANY 495AS у696со198</t>
  </si>
  <si>
    <t>12:45</t>
  </si>
  <si>
    <t>SITRAK C7H в553тр797</t>
  </si>
  <si>
    <t>Dongfeng GX х899ме198</t>
  </si>
  <si>
    <t>Shacman р401вх198</t>
  </si>
  <si>
    <t>ее815678</t>
  </si>
  <si>
    <t>Schmitz вр664478</t>
  </si>
  <si>
    <t>SITRAK C7H х857ме198</t>
  </si>
  <si>
    <t>ЦТТМ ус106277</t>
  </si>
  <si>
    <t>Schmitz ее251378</t>
  </si>
  <si>
    <t>КАМАЗ а493ох761</t>
  </si>
  <si>
    <t>12:22</t>
  </si>
  <si>
    <t>KRONE ее560578</t>
  </si>
  <si>
    <t>KRONE во562078</t>
  </si>
  <si>
    <t>SITRAK C7H р156хр198</t>
  </si>
  <si>
    <t>SITRAK р253ву198</t>
  </si>
  <si>
    <t>01:26</t>
  </si>
  <si>
    <t>SITRAK C7H с294тн40</t>
  </si>
  <si>
    <t>SITRAK р234вн198</t>
  </si>
  <si>
    <t>Krone ус029477</t>
  </si>
  <si>
    <t>Krone ус017977</t>
  </si>
  <si>
    <t>Krone ус019477</t>
  </si>
  <si>
    <t>Sany х298ус198</t>
  </si>
  <si>
    <t>Krone ху116352</t>
  </si>
  <si>
    <t>КАМАЗ а574ео193</t>
  </si>
  <si>
    <t>SITRAK х594хк198</t>
  </si>
  <si>
    <t>FOTON AUMAN х615на198</t>
  </si>
  <si>
    <t>02:34</t>
  </si>
  <si>
    <t>09:15</t>
  </si>
  <si>
    <t>12:10</t>
  </si>
  <si>
    <t>FOTON AUMAN у739ув198</t>
  </si>
  <si>
    <t>01:35</t>
  </si>
  <si>
    <t>14:02</t>
  </si>
  <si>
    <t>08:21</t>
  </si>
  <si>
    <t>Sany у724со198</t>
  </si>
  <si>
    <t>Dongfeng KX р235вх198</t>
  </si>
  <si>
    <t>SITRAK C7H х214нм198</t>
  </si>
  <si>
    <t>Krone ут854777</t>
  </si>
  <si>
    <t>15:02</t>
  </si>
  <si>
    <t>SITRAK C7H х468мк198</t>
  </si>
  <si>
    <t>03:16</t>
  </si>
  <si>
    <t>SHACMAN х897уу198</t>
  </si>
  <si>
    <t>09:40</t>
  </si>
  <si>
    <t>SITRAK р087ху198</t>
  </si>
  <si>
    <t>Dongfeng KX с041сн797</t>
  </si>
  <si>
    <t>Dongfeng KX х141ав198</t>
  </si>
  <si>
    <t>11:54</t>
  </si>
  <si>
    <t>DAYUN а054ух797</t>
  </si>
  <si>
    <t>DAYUN м099тс797</t>
  </si>
  <si>
    <t>DAYUN е716ту797</t>
  </si>
  <si>
    <t>06:42</t>
  </si>
  <si>
    <t>DAYUN в998тт797</t>
  </si>
  <si>
    <t>DAYUN е886ск797</t>
  </si>
  <si>
    <t>DAYUN е616ту797</t>
  </si>
  <si>
    <t>09:20</t>
  </si>
  <si>
    <t>ЦТТМ тв819177</t>
  </si>
  <si>
    <t>Dongfeng KX х128аа198</t>
  </si>
  <si>
    <t>11:18</t>
  </si>
  <si>
    <t>07:09</t>
  </si>
  <si>
    <t>Dongfeng KX т082са797</t>
  </si>
  <si>
    <t>DAYUN в713тн797</t>
  </si>
  <si>
    <t>03:57</t>
  </si>
  <si>
    <t>DAYUN м665ту797</t>
  </si>
  <si>
    <t>19:32</t>
  </si>
  <si>
    <t>04:27</t>
  </si>
  <si>
    <t>FOTON AUMAN м196тс797</t>
  </si>
  <si>
    <t>ЦТТМ тв995077</t>
  </si>
  <si>
    <t>ЦТТМ тв885077</t>
  </si>
  <si>
    <t>ЦТТМ тв957377</t>
  </si>
  <si>
    <t>ЦТТМ тв918577</t>
  </si>
  <si>
    <t>SITRAK е406см797</t>
  </si>
  <si>
    <t>SITRAK а170ха797</t>
  </si>
  <si>
    <t>07:08</t>
  </si>
  <si>
    <t>DAYUN е269тх797</t>
  </si>
  <si>
    <t>DAYUN к406ту797</t>
  </si>
  <si>
    <t>FOTON х517со797</t>
  </si>
  <si>
    <t>17:37</t>
  </si>
  <si>
    <t>ЦТТМ тв906277</t>
  </si>
  <si>
    <t>FOTON AUMAN а172хн797</t>
  </si>
  <si>
    <t>01:45</t>
  </si>
  <si>
    <t>FOTON AUMAN е926ск797</t>
  </si>
  <si>
    <t>02:22</t>
  </si>
  <si>
    <t>FOTON AUMAN х366му198</t>
  </si>
  <si>
    <t>17:18</t>
  </si>
  <si>
    <t>SITRAK C7H р158хв198</t>
  </si>
  <si>
    <t>05:13</t>
  </si>
  <si>
    <t>SITRAK C7H х223ус198</t>
  </si>
  <si>
    <t>Krone ут902677</t>
  </si>
  <si>
    <t>SITRAK х543ух198</t>
  </si>
  <si>
    <t>SITRAK х300ус198</t>
  </si>
  <si>
    <t>SITRAK х289нм198</t>
  </si>
  <si>
    <t>SITRAK х180нм198</t>
  </si>
  <si>
    <t>04:50</t>
  </si>
  <si>
    <t>Krone ут872877</t>
  </si>
  <si>
    <t>06:37</t>
  </si>
  <si>
    <t>Dongfeng KX с582сх797</t>
  </si>
  <si>
    <t>Dongfeng KX с602сх797</t>
  </si>
  <si>
    <t>Krone ут625777</t>
  </si>
  <si>
    <t>ЦТТМ ев391478</t>
  </si>
  <si>
    <t>SITRAK C7H у090сс797</t>
  </si>
  <si>
    <t>01:06</t>
  </si>
  <si>
    <t>ЦТТМ тв940677</t>
  </si>
  <si>
    <t>11:32</t>
  </si>
  <si>
    <t>Полуприцеп ЦТТМ тв923677</t>
  </si>
  <si>
    <t>ЦТТМ тв920977</t>
  </si>
  <si>
    <t>ЦТТМ тв958377</t>
  </si>
  <si>
    <t>01:01</t>
  </si>
  <si>
    <t>14:37</t>
  </si>
  <si>
    <t>DAYUN е049ту797</t>
  </si>
  <si>
    <t>DAYUN а172уу797</t>
  </si>
  <si>
    <t>ЦТТМ тв934377</t>
  </si>
  <si>
    <t>ЦТТМ тв951377</t>
  </si>
  <si>
    <t>11:59</t>
  </si>
  <si>
    <t>DAYUN м316тс797</t>
  </si>
  <si>
    <t>FOTON AUMAN м325тс797</t>
  </si>
  <si>
    <t>FOTON AUMAN е371см797</t>
  </si>
  <si>
    <t>ЦТТМ тв923777</t>
  </si>
  <si>
    <t>00:34</t>
  </si>
  <si>
    <t>ЦТТМ тв932877</t>
  </si>
  <si>
    <t>462</t>
  </si>
  <si>
    <t>11:22</t>
  </si>
  <si>
    <t>ЦТТМ тв918377</t>
  </si>
  <si>
    <t>SITRAK в652тн797</t>
  </si>
  <si>
    <t>DAYUN м722ту797</t>
  </si>
  <si>
    <t>01:41</t>
  </si>
  <si>
    <t>DAYUN а049те797</t>
  </si>
  <si>
    <t>03:31</t>
  </si>
  <si>
    <t>DAYUN е262тх797</t>
  </si>
  <si>
    <t>18:23</t>
  </si>
  <si>
    <t>ЦТТМ тв875977</t>
  </si>
  <si>
    <t>ЦТТМ тв923477</t>
  </si>
  <si>
    <t>FOTON AUMAN к380ту797</t>
  </si>
  <si>
    <t>FOTON в837те797</t>
  </si>
  <si>
    <t>FOTON AUMAN е211тх797</t>
  </si>
  <si>
    <t>11:41</t>
  </si>
  <si>
    <t>08:22</t>
  </si>
  <si>
    <t>FOTON AUMAN е401см797</t>
  </si>
  <si>
    <t>07:14</t>
  </si>
  <si>
    <t>FOTON AUMAN в479тн797</t>
  </si>
  <si>
    <t>FOTON AUMAN е792тх797</t>
  </si>
  <si>
    <t>FOTON AUMAN а060тс797</t>
  </si>
  <si>
    <t>FOTON AUMAN м565то797</t>
  </si>
  <si>
    <t>ЦТТМ тв943077</t>
  </si>
  <si>
    <t>21:23</t>
  </si>
  <si>
    <t>ЦТТМ тв875677</t>
  </si>
  <si>
    <t>FOTON о203ом797</t>
  </si>
  <si>
    <t>FOTON о215ом797</t>
  </si>
  <si>
    <t>DAYUN х124ср797</t>
  </si>
  <si>
    <t>Полуприцеп ЦТТМ тв918177</t>
  </si>
  <si>
    <t>Полуприцеп ЦТТМ тв886777</t>
  </si>
  <si>
    <t>Полуприцеп ЦТТМ тв940177</t>
  </si>
  <si>
    <t>DAYUN е676то797</t>
  </si>
  <si>
    <t>07:20</t>
  </si>
  <si>
    <t>DAYUN к905то797</t>
  </si>
  <si>
    <t>03:21</t>
  </si>
  <si>
    <t>DAYUN к963то797</t>
  </si>
  <si>
    <t>Полуприцеп ЦТТМ тв946777</t>
  </si>
  <si>
    <t>SITRAK C7H а169тк797</t>
  </si>
  <si>
    <t>1083</t>
  </si>
  <si>
    <t>10:13</t>
  </si>
  <si>
    <t>Полуприцеп ЦТТМ тв993777</t>
  </si>
  <si>
    <t>FOTON AUMAN к227тс797</t>
  </si>
  <si>
    <t>FOTON м314тс797</t>
  </si>
  <si>
    <t>FOTON AUMAN е080тм797</t>
  </si>
  <si>
    <t>Полуприцеп ЦТТМ тв998377</t>
  </si>
  <si>
    <t>265</t>
  </si>
  <si>
    <t>242</t>
  </si>
  <si>
    <t>Полуприцеп ЦТТМ тв997477</t>
  </si>
  <si>
    <t>00:13</t>
  </si>
  <si>
    <t>Полуприцеп ЦТТМ тв906377</t>
  </si>
  <si>
    <t>DAYUN к944то797</t>
  </si>
  <si>
    <t>DAYUN е578тр797</t>
  </si>
  <si>
    <t>SITRAK C7H а094хр797</t>
  </si>
  <si>
    <t>03:06</t>
  </si>
  <si>
    <t>SITRAK C7H а050то797</t>
  </si>
  <si>
    <t>SITRAK C7H в741тв797</t>
  </si>
  <si>
    <t>SITRAK C7H а170ум797</t>
  </si>
  <si>
    <t>Полуприцеп ЦТТМ тв940477</t>
  </si>
  <si>
    <t>19:06</t>
  </si>
  <si>
    <t>ЦТТМ тв958677</t>
  </si>
  <si>
    <t>06:57</t>
  </si>
  <si>
    <t>Полуприцеп тв897777</t>
  </si>
  <si>
    <t>Полуприцеп тв997977</t>
  </si>
  <si>
    <t>ЦТТМ ус304777</t>
  </si>
  <si>
    <t>ЦТТМ ев393178</t>
  </si>
  <si>
    <t>ЦТТМ ев392178</t>
  </si>
  <si>
    <t>Тонар</t>
  </si>
  <si>
    <t>03:01</t>
  </si>
  <si>
    <t>Тонар ат681122</t>
  </si>
  <si>
    <t>ЦТТМ ус281177</t>
  </si>
  <si>
    <t>Schmitz вр392578</t>
  </si>
  <si>
    <t>KRONE во755078</t>
  </si>
  <si>
    <t>05:51</t>
  </si>
  <si>
    <t>SHACMAN р167ха198</t>
  </si>
  <si>
    <t>Schmitz ее253378</t>
  </si>
  <si>
    <t>Schmitz ее656078</t>
  </si>
  <si>
    <t>00:41</t>
  </si>
  <si>
    <t>KRONE во874878</t>
  </si>
  <si>
    <t>FOTON AUMAN х415хм198</t>
  </si>
  <si>
    <t>14:30</t>
  </si>
  <si>
    <t>Krone ее561278</t>
  </si>
  <si>
    <t>10:36</t>
  </si>
  <si>
    <t>KRONE ее680978</t>
  </si>
  <si>
    <t>SITRAK х573ур198</t>
  </si>
  <si>
    <t>KRONE ее560478</t>
  </si>
  <si>
    <t>Krone ус090177</t>
  </si>
  <si>
    <t>06:35</t>
  </si>
  <si>
    <t>Krone ее588378</t>
  </si>
  <si>
    <t>Schmitz ее683778</t>
  </si>
  <si>
    <t>KRONE ее704878</t>
  </si>
  <si>
    <t>07:48</t>
  </si>
  <si>
    <t>13:22</t>
  </si>
  <si>
    <t>Schmitz ее519978</t>
  </si>
  <si>
    <t>КАМАЗ а162ох761</t>
  </si>
  <si>
    <t>КАМАЗ х320ко761</t>
  </si>
  <si>
    <t>Krone ус092277</t>
  </si>
  <si>
    <t>05:37</t>
  </si>
  <si>
    <t>SITRAK C7H х919ме198</t>
  </si>
  <si>
    <t>VOLVO FH к012ро196</t>
  </si>
  <si>
    <t>Dongfeng KX с577св797</t>
  </si>
  <si>
    <t>ЦТТМ тв936677</t>
  </si>
  <si>
    <t>15:07</t>
  </si>
  <si>
    <t>08:52</t>
  </si>
  <si>
    <t>ЦТТМ тв958477</t>
  </si>
  <si>
    <t>FOTON е248тм797</t>
  </si>
  <si>
    <t>03:34</t>
  </si>
  <si>
    <t>FOTON х695ст797</t>
  </si>
  <si>
    <t>01:20</t>
  </si>
  <si>
    <t>04:30</t>
  </si>
  <si>
    <t>Полуприцеп ЦТТМ тв933077</t>
  </si>
  <si>
    <t>Полуприцеп ЦТТМ тв868877</t>
  </si>
  <si>
    <t>Полуприцеп ЦТТМ тв943477</t>
  </si>
  <si>
    <t>Полуприцеп ЦТТМ тв837577</t>
  </si>
  <si>
    <t>Полуприцеп ЦТТМ тв874877</t>
  </si>
  <si>
    <t>DAYUN е775тх797</t>
  </si>
  <si>
    <t>14:06</t>
  </si>
  <si>
    <t>BEIBEN м647ту797</t>
  </si>
  <si>
    <t>BEIBEN м792ту797</t>
  </si>
  <si>
    <t>BEIBEN м037тв797</t>
  </si>
  <si>
    <t>Полуприцеп ЦТТМ тв943777</t>
  </si>
  <si>
    <t>167</t>
  </si>
  <si>
    <t>04:07</t>
  </si>
  <si>
    <t>Полуприцеп ЦТТМ тв924977</t>
  </si>
  <si>
    <t>10:35</t>
  </si>
  <si>
    <t>Полуприцеп ЦТТМ тв943577</t>
  </si>
  <si>
    <t>Полуприцеп тв818877</t>
  </si>
  <si>
    <t>Полуприцеп ЦТТМ тв887477</t>
  </si>
  <si>
    <t>ЦТТМ ев392578</t>
  </si>
  <si>
    <t>23:24</t>
  </si>
  <si>
    <t>ЦТТМ ев392978</t>
  </si>
  <si>
    <t>02:15</t>
  </si>
  <si>
    <t>00:02</t>
  </si>
  <si>
    <t>13:15</t>
  </si>
  <si>
    <t>01:13</t>
  </si>
  <si>
    <t>18:26</t>
  </si>
  <si>
    <t>35.14</t>
  </si>
  <si>
    <t>07:59</t>
  </si>
  <si>
    <t>07:04</t>
  </si>
  <si>
    <t>11:04</t>
  </si>
  <si>
    <t>13:33</t>
  </si>
  <si>
    <t>08:34</t>
  </si>
  <si>
    <t>07:05</t>
  </si>
  <si>
    <t>02:56</t>
  </si>
  <si>
    <t>15:41</t>
  </si>
  <si>
    <t>06:23</t>
  </si>
  <si>
    <t>03:15</t>
  </si>
  <si>
    <t>10:08</t>
  </si>
  <si>
    <t>08:46</t>
  </si>
  <si>
    <t>Украина,Автономная Республика Крым</t>
  </si>
  <si>
    <t>23:57</t>
  </si>
  <si>
    <t>1161</t>
  </si>
  <si>
    <t>06:03</t>
  </si>
  <si>
    <t>13:00</t>
  </si>
  <si>
    <t>10:09</t>
  </si>
  <si>
    <t>36.15</t>
  </si>
  <si>
    <t>293</t>
  </si>
  <si>
    <t>14:17</t>
  </si>
  <si>
    <t>08:56</t>
  </si>
  <si>
    <t>01:44</t>
  </si>
  <si>
    <t>211</t>
  </si>
  <si>
    <t>11:12</t>
  </si>
  <si>
    <t>523</t>
  </si>
  <si>
    <t>08:50</t>
  </si>
  <si>
    <t>06:00</t>
  </si>
  <si>
    <t>02:44</t>
  </si>
  <si>
    <t>14:15</t>
  </si>
  <si>
    <t>03:11</t>
  </si>
  <si>
    <t>04:24</t>
  </si>
  <si>
    <t>07:28</t>
  </si>
  <si>
    <t>08:08</t>
  </si>
  <si>
    <t>14:01</t>
  </si>
  <si>
    <t>13:21</t>
  </si>
  <si>
    <t>02:31</t>
  </si>
  <si>
    <t>19:55</t>
  </si>
  <si>
    <t>14:57</t>
  </si>
  <si>
    <t>07:35</t>
  </si>
  <si>
    <t>17:25</t>
  </si>
  <si>
    <t>03:39</t>
  </si>
  <si>
    <t>15:43</t>
  </si>
  <si>
    <t>07:15</t>
  </si>
  <si>
    <t>22:58</t>
  </si>
  <si>
    <t>03:09</t>
  </si>
  <si>
    <t>09:03</t>
  </si>
  <si>
    <t>15:53</t>
  </si>
  <si>
    <t>10:26</t>
  </si>
  <si>
    <t>06:27</t>
  </si>
  <si>
    <t>12:09</t>
  </si>
  <si>
    <t>680</t>
  </si>
  <si>
    <t>07:23</t>
  </si>
  <si>
    <t>17:44</t>
  </si>
  <si>
    <t>04:08</t>
  </si>
  <si>
    <t>05:57</t>
  </si>
  <si>
    <t>18:41</t>
  </si>
  <si>
    <t>219</t>
  </si>
  <si>
    <t>09:45</t>
  </si>
  <si>
    <t>10:44</t>
  </si>
  <si>
    <t>09:42</t>
  </si>
  <si>
    <t>20:59</t>
  </si>
  <si>
    <t>16:00</t>
  </si>
  <si>
    <t>05:12</t>
  </si>
  <si>
    <t>09:46</t>
  </si>
  <si>
    <t>01:55</t>
  </si>
  <si>
    <t>08:58</t>
  </si>
  <si>
    <t>23:58</t>
  </si>
  <si>
    <t>06:17</t>
  </si>
  <si>
    <t>07:27</t>
  </si>
  <si>
    <t>02:53</t>
  </si>
  <si>
    <t>18:07</t>
  </si>
  <si>
    <t>08:55</t>
  </si>
  <si>
    <t>07:51</t>
  </si>
  <si>
    <t>03:30</t>
  </si>
  <si>
    <t>03:49</t>
  </si>
  <si>
    <t>16:07</t>
  </si>
  <si>
    <t>07:24</t>
  </si>
  <si>
    <t>15:34</t>
  </si>
  <si>
    <t>19:28</t>
  </si>
  <si>
    <t>05:06</t>
  </si>
  <si>
    <t>165</t>
  </si>
  <si>
    <t>12:14</t>
  </si>
  <si>
    <t>22:43</t>
  </si>
  <si>
    <t>01:16</t>
  </si>
  <si>
    <t>02:35</t>
  </si>
  <si>
    <t>14:53</t>
  </si>
  <si>
    <t>16:16</t>
  </si>
  <si>
    <t>17:56</t>
  </si>
  <si>
    <t>38.81</t>
  </si>
  <si>
    <t>16:48</t>
  </si>
  <si>
    <t>06:02</t>
  </si>
  <si>
    <t>02:27</t>
  </si>
  <si>
    <t>01:17</t>
  </si>
  <si>
    <t>01:49</t>
  </si>
  <si>
    <t>13:09</t>
  </si>
  <si>
    <t>21:02</t>
  </si>
  <si>
    <t>3959</t>
  </si>
  <si>
    <t>06:32</t>
  </si>
  <si>
    <t>16:08</t>
  </si>
  <si>
    <t>783</t>
  </si>
  <si>
    <t>19:38</t>
  </si>
  <si>
    <t>03:41</t>
  </si>
  <si>
    <t>23:19</t>
  </si>
  <si>
    <t>03:33</t>
  </si>
  <si>
    <t>10:23</t>
  </si>
  <si>
    <t>04:58</t>
  </si>
  <si>
    <t>09:30</t>
  </si>
  <si>
    <t>18:36</t>
  </si>
  <si>
    <t>13:18</t>
  </si>
  <si>
    <t>03:40</t>
  </si>
  <si>
    <t>12:17</t>
  </si>
  <si>
    <t>18:44</t>
  </si>
  <si>
    <t>04:51</t>
  </si>
  <si>
    <t>19:59</t>
  </si>
  <si>
    <t>00:08</t>
  </si>
  <si>
    <t>02:13</t>
  </si>
  <si>
    <t>12:18</t>
  </si>
  <si>
    <t>776</t>
  </si>
  <si>
    <t>11:53</t>
  </si>
  <si>
    <t>782</t>
  </si>
  <si>
    <t>615</t>
  </si>
  <si>
    <t>10:46</t>
  </si>
  <si>
    <t>15:01</t>
  </si>
  <si>
    <t>08:10</t>
  </si>
  <si>
    <t>292</t>
  </si>
  <si>
    <t>208</t>
  </si>
  <si>
    <t>07:38</t>
  </si>
  <si>
    <t>522</t>
  </si>
  <si>
    <t>12:32</t>
  </si>
  <si>
    <t>425</t>
  </si>
  <si>
    <t>403</t>
  </si>
  <si>
    <t>1283</t>
  </si>
  <si>
    <t>12:06</t>
  </si>
  <si>
    <t>21:32</t>
  </si>
  <si>
    <t>666</t>
  </si>
  <si>
    <t>10:41</t>
  </si>
  <si>
    <t>4045</t>
  </si>
  <si>
    <t>4527</t>
  </si>
  <si>
    <t>314</t>
  </si>
  <si>
    <t>05:19</t>
  </si>
  <si>
    <t>197</t>
  </si>
  <si>
    <t>Россия,Бурятия</t>
  </si>
  <si>
    <t>22:39</t>
  </si>
  <si>
    <t>18:52</t>
  </si>
  <si>
    <t>03:45</t>
  </si>
  <si>
    <t>12:19</t>
  </si>
  <si>
    <t>20:13</t>
  </si>
  <si>
    <t>493</t>
  </si>
  <si>
    <t>11:37</t>
  </si>
  <si>
    <t>12:33</t>
  </si>
  <si>
    <t>685</t>
  </si>
  <si>
    <t>24.72</t>
  </si>
  <si>
    <t>162</t>
  </si>
  <si>
    <t>22:38</t>
  </si>
  <si>
    <t>14:56</t>
  </si>
  <si>
    <t>17:04</t>
  </si>
  <si>
    <t>13:29</t>
  </si>
  <si>
    <t>18:19</t>
  </si>
  <si>
    <t>753</t>
  </si>
  <si>
    <t>6971</t>
  </si>
  <si>
    <t>572</t>
  </si>
  <si>
    <t>380</t>
  </si>
  <si>
    <t>14:31</t>
  </si>
  <si>
    <t>202</t>
  </si>
  <si>
    <t>499</t>
  </si>
  <si>
    <t>03:14</t>
  </si>
  <si>
    <t>196</t>
  </si>
  <si>
    <t>173</t>
  </si>
  <si>
    <t>313</t>
  </si>
  <si>
    <t>5290</t>
  </si>
  <si>
    <t>470</t>
  </si>
  <si>
    <t>455</t>
  </si>
  <si>
    <t>19:22</t>
  </si>
  <si>
    <t>17:55</t>
  </si>
  <si>
    <t>19:35</t>
  </si>
  <si>
    <t>12:20</t>
  </si>
  <si>
    <t>Россия,Костромская область</t>
  </si>
  <si>
    <t>571</t>
  </si>
  <si>
    <t>662</t>
  </si>
  <si>
    <t>653</t>
  </si>
  <si>
    <t>350</t>
  </si>
  <si>
    <t>193</t>
  </si>
  <si>
    <t>15:49</t>
  </si>
  <si>
    <t>151</t>
  </si>
  <si>
    <t>22:36</t>
  </si>
  <si>
    <t>379</t>
  </si>
  <si>
    <t>376</t>
  </si>
  <si>
    <t>23:42</t>
  </si>
  <si>
    <t>03:24</t>
  </si>
  <si>
    <t>644</t>
  </si>
  <si>
    <t>441</t>
  </si>
  <si>
    <t>161</t>
  </si>
  <si>
    <t>729</t>
  </si>
  <si>
    <t>719</t>
  </si>
  <si>
    <t>652</t>
  </si>
  <si>
    <t>647</t>
  </si>
  <si>
    <t>182</t>
  </si>
  <si>
    <t>445</t>
  </si>
  <si>
    <t>7716</t>
  </si>
  <si>
    <t>150</t>
  </si>
  <si>
    <t>127</t>
  </si>
  <si>
    <t>20:31</t>
  </si>
  <si>
    <t>1228</t>
  </si>
  <si>
    <t>15:03</t>
  </si>
  <si>
    <t>171</t>
  </si>
  <si>
    <t>988</t>
  </si>
  <si>
    <t>105</t>
  </si>
  <si>
    <t>5909</t>
  </si>
  <si>
    <t>339</t>
  </si>
  <si>
    <t>417</t>
  </si>
  <si>
    <t>157</t>
  </si>
  <si>
    <t>13:27</t>
  </si>
  <si>
    <t>980</t>
  </si>
  <si>
    <t>7185</t>
  </si>
  <si>
    <t>489</t>
  </si>
  <si>
    <t>3955</t>
  </si>
  <si>
    <t>798</t>
  </si>
  <si>
    <t>423</t>
  </si>
  <si>
    <t>104</t>
  </si>
  <si>
    <t>81</t>
  </si>
  <si>
    <t>37.26</t>
  </si>
  <si>
    <t>638</t>
  </si>
  <si>
    <t>287</t>
  </si>
  <si>
    <t>38.13</t>
  </si>
  <si>
    <t>707</t>
  </si>
  <si>
    <t>684</t>
  </si>
  <si>
    <t>636</t>
  </si>
  <si>
    <t>613</t>
  </si>
  <si>
    <t>163</t>
  </si>
  <si>
    <t>411</t>
  </si>
  <si>
    <t>152</t>
  </si>
  <si>
    <t>286</t>
  </si>
  <si>
    <t>277</t>
  </si>
  <si>
    <t>58</t>
  </si>
  <si>
    <t>1034</t>
  </si>
  <si>
    <t>410</t>
  </si>
  <si>
    <t>387</t>
  </si>
  <si>
    <t>149</t>
  </si>
  <si>
    <t>5194</t>
  </si>
  <si>
    <t>940</t>
  </si>
  <si>
    <t>600</t>
  </si>
  <si>
    <t>967</t>
  </si>
  <si>
    <t>35</t>
  </si>
  <si>
    <t>4895</t>
  </si>
  <si>
    <t>274</t>
  </si>
  <si>
    <t>365</t>
  </si>
  <si>
    <t>1104</t>
  </si>
  <si>
    <t>547</t>
  </si>
  <si>
    <t>916</t>
  </si>
  <si>
    <t>260</t>
  </si>
  <si>
    <t>288</t>
  </si>
  <si>
    <t>129</t>
  </si>
  <si>
    <t>364</t>
  </si>
  <si>
    <t>1101</t>
  </si>
  <si>
    <t>892</t>
  </si>
  <si>
    <t>869</t>
  </si>
  <si>
    <t>237</t>
  </si>
  <si>
    <t>114</t>
  </si>
  <si>
    <t>12</t>
  </si>
  <si>
    <t>42.82</t>
  </si>
  <si>
    <t>236</t>
  </si>
  <si>
    <t>214</t>
  </si>
  <si>
    <t>264</t>
  </si>
  <si>
    <t>113</t>
  </si>
  <si>
    <t>97</t>
  </si>
  <si>
    <t>416</t>
  </si>
  <si>
    <t>5</t>
  </si>
  <si>
    <t>5236</t>
  </si>
  <si>
    <t>1929</t>
  </si>
  <si>
    <t>588</t>
  </si>
  <si>
    <t>213</t>
  </si>
  <si>
    <t>191</t>
  </si>
  <si>
    <t>95</t>
  </si>
  <si>
    <t>414</t>
  </si>
  <si>
    <t>327</t>
  </si>
  <si>
    <t>Модель ТС</t>
  </si>
  <si>
    <t>Марка ТС</t>
  </si>
  <si>
    <t>Модель ХОУ</t>
  </si>
  <si>
    <t>Производитель ХОУ</t>
  </si>
  <si>
    <t>Дизель-часы ХОУ, ч</t>
  </si>
  <si>
    <t>Дизель-часы ХОУ окончание, ч</t>
  </si>
  <si>
    <t>Дизель-часы ХОУ начало, ч</t>
  </si>
  <si>
    <t>Расход в движении л/100км по БК</t>
  </si>
  <si>
    <t>Общий расход л/100км по БК</t>
  </si>
  <si>
    <t>Расход по БК, в движении, л</t>
  </si>
  <si>
    <t>Расход по БК на стоянке, л</t>
  </si>
  <si>
    <t>Расход по БК, л</t>
  </si>
  <si>
    <t>Расход л/100км по GPS и ДУТ</t>
  </si>
  <si>
    <t>Расход ДУТ, л</t>
  </si>
  <si>
    <t>Объем сливов ДУТ, л</t>
  </si>
  <si>
    <t>Количество заправок ДУТ, л</t>
  </si>
  <si>
    <t>Объем заправок ДУТ, л</t>
  </si>
  <si>
    <t>Конечный остаток ДУТ, л</t>
  </si>
  <si>
    <t>Начальный остаток ДУТ, л</t>
  </si>
  <si>
    <t>Максимальная скорость, км/ч</t>
  </si>
  <si>
    <t>Средняя скорость движения, км/ч</t>
  </si>
  <si>
    <t>Средняя скорость, км/ч</t>
  </si>
  <si>
    <t>Одометр окончание, км</t>
  </si>
  <si>
    <t>Одометр начало, км</t>
  </si>
  <si>
    <t>Пробег БК, км</t>
  </si>
  <si>
    <t>Пробег GPS,км</t>
  </si>
  <si>
    <t>Длительность потери связи, %</t>
  </si>
  <si>
    <t>Длительность стоянок, %</t>
  </si>
  <si>
    <t>Длительность движения,%</t>
  </si>
  <si>
    <t>Длительность потери связи</t>
  </si>
  <si>
    <t>Длительность стоянок</t>
  </si>
  <si>
    <t>Длительность движения</t>
  </si>
  <si>
    <t>Страна, регион на конец</t>
  </si>
  <si>
    <t>Место окончания</t>
  </si>
  <si>
    <t>Страна, регион на начало</t>
  </si>
  <si>
    <t>Место начала</t>
  </si>
  <si>
    <t>Окончание движения</t>
  </si>
  <si>
    <t>Начало движения</t>
  </si>
  <si>
    <t>Колонна</t>
  </si>
  <si>
    <t>АТП</t>
  </si>
  <si>
    <t>Филиал/Проект</t>
  </si>
  <si>
    <t>Гос. номер ТС</t>
  </si>
  <si>
    <t>Наименование ТС</t>
  </si>
  <si>
    <t>Name</t>
  </si>
  <si>
    <t>TB997577</t>
  </si>
  <si>
    <t>141</t>
  </si>
  <si>
    <t>139</t>
  </si>
  <si>
    <t>2</t>
  </si>
  <si>
    <t>2866</t>
  </si>
  <si>
    <t>1</t>
  </si>
  <si>
    <t>X909CH797</t>
  </si>
  <si>
    <t>226</t>
  </si>
  <si>
    <t>386</t>
  </si>
  <si>
    <t>55</t>
  </si>
  <si>
    <t>69</t>
  </si>
  <si>
    <t>M093TC797</t>
  </si>
  <si>
    <t>629</t>
  </si>
  <si>
    <t>450</t>
  </si>
  <si>
    <t>271</t>
  </si>
  <si>
    <t>179</t>
  </si>
  <si>
    <t>TB917577</t>
  </si>
  <si>
    <t>74</t>
  </si>
  <si>
    <t>TB994677</t>
  </si>
  <si>
    <t>144</t>
  </si>
  <si>
    <t>145</t>
  </si>
  <si>
    <t>-1</t>
  </si>
  <si>
    <t>E941CK797</t>
  </si>
  <si>
    <t>382</t>
  </si>
  <si>
    <t>321</t>
  </si>
  <si>
    <t>61</t>
  </si>
  <si>
    <t>E236TC797</t>
  </si>
  <si>
    <t>9</t>
  </si>
  <si>
    <t>517</t>
  </si>
  <si>
    <t>503</t>
  </si>
  <si>
    <t>14</t>
  </si>
  <si>
    <t>B722TH797</t>
  </si>
  <si>
    <t>676</t>
  </si>
  <si>
    <t>A096XM797</t>
  </si>
  <si>
    <t>599</t>
  </si>
  <si>
    <t>B585TH797</t>
  </si>
  <si>
    <t>601</t>
  </si>
  <si>
    <t>283447</t>
  </si>
  <si>
    <t>433</t>
  </si>
  <si>
    <t>203</t>
  </si>
  <si>
    <t>O017CT797</t>
  </si>
  <si>
    <t>40</t>
  </si>
  <si>
    <t>184</t>
  </si>
  <si>
    <t>18</t>
  </si>
  <si>
    <t>M690TY797</t>
  </si>
  <si>
    <t>406</t>
  </si>
  <si>
    <t>TB924577</t>
  </si>
  <si>
    <t>90</t>
  </si>
  <si>
    <t>194</t>
  </si>
  <si>
    <t>119</t>
  </si>
  <si>
    <t>15</t>
  </si>
  <si>
    <t>1752</t>
  </si>
  <si>
    <t>6</t>
  </si>
  <si>
    <t>E847TY797</t>
  </si>
  <si>
    <t>639</t>
  </si>
  <si>
    <t>1108</t>
  </si>
  <si>
    <t>O561CX797</t>
  </si>
  <si>
    <t>487</t>
  </si>
  <si>
    <t>675</t>
  </si>
  <si>
    <t>136</t>
  </si>
  <si>
    <t>B607TP797</t>
  </si>
  <si>
    <t>295391</t>
  </si>
  <si>
    <t>768</t>
  </si>
  <si>
    <t>195</t>
  </si>
  <si>
    <t>A061CA797</t>
  </si>
  <si>
    <t>794</t>
  </si>
  <si>
    <t>A076XY797</t>
  </si>
  <si>
    <t>1050</t>
  </si>
  <si>
    <t>181</t>
  </si>
  <si>
    <t>K918TO797</t>
  </si>
  <si>
    <t>520</t>
  </si>
  <si>
    <t>1027</t>
  </si>
  <si>
    <t>205</t>
  </si>
  <si>
    <t>E331CP797</t>
  </si>
  <si>
    <t>357725</t>
  </si>
  <si>
    <t>357726</t>
  </si>
  <si>
    <t>437</t>
  </si>
  <si>
    <t>429</t>
  </si>
  <si>
    <t>8</t>
  </si>
  <si>
    <t>M112TC797</t>
  </si>
  <si>
    <t>235</t>
  </si>
  <si>
    <t>597</t>
  </si>
  <si>
    <t>524</t>
  </si>
  <si>
    <t>73</t>
  </si>
  <si>
    <t>TB897677</t>
  </si>
  <si>
    <t>TB933777</t>
  </si>
  <si>
    <t>83</t>
  </si>
  <si>
    <t>60</t>
  </si>
  <si>
    <t>23</t>
  </si>
  <si>
    <t>5245</t>
  </si>
  <si>
    <t>TB934277</t>
  </si>
  <si>
    <t>A055CX797</t>
  </si>
  <si>
    <t>550</t>
  </si>
  <si>
    <t>325594</t>
  </si>
  <si>
    <t>745</t>
  </si>
  <si>
    <t>257</t>
  </si>
  <si>
    <t>164</t>
  </si>
  <si>
    <t>E704TO797</t>
  </si>
  <si>
    <t>384</t>
  </si>
  <si>
    <t>229</t>
  </si>
  <si>
    <t>M997TH797</t>
  </si>
  <si>
    <t>461</t>
  </si>
  <si>
    <t>X543CO797</t>
  </si>
  <si>
    <t>274391</t>
  </si>
  <si>
    <t>864</t>
  </si>
  <si>
    <t>TB932777</t>
  </si>
  <si>
    <t>140</t>
  </si>
  <si>
    <t>TB944177</t>
  </si>
  <si>
    <t>106</t>
  </si>
  <si>
    <t>-2</t>
  </si>
  <si>
    <t>A095CP797</t>
  </si>
  <si>
    <t>39.02</t>
  </si>
  <si>
    <t>M960TA797</t>
  </si>
  <si>
    <t>591</t>
  </si>
  <si>
    <t>610</t>
  </si>
  <si>
    <t>239</t>
  </si>
  <si>
    <t>E394CB797</t>
  </si>
  <si>
    <t>272529</t>
  </si>
  <si>
    <t>YT137477</t>
  </si>
  <si>
    <t>49</t>
  </si>
  <si>
    <t>48</t>
  </si>
  <si>
    <t>Y042CC797</t>
  </si>
  <si>
    <t>870</t>
  </si>
  <si>
    <t>1006</t>
  </si>
  <si>
    <t>YT136377</t>
  </si>
  <si>
    <t>166</t>
  </si>
  <si>
    <t>Y565CY797</t>
  </si>
  <si>
    <t>954</t>
  </si>
  <si>
    <t>123</t>
  </si>
  <si>
    <t>X125AA198</t>
  </si>
  <si>
    <t>635</t>
  </si>
  <si>
    <t>850</t>
  </si>
  <si>
    <t>642</t>
  </si>
  <si>
    <t>X137AB198</t>
  </si>
  <si>
    <t>464</t>
  </si>
  <si>
    <t>1053</t>
  </si>
  <si>
    <t>X153AB198</t>
  </si>
  <si>
    <t>385</t>
  </si>
  <si>
    <t>X158AB198</t>
  </si>
  <si>
    <t>3</t>
  </si>
  <si>
    <t>509</t>
  </si>
  <si>
    <t>X126AB198</t>
  </si>
  <si>
    <t>75937</t>
  </si>
  <si>
    <t>846</t>
  </si>
  <si>
    <t>841</t>
  </si>
  <si>
    <t>X338YC198</t>
  </si>
  <si>
    <t>280649</t>
  </si>
  <si>
    <t>497</t>
  </si>
  <si>
    <t>592</t>
  </si>
  <si>
    <t>X182HM198</t>
  </si>
  <si>
    <t>Y603CO198</t>
  </si>
  <si>
    <t>X087YH198</t>
  </si>
  <si>
    <t>338</t>
  </si>
  <si>
    <t>999</t>
  </si>
  <si>
    <t>541</t>
  </si>
  <si>
    <t>133</t>
  </si>
  <si>
    <t>X090HB198</t>
  </si>
  <si>
    <t>368</t>
  </si>
  <si>
    <t>X050YH198</t>
  </si>
  <si>
    <t>332</t>
  </si>
  <si>
    <t>909</t>
  </si>
  <si>
    <t>P189KB198</t>
  </si>
  <si>
    <t>913</t>
  </si>
  <si>
    <t>X297HM198</t>
  </si>
  <si>
    <t>266</t>
  </si>
  <si>
    <t>127873</t>
  </si>
  <si>
    <t>773</t>
  </si>
  <si>
    <t>733</t>
  </si>
  <si>
    <t>YC018177</t>
  </si>
  <si>
    <t>X231HM198</t>
  </si>
  <si>
    <t>787</t>
  </si>
  <si>
    <t>62</t>
  </si>
  <si>
    <t>O247HK136</t>
  </si>
  <si>
    <t>P165XH198</t>
  </si>
  <si>
    <t>P188XX198</t>
  </si>
  <si>
    <t>634</t>
  </si>
  <si>
    <t>1122</t>
  </si>
  <si>
    <t>68</t>
  </si>
  <si>
    <t>YC036477</t>
  </si>
  <si>
    <t>143</t>
  </si>
  <si>
    <t>39</t>
  </si>
  <si>
    <t>P166XK198</t>
  </si>
  <si>
    <t>B607EH774</t>
  </si>
  <si>
    <t>525800</t>
  </si>
  <si>
    <t>525801</t>
  </si>
  <si>
    <t>YC099877</t>
  </si>
  <si>
    <t>222</t>
  </si>
  <si>
    <t>14817</t>
  </si>
  <si>
    <t>YC091377</t>
  </si>
  <si>
    <t>216</t>
  </si>
  <si>
    <t>221</t>
  </si>
  <si>
    <t>31</t>
  </si>
  <si>
    <t>26</t>
  </si>
  <si>
    <t>EH142450</t>
  </si>
  <si>
    <t>YC091277</t>
  </si>
  <si>
    <t>121</t>
  </si>
  <si>
    <t>YC092177</t>
  </si>
  <si>
    <t>O192AH198</t>
  </si>
  <si>
    <t>157066</t>
  </si>
  <si>
    <t>157067</t>
  </si>
  <si>
    <t>453</t>
  </si>
  <si>
    <t>449</t>
  </si>
  <si>
    <t>4</t>
  </si>
  <si>
    <t>X843ME198</t>
  </si>
  <si>
    <t>1055</t>
  </si>
  <si>
    <t>860</t>
  </si>
  <si>
    <t>EB571778</t>
  </si>
  <si>
    <t>EB588678</t>
  </si>
  <si>
    <t>YT878777</t>
  </si>
  <si>
    <t>185</t>
  </si>
  <si>
    <t>BC670678</t>
  </si>
  <si>
    <t>P462BX198</t>
  </si>
  <si>
    <t>320</t>
  </si>
  <si>
    <t>771</t>
  </si>
  <si>
    <t>M817BH763</t>
  </si>
  <si>
    <t>245211</t>
  </si>
  <si>
    <t>142</t>
  </si>
  <si>
    <t>351</t>
  </si>
  <si>
    <t>21</t>
  </si>
  <si>
    <t>YC209677</t>
  </si>
  <si>
    <t>176</t>
  </si>
  <si>
    <t>11</t>
  </si>
  <si>
    <t>13140</t>
  </si>
  <si>
    <t>YC147377</t>
  </si>
  <si>
    <t>15414</t>
  </si>
  <si>
    <t>EB391178</t>
  </si>
  <si>
    <t>189</t>
  </si>
  <si>
    <t>YC280877</t>
  </si>
  <si>
    <t>206</t>
  </si>
  <si>
    <t>51</t>
  </si>
  <si>
    <t>38</t>
  </si>
  <si>
    <t>A170XY797</t>
  </si>
  <si>
    <t>767</t>
  </si>
  <si>
    <t>125</t>
  </si>
  <si>
    <t>E497TX797</t>
  </si>
  <si>
    <t>381</t>
  </si>
  <si>
    <t>306</t>
  </si>
  <si>
    <t>813</t>
  </si>
  <si>
    <t>633</t>
  </si>
  <si>
    <t>126</t>
  </si>
  <si>
    <t>EB392978</t>
  </si>
  <si>
    <t>EB392578</t>
  </si>
  <si>
    <t>156</t>
  </si>
  <si>
    <t>TB887477</t>
  </si>
  <si>
    <t>98</t>
  </si>
  <si>
    <t>2908</t>
  </si>
  <si>
    <t>TB818877</t>
  </si>
  <si>
    <t>TB943577</t>
  </si>
  <si>
    <t>160</t>
  </si>
  <si>
    <t>TB924977</t>
  </si>
  <si>
    <t>TB943777</t>
  </si>
  <si>
    <t>215</t>
  </si>
  <si>
    <t>M037TB797</t>
  </si>
  <si>
    <t>901</t>
  </si>
  <si>
    <t>404</t>
  </si>
  <si>
    <t>204</t>
  </si>
  <si>
    <t>M792TY797</t>
  </si>
  <si>
    <t>806</t>
  </si>
  <si>
    <t>M647TY797</t>
  </si>
  <si>
    <t>22</t>
  </si>
  <si>
    <t>472</t>
  </si>
  <si>
    <t>10</t>
  </si>
  <si>
    <t>E775TX797</t>
  </si>
  <si>
    <t>TB874877</t>
  </si>
  <si>
    <t>TB837577</t>
  </si>
  <si>
    <t>138</t>
  </si>
  <si>
    <t>TB943477</t>
  </si>
  <si>
    <t>54</t>
  </si>
  <si>
    <t>65</t>
  </si>
  <si>
    <t>TB868877</t>
  </si>
  <si>
    <t>174</t>
  </si>
  <si>
    <t>TB933077</t>
  </si>
  <si>
    <t>X695CT797</t>
  </si>
  <si>
    <t>301</t>
  </si>
  <si>
    <t>E248TM797</t>
  </si>
  <si>
    <t>TB958477</t>
  </si>
  <si>
    <t>TB936677</t>
  </si>
  <si>
    <t>155</t>
  </si>
  <si>
    <t>6166</t>
  </si>
  <si>
    <t>E288CP797</t>
  </si>
  <si>
    <t>187</t>
  </si>
  <si>
    <t>B412TM797</t>
  </si>
  <si>
    <t>551</t>
  </si>
  <si>
    <t>A094XH797</t>
  </si>
  <si>
    <t>331</t>
  </si>
  <si>
    <t>251684</t>
  </si>
  <si>
    <t>369</t>
  </si>
  <si>
    <t>111</t>
  </si>
  <si>
    <t>E388CB797</t>
  </si>
  <si>
    <t>261138</t>
  </si>
  <si>
    <t>598</t>
  </si>
  <si>
    <t>107</t>
  </si>
  <si>
    <t>E787CK797</t>
  </si>
  <si>
    <t>238</t>
  </si>
  <si>
    <t>505</t>
  </si>
  <si>
    <t>393</t>
  </si>
  <si>
    <t>112</t>
  </si>
  <si>
    <t>E185TY797</t>
  </si>
  <si>
    <t>625</t>
  </si>
  <si>
    <t>502</t>
  </si>
  <si>
    <t>TB869677</t>
  </si>
  <si>
    <t>E776TX797</t>
  </si>
  <si>
    <t>285</t>
  </si>
  <si>
    <t>604</t>
  </si>
  <si>
    <t>TB958077</t>
  </si>
  <si>
    <t>80</t>
  </si>
  <si>
    <t>192</t>
  </si>
  <si>
    <t>TB905677</t>
  </si>
  <si>
    <t>534</t>
  </si>
  <si>
    <t>TB995177</t>
  </si>
  <si>
    <t>5969</t>
  </si>
  <si>
    <t>TB933577</t>
  </si>
  <si>
    <t>E263TM797</t>
  </si>
  <si>
    <t>687</t>
  </si>
  <si>
    <t>E928CK797</t>
  </si>
  <si>
    <t>K169TC797</t>
  </si>
  <si>
    <t>975</t>
  </si>
  <si>
    <t>795</t>
  </si>
  <si>
    <t>180</t>
  </si>
  <si>
    <t>TB876077</t>
  </si>
  <si>
    <t>101</t>
  </si>
  <si>
    <t>TB920877</t>
  </si>
  <si>
    <t>E905CK797</t>
  </si>
  <si>
    <t>718</t>
  </si>
  <si>
    <t>TB869177</t>
  </si>
  <si>
    <t>99</t>
  </si>
  <si>
    <t>E913TO797</t>
  </si>
  <si>
    <t>618</t>
  </si>
  <si>
    <t>573</t>
  </si>
  <si>
    <t>45</t>
  </si>
  <si>
    <t>TB917977</t>
  </si>
  <si>
    <t>B665TH797</t>
  </si>
  <si>
    <t>284</t>
  </si>
  <si>
    <t>297387</t>
  </si>
  <si>
    <t>688</t>
  </si>
  <si>
    <t>M642TY797</t>
  </si>
  <si>
    <t>608</t>
  </si>
  <si>
    <t>929</t>
  </si>
  <si>
    <t>186</t>
  </si>
  <si>
    <t>B507TH797</t>
  </si>
  <si>
    <t>291</t>
  </si>
  <si>
    <t>M139TX797</t>
  </si>
  <si>
    <t>M720TY797</t>
  </si>
  <si>
    <t>640</t>
  </si>
  <si>
    <t>281283</t>
  </si>
  <si>
    <t>724</t>
  </si>
  <si>
    <t>TB951977</t>
  </si>
  <si>
    <t>175</t>
  </si>
  <si>
    <t>53</t>
  </si>
  <si>
    <t>4312</t>
  </si>
  <si>
    <t>TB952077</t>
  </si>
  <si>
    <t>5927</t>
  </si>
  <si>
    <t>M125TH797</t>
  </si>
  <si>
    <t>645</t>
  </si>
  <si>
    <t>EB321878</t>
  </si>
  <si>
    <t>Y104CC797</t>
  </si>
  <si>
    <t>361</t>
  </si>
  <si>
    <t>731</t>
  </si>
  <si>
    <t>103</t>
  </si>
  <si>
    <t>37.69</t>
  </si>
  <si>
    <t>EB393278</t>
  </si>
  <si>
    <t>218</t>
  </si>
  <si>
    <t>X140AA198</t>
  </si>
  <si>
    <t>560</t>
  </si>
  <si>
    <t>977</t>
  </si>
  <si>
    <t>131</t>
  </si>
  <si>
    <t>C044CT797</t>
  </si>
  <si>
    <t>XX461752</t>
  </si>
  <si>
    <t>X216HM198</t>
  </si>
  <si>
    <t>527</t>
  </si>
  <si>
    <t>110</t>
  </si>
  <si>
    <t>YC165877</t>
  </si>
  <si>
    <t>YT879077</t>
  </si>
  <si>
    <t>188</t>
  </si>
  <si>
    <t>X571YP198</t>
  </si>
  <si>
    <t>X165MP198</t>
  </si>
  <si>
    <t>34553</t>
  </si>
  <si>
    <t>YT853977</t>
  </si>
  <si>
    <t>X583YP198</t>
  </si>
  <si>
    <t>324085</t>
  </si>
  <si>
    <t>790</t>
  </si>
  <si>
    <t>7</t>
  </si>
  <si>
    <t>Y532CO198</t>
  </si>
  <si>
    <t>224</t>
  </si>
  <si>
    <t>974</t>
  </si>
  <si>
    <t>P187XM198</t>
  </si>
  <si>
    <t>52</t>
  </si>
  <si>
    <t>163078</t>
  </si>
  <si>
    <t>518</t>
  </si>
  <si>
    <t>Y781YB198</t>
  </si>
  <si>
    <t>673</t>
  </si>
  <si>
    <t>X649YP198</t>
  </si>
  <si>
    <t>682</t>
  </si>
  <si>
    <t>763</t>
  </si>
  <si>
    <t>878</t>
  </si>
  <si>
    <t>X568YP198</t>
  </si>
  <si>
    <t>223</t>
  </si>
  <si>
    <t>X297YC198</t>
  </si>
  <si>
    <t>726</t>
  </si>
  <si>
    <t>Y723CO198</t>
  </si>
  <si>
    <t>X094YH198</t>
  </si>
  <si>
    <t>183</t>
  </si>
  <si>
    <t>P488BX198</t>
  </si>
  <si>
    <t>P152XY198</t>
  </si>
  <si>
    <t>134834</t>
  </si>
  <si>
    <t>P168XC198</t>
  </si>
  <si>
    <t>EB392478</t>
  </si>
  <si>
    <t>207</t>
  </si>
  <si>
    <t>EB393778</t>
  </si>
  <si>
    <t>EB393578</t>
  </si>
  <si>
    <t>TB924877</t>
  </si>
  <si>
    <t>2764</t>
  </si>
  <si>
    <t>TB865977</t>
  </si>
  <si>
    <t>159</t>
  </si>
  <si>
    <t>64</t>
  </si>
  <si>
    <t>4925</t>
  </si>
  <si>
    <t>B476TH797</t>
  </si>
  <si>
    <t>201</t>
  </si>
  <si>
    <t>102</t>
  </si>
  <si>
    <t>A076TC797</t>
  </si>
  <si>
    <t>226528</t>
  </si>
  <si>
    <t>714</t>
  </si>
  <si>
    <t>617</t>
  </si>
  <si>
    <t>B461TE797</t>
  </si>
  <si>
    <t>TB925077</t>
  </si>
  <si>
    <t>115</t>
  </si>
  <si>
    <t>67</t>
  </si>
  <si>
    <t>2260</t>
  </si>
  <si>
    <t>E181TY797</t>
  </si>
  <si>
    <t>322872</t>
  </si>
  <si>
    <t>866</t>
  </si>
  <si>
    <t>861</t>
  </si>
  <si>
    <t>X108CP797</t>
  </si>
  <si>
    <t>575</t>
  </si>
  <si>
    <t>910</t>
  </si>
  <si>
    <t>E340TM797</t>
  </si>
  <si>
    <t>490</t>
  </si>
  <si>
    <t>217</t>
  </si>
  <si>
    <t>E209TY797</t>
  </si>
  <si>
    <t>516</t>
  </si>
  <si>
    <t>TB998177</t>
  </si>
  <si>
    <t>2210</t>
  </si>
  <si>
    <t>TB826477</t>
  </si>
  <si>
    <t>158</t>
  </si>
  <si>
    <t>TB897577</t>
  </si>
  <si>
    <t>TB998077</t>
  </si>
  <si>
    <t>K828TY797</t>
  </si>
  <si>
    <t>X896CH797</t>
  </si>
  <si>
    <t>736</t>
  </si>
  <si>
    <t>M686TY797</t>
  </si>
  <si>
    <t>K599TP797</t>
  </si>
  <si>
    <t>138938</t>
  </si>
  <si>
    <t>TB958177</t>
  </si>
  <si>
    <t>B255TH797</t>
  </si>
  <si>
    <t>614</t>
  </si>
  <si>
    <t>E755TY797</t>
  </si>
  <si>
    <t>E335CP797</t>
  </si>
  <si>
    <t>657</t>
  </si>
  <si>
    <t>B568TH797</t>
  </si>
  <si>
    <t>646</t>
  </si>
  <si>
    <t>627</t>
  </si>
  <si>
    <t>396</t>
  </si>
  <si>
    <t>231</t>
  </si>
  <si>
    <t>E413TO797</t>
  </si>
  <si>
    <t>459</t>
  </si>
  <si>
    <t>66</t>
  </si>
  <si>
    <t>A075YX797</t>
  </si>
  <si>
    <t>501</t>
  </si>
  <si>
    <t>178</t>
  </si>
  <si>
    <t>E320CP797</t>
  </si>
  <si>
    <t>302</t>
  </si>
  <si>
    <t>665</t>
  </si>
  <si>
    <t>B435TH797</t>
  </si>
  <si>
    <t>278523</t>
  </si>
  <si>
    <t>905</t>
  </si>
  <si>
    <t>843</t>
  </si>
  <si>
    <t>K422TY797</t>
  </si>
  <si>
    <t>823</t>
  </si>
  <si>
    <t>267094</t>
  </si>
  <si>
    <t>E032TT797</t>
  </si>
  <si>
    <t>E337TM797</t>
  </si>
  <si>
    <t>254</t>
  </si>
  <si>
    <t>TB920777</t>
  </si>
  <si>
    <t>168</t>
  </si>
  <si>
    <t>TB994777</t>
  </si>
  <si>
    <t>137</t>
  </si>
  <si>
    <t>5536</t>
  </si>
  <si>
    <t>C577CB797</t>
  </si>
  <si>
    <t>932</t>
  </si>
  <si>
    <t>692</t>
  </si>
  <si>
    <t>K012PO196</t>
  </si>
  <si>
    <t>X919ME198</t>
  </si>
  <si>
    <t>766</t>
  </si>
  <si>
    <t>584</t>
  </si>
  <si>
    <t>YC092277</t>
  </si>
  <si>
    <t>X320KO761</t>
  </si>
  <si>
    <t>A162OX761</t>
  </si>
  <si>
    <t>EE519978</t>
  </si>
  <si>
    <t>EE704878</t>
  </si>
  <si>
    <t>EE683778</t>
  </si>
  <si>
    <t>EE588378</t>
  </si>
  <si>
    <t>YC090177</t>
  </si>
  <si>
    <t>EE560478</t>
  </si>
  <si>
    <t>X573YP198</t>
  </si>
  <si>
    <t>EE680978</t>
  </si>
  <si>
    <t>EE561278</t>
  </si>
  <si>
    <t>X415XM198</t>
  </si>
  <si>
    <t>549</t>
  </si>
  <si>
    <t>486</t>
  </si>
  <si>
    <t>63</t>
  </si>
  <si>
    <t>BO874878</t>
  </si>
  <si>
    <t>EE656078</t>
  </si>
  <si>
    <t>EE253378</t>
  </si>
  <si>
    <t>P167XA198</t>
  </si>
  <si>
    <t>BO755078</t>
  </si>
  <si>
    <t>BP392578</t>
  </si>
  <si>
    <t>YC281177</t>
  </si>
  <si>
    <t>AT681122</t>
  </si>
  <si>
    <t>EB392178</t>
  </si>
  <si>
    <t>47</t>
  </si>
  <si>
    <t>42</t>
  </si>
  <si>
    <t>EB393178</t>
  </si>
  <si>
    <t>124</t>
  </si>
  <si>
    <t>87</t>
  </si>
  <si>
    <t>YC304777</t>
  </si>
  <si>
    <t>TB997977</t>
  </si>
  <si>
    <t>34</t>
  </si>
  <si>
    <t>16</t>
  </si>
  <si>
    <t>TB897777</t>
  </si>
  <si>
    <t>198</t>
  </si>
  <si>
    <t>TB958677</t>
  </si>
  <si>
    <t>TB940477</t>
  </si>
  <si>
    <t>154</t>
  </si>
  <si>
    <t>-4</t>
  </si>
  <si>
    <t>A170YM797</t>
  </si>
  <si>
    <t>36</t>
  </si>
  <si>
    <t>903</t>
  </si>
  <si>
    <t>881</t>
  </si>
  <si>
    <t>B741TB797</t>
  </si>
  <si>
    <t>A050TO797</t>
  </si>
  <si>
    <t>A094XP797</t>
  </si>
  <si>
    <t>732</t>
  </si>
  <si>
    <t>894</t>
  </si>
  <si>
    <t>367</t>
  </si>
  <si>
    <t>E578TP797</t>
  </si>
  <si>
    <t>904</t>
  </si>
  <si>
    <t>856</t>
  </si>
  <si>
    <t>564</t>
  </si>
  <si>
    <t>K944TO797</t>
  </si>
  <si>
    <t>880</t>
  </si>
  <si>
    <t>947</t>
  </si>
  <si>
    <t>169</t>
  </si>
  <si>
    <t>TB906377</t>
  </si>
  <si>
    <t>190</t>
  </si>
  <si>
    <t>TB997477</t>
  </si>
  <si>
    <t>153</t>
  </si>
  <si>
    <t>TB998377</t>
  </si>
  <si>
    <t>50</t>
  </si>
  <si>
    <t>20</t>
  </si>
  <si>
    <t>E080TM797</t>
  </si>
  <si>
    <t>408</t>
  </si>
  <si>
    <t>602</t>
  </si>
  <si>
    <t>M314TC797</t>
  </si>
  <si>
    <t>412</t>
  </si>
  <si>
    <t>370</t>
  </si>
  <si>
    <t>K227TC797</t>
  </si>
  <si>
    <t>606</t>
  </si>
  <si>
    <t>199</t>
  </si>
  <si>
    <t>E926CK797</t>
  </si>
  <si>
    <t>37</t>
  </si>
  <si>
    <t>TB875777</t>
  </si>
  <si>
    <t>147</t>
  </si>
  <si>
    <t>148</t>
  </si>
  <si>
    <t>E290TM797</t>
  </si>
  <si>
    <t>K419TY797</t>
  </si>
  <si>
    <t>343826</t>
  </si>
  <si>
    <t>K132TM797</t>
  </si>
  <si>
    <t>174792</t>
  </si>
  <si>
    <t>612</t>
  </si>
  <si>
    <t>K439TY797</t>
  </si>
  <si>
    <t>TB957277</t>
  </si>
  <si>
    <t>E218TY797</t>
  </si>
  <si>
    <t>K913TO797</t>
  </si>
  <si>
    <t>YT136477</t>
  </si>
  <si>
    <t>4048</t>
  </si>
  <si>
    <t>24</t>
  </si>
  <si>
    <t>Y115CC797</t>
  </si>
  <si>
    <t>972</t>
  </si>
  <si>
    <t>EB387078</t>
  </si>
  <si>
    <t>-6</t>
  </si>
  <si>
    <t>E409CM797</t>
  </si>
  <si>
    <t>735</t>
  </si>
  <si>
    <t>828</t>
  </si>
  <si>
    <t>X119AA198</t>
  </si>
  <si>
    <t>123497</t>
  </si>
  <si>
    <t>867</t>
  </si>
  <si>
    <t>565</t>
  </si>
  <si>
    <t>C078CT797</t>
  </si>
  <si>
    <t>982</t>
  </si>
  <si>
    <t>X104AB198</t>
  </si>
  <si>
    <t>568</t>
  </si>
  <si>
    <t>30.28</t>
  </si>
  <si>
    <t>X146AB198</t>
  </si>
  <si>
    <t>507</t>
  </si>
  <si>
    <t>289</t>
  </si>
  <si>
    <t>C586CB797</t>
  </si>
  <si>
    <t>255</t>
  </si>
  <si>
    <t>936</t>
  </si>
  <si>
    <t>891</t>
  </si>
  <si>
    <t>X161AB198</t>
  </si>
  <si>
    <t>P088XA198</t>
  </si>
  <si>
    <t>670</t>
  </si>
  <si>
    <t>X313HM198</t>
  </si>
  <si>
    <t>770</t>
  </si>
  <si>
    <t>YT872777</t>
  </si>
  <si>
    <t>X177HM198</t>
  </si>
  <si>
    <t>112523</t>
  </si>
  <si>
    <t>YC192177</t>
  </si>
  <si>
    <t>9480</t>
  </si>
  <si>
    <t>X885ME198</t>
  </si>
  <si>
    <t>508062</t>
  </si>
  <si>
    <t>444</t>
  </si>
  <si>
    <t>1178</t>
  </si>
  <si>
    <t>X347MY198</t>
  </si>
  <si>
    <t>824</t>
  </si>
  <si>
    <t>O623YA198</t>
  </si>
  <si>
    <t>243048</t>
  </si>
  <si>
    <t>EB512178</t>
  </si>
  <si>
    <t>O250CC198</t>
  </si>
  <si>
    <t>200</t>
  </si>
  <si>
    <t>X618XK198</t>
  </si>
  <si>
    <t>P234XE198</t>
  </si>
  <si>
    <t>663</t>
  </si>
  <si>
    <t>YC018377</t>
  </si>
  <si>
    <t>YC029377</t>
  </si>
  <si>
    <t>13</t>
  </si>
  <si>
    <t>YC018577</t>
  </si>
  <si>
    <t>YC029977</t>
  </si>
  <si>
    <t>117</t>
  </si>
  <si>
    <t>84</t>
  </si>
  <si>
    <t>33</t>
  </si>
  <si>
    <t>11062</t>
  </si>
  <si>
    <t>P227XA198</t>
  </si>
  <si>
    <t>X325YC198</t>
  </si>
  <si>
    <t>P187XE198</t>
  </si>
  <si>
    <t>1230</t>
  </si>
  <si>
    <t>A172XH797</t>
  </si>
  <si>
    <t>146</t>
  </si>
  <si>
    <t>TB906277</t>
  </si>
  <si>
    <t>177</t>
  </si>
  <si>
    <t>56</t>
  </si>
  <si>
    <t>5712</t>
  </si>
  <si>
    <t>X517CO797</t>
  </si>
  <si>
    <t>212</t>
  </si>
  <si>
    <t>K406TY797</t>
  </si>
  <si>
    <t>1116</t>
  </si>
  <si>
    <t>E269TX797</t>
  </si>
  <si>
    <t>702</t>
  </si>
  <si>
    <t>A170XA797</t>
  </si>
  <si>
    <t>605</t>
  </si>
  <si>
    <t>E406CM797</t>
  </si>
  <si>
    <t>TB918577</t>
  </si>
  <si>
    <t>135</t>
  </si>
  <si>
    <t>19</t>
  </si>
  <si>
    <t>6078</t>
  </si>
  <si>
    <t>TB957377</t>
  </si>
  <si>
    <t>TB885077</t>
  </si>
  <si>
    <t>TB995077</t>
  </si>
  <si>
    <t>75</t>
  </si>
  <si>
    <t>27</t>
  </si>
  <si>
    <t>M196TC797</t>
  </si>
  <si>
    <t>288966</t>
  </si>
  <si>
    <t>576</t>
  </si>
  <si>
    <t>M665TY797</t>
  </si>
  <si>
    <t>1312</t>
  </si>
  <si>
    <t>B713TH797</t>
  </si>
  <si>
    <t>488</t>
  </si>
  <si>
    <t>A172YY797</t>
  </si>
  <si>
    <t>345131</t>
  </si>
  <si>
    <t>E049TY797</t>
  </si>
  <si>
    <t>366</t>
  </si>
  <si>
    <t>762</t>
  </si>
  <si>
    <t>TB958377</t>
  </si>
  <si>
    <t>TB920977</t>
  </si>
  <si>
    <t>172</t>
  </si>
  <si>
    <t>5301</t>
  </si>
  <si>
    <t>TB923677</t>
  </si>
  <si>
    <t>76</t>
  </si>
  <si>
    <t>TB940677</t>
  </si>
  <si>
    <t>Y090CC797</t>
  </si>
  <si>
    <t>694</t>
  </si>
  <si>
    <t>251</t>
  </si>
  <si>
    <t>EB391478</t>
  </si>
  <si>
    <t>25</t>
  </si>
  <si>
    <t>YT625777</t>
  </si>
  <si>
    <t>C602CX797</t>
  </si>
  <si>
    <t>1032</t>
  </si>
  <si>
    <t>17</t>
  </si>
  <si>
    <t>C582CX797</t>
  </si>
  <si>
    <t>YT872877</t>
  </si>
  <si>
    <t>X180HM198</t>
  </si>
  <si>
    <t>778</t>
  </si>
  <si>
    <t>X289HM198</t>
  </si>
  <si>
    <t>1036</t>
  </si>
  <si>
    <t>X300YC198</t>
  </si>
  <si>
    <t>389</t>
  </si>
  <si>
    <t>X543YX198</t>
  </si>
  <si>
    <t>626</t>
  </si>
  <si>
    <t>1150</t>
  </si>
  <si>
    <t>220</t>
  </si>
  <si>
    <t>YT902677</t>
  </si>
  <si>
    <t>X223YC198</t>
  </si>
  <si>
    <t>700</t>
  </si>
  <si>
    <t>400</t>
  </si>
  <si>
    <t>P158XB198</t>
  </si>
  <si>
    <t>1077</t>
  </si>
  <si>
    <t>911</t>
  </si>
  <si>
    <t>X366MY198</t>
  </si>
  <si>
    <t>P401BX198</t>
  </si>
  <si>
    <t>162534</t>
  </si>
  <si>
    <t>1254</t>
  </si>
  <si>
    <t>YC092977</t>
  </si>
  <si>
    <t>YC047977</t>
  </si>
  <si>
    <t>44</t>
  </si>
  <si>
    <t>116</t>
  </si>
  <si>
    <t>P148XY198</t>
  </si>
  <si>
    <t>544</t>
  </si>
  <si>
    <t>973</t>
  </si>
  <si>
    <t>632</t>
  </si>
  <si>
    <t>YC023477</t>
  </si>
  <si>
    <t>43</t>
  </si>
  <si>
    <t>EB566678</t>
  </si>
  <si>
    <t>B588HE30</t>
  </si>
  <si>
    <t>YC089577</t>
  </si>
  <si>
    <t>EE586778</t>
  </si>
  <si>
    <t>X589YP198</t>
  </si>
  <si>
    <t>YT892177</t>
  </si>
  <si>
    <t>BC293778</t>
  </si>
  <si>
    <t>BC670878</t>
  </si>
  <si>
    <t>P402XC198</t>
  </si>
  <si>
    <t>443</t>
  </si>
  <si>
    <t>BP721678</t>
  </si>
  <si>
    <t>EE680878</t>
  </si>
  <si>
    <t>BP029878</t>
  </si>
  <si>
    <t>Y406BY198</t>
  </si>
  <si>
    <t>B580KK774</t>
  </si>
  <si>
    <t>318956</t>
  </si>
  <si>
    <t>318957</t>
  </si>
  <si>
    <t>EB571678</t>
  </si>
  <si>
    <t>210</t>
  </si>
  <si>
    <t>28</t>
  </si>
  <si>
    <t>YC136477</t>
  </si>
  <si>
    <t>Y769YB198</t>
  </si>
  <si>
    <t>Y100YH198</t>
  </si>
  <si>
    <t>689</t>
  </si>
  <si>
    <t>312863</t>
  </si>
  <si>
    <t>EB621678</t>
  </si>
  <si>
    <t>YC289877</t>
  </si>
  <si>
    <t>EB620878</t>
  </si>
  <si>
    <t>EB393478</t>
  </si>
  <si>
    <t>EB387578</t>
  </si>
  <si>
    <t>E845TY797</t>
  </si>
  <si>
    <t>855</t>
  </si>
  <si>
    <t>TB993477</t>
  </si>
  <si>
    <t>TB917877</t>
  </si>
  <si>
    <t>5466</t>
  </si>
  <si>
    <t>TB994277</t>
  </si>
  <si>
    <t>TB994577</t>
  </si>
  <si>
    <t>108</t>
  </si>
  <si>
    <t>1406</t>
  </si>
  <si>
    <t>E256TX797</t>
  </si>
  <si>
    <t>1063</t>
  </si>
  <si>
    <t>85</t>
  </si>
  <si>
    <t>E190TY797</t>
  </si>
  <si>
    <t>E910TO797</t>
  </si>
  <si>
    <t>495</t>
  </si>
  <si>
    <t>122</t>
  </si>
  <si>
    <t>M641TY797</t>
  </si>
  <si>
    <t>K814TY797</t>
  </si>
  <si>
    <t>255446</t>
  </si>
  <si>
    <t>542</t>
  </si>
  <si>
    <t>B973TE797</t>
  </si>
  <si>
    <t>792</t>
  </si>
  <si>
    <t>796</t>
  </si>
  <si>
    <t>TB854277</t>
  </si>
  <si>
    <t>TB887077</t>
  </si>
  <si>
    <t>A076TH797</t>
  </si>
  <si>
    <t>448</t>
  </si>
  <si>
    <t>B457TH797</t>
  </si>
  <si>
    <t>134</t>
  </si>
  <si>
    <t>456</t>
  </si>
  <si>
    <t>36.31</t>
  </si>
  <si>
    <t>EB588778</t>
  </si>
  <si>
    <t>1059</t>
  </si>
  <si>
    <t>X899ME198</t>
  </si>
  <si>
    <t>BP722278</t>
  </si>
  <si>
    <t>YT897177</t>
  </si>
  <si>
    <t>YC280777</t>
  </si>
  <si>
    <t>YC290077</t>
  </si>
  <si>
    <t>132</t>
  </si>
  <si>
    <t>YC304877</t>
  </si>
  <si>
    <t>YC149277</t>
  </si>
  <si>
    <t>YC151777</t>
  </si>
  <si>
    <t>109</t>
  </si>
  <si>
    <t>YC289977</t>
  </si>
  <si>
    <t>YC330577</t>
  </si>
  <si>
    <t>EB393978</t>
  </si>
  <si>
    <t>EB392678</t>
  </si>
  <si>
    <t>TB925877</t>
  </si>
  <si>
    <t>TB925277</t>
  </si>
  <si>
    <t>5649</t>
  </si>
  <si>
    <t>TB993277</t>
  </si>
  <si>
    <t>B553TP797</t>
  </si>
  <si>
    <t>473</t>
  </si>
  <si>
    <t>M280TC797</t>
  </si>
  <si>
    <t>46</t>
  </si>
  <si>
    <t>152898</t>
  </si>
  <si>
    <t>TB946177</t>
  </si>
  <si>
    <t>92</t>
  </si>
  <si>
    <t>79</t>
  </si>
  <si>
    <t>252</t>
  </si>
  <si>
    <t>Y696CO198</t>
  </si>
  <si>
    <t>835</t>
  </si>
  <si>
    <t>YT892077</t>
  </si>
  <si>
    <t>P486XT198</t>
  </si>
  <si>
    <t>839</t>
  </si>
  <si>
    <t>838</t>
  </si>
  <si>
    <t>EB391778</t>
  </si>
  <si>
    <t>Y638CO198</t>
  </si>
  <si>
    <t>530</t>
  </si>
  <si>
    <t>64120</t>
  </si>
  <si>
    <t>772</t>
  </si>
  <si>
    <t>X603XK198</t>
  </si>
  <si>
    <t>YC091677</t>
  </si>
  <si>
    <t>X262YC198</t>
  </si>
  <si>
    <t>681</t>
  </si>
  <si>
    <t>622</t>
  </si>
  <si>
    <t>59</t>
  </si>
  <si>
    <t>X351MY198</t>
  </si>
  <si>
    <t>465</t>
  </si>
  <si>
    <t>698</t>
  </si>
  <si>
    <t>P195BP198</t>
  </si>
  <si>
    <t>498</t>
  </si>
  <si>
    <t>X117EH774</t>
  </si>
  <si>
    <t>432033</t>
  </si>
  <si>
    <t>432034</t>
  </si>
  <si>
    <t>1643</t>
  </si>
  <si>
    <t>EE039378</t>
  </si>
  <si>
    <t>EE250578</t>
  </si>
  <si>
    <t>EE586078</t>
  </si>
  <si>
    <t>EE565078</t>
  </si>
  <si>
    <t>EE658678</t>
  </si>
  <si>
    <t>YC091177</t>
  </si>
  <si>
    <t>234</t>
  </si>
  <si>
    <t>15622</t>
  </si>
  <si>
    <t>EE684878</t>
  </si>
  <si>
    <t>YC096577</t>
  </si>
  <si>
    <t>16206</t>
  </si>
  <si>
    <t>YC092877</t>
  </si>
  <si>
    <t>7981</t>
  </si>
  <si>
    <t>YC129577</t>
  </si>
  <si>
    <t>EB572178</t>
  </si>
  <si>
    <t>27891</t>
  </si>
  <si>
    <t>YC136277</t>
  </si>
  <si>
    <t>K438TY797</t>
  </si>
  <si>
    <t>E794TY797</t>
  </si>
  <si>
    <t>485</t>
  </si>
  <si>
    <t>259230</t>
  </si>
  <si>
    <t>243</t>
  </si>
  <si>
    <t>774</t>
  </si>
  <si>
    <t>686</t>
  </si>
  <si>
    <t>B963TT797</t>
  </si>
  <si>
    <t>744</t>
  </si>
  <si>
    <t>611</t>
  </si>
  <si>
    <t>388</t>
  </si>
  <si>
    <t>M152TC797</t>
  </si>
  <si>
    <t>853</t>
  </si>
  <si>
    <t>TB868277</t>
  </si>
  <si>
    <t>57</t>
  </si>
  <si>
    <t>TB933477</t>
  </si>
  <si>
    <t>TB934477</t>
  </si>
  <si>
    <t>30</t>
  </si>
  <si>
    <t>3305</t>
  </si>
  <si>
    <t>B246TH797</t>
  </si>
  <si>
    <t>315212</t>
  </si>
  <si>
    <t>315213</t>
  </si>
  <si>
    <t>930</t>
  </si>
  <si>
    <t>923</t>
  </si>
  <si>
    <t>A092XB797</t>
  </si>
  <si>
    <t>478</t>
  </si>
  <si>
    <t>E812TO797</t>
  </si>
  <si>
    <t>754</t>
  </si>
  <si>
    <t>583</t>
  </si>
  <si>
    <t>A107CX797</t>
  </si>
  <si>
    <t>271354</t>
  </si>
  <si>
    <t>271355</t>
  </si>
  <si>
    <t>B174TC797</t>
  </si>
  <si>
    <t>743</t>
  </si>
  <si>
    <t>TB884877</t>
  </si>
  <si>
    <t>TB925577</t>
  </si>
  <si>
    <t>3831</t>
  </si>
  <si>
    <t>X588CT797</t>
  </si>
  <si>
    <t>515</t>
  </si>
  <si>
    <t>245</t>
  </si>
  <si>
    <t>435</t>
  </si>
  <si>
    <t>TB994977</t>
  </si>
  <si>
    <t>1833</t>
  </si>
  <si>
    <t>TB869377</t>
  </si>
  <si>
    <t>TB828777</t>
  </si>
  <si>
    <t>TB921077</t>
  </si>
  <si>
    <t>71</t>
  </si>
  <si>
    <t>EB391278</t>
  </si>
  <si>
    <t>YT137877</t>
  </si>
  <si>
    <t>YT136577</t>
  </si>
  <si>
    <t>EB387478</t>
  </si>
  <si>
    <t>EB394178</t>
  </si>
  <si>
    <t>P057CX797</t>
  </si>
  <si>
    <t>280</t>
  </si>
  <si>
    <t>371</t>
  </si>
  <si>
    <t>E982TY797</t>
  </si>
  <si>
    <t>EB391378</t>
  </si>
  <si>
    <t>7658</t>
  </si>
  <si>
    <t>C592CM797</t>
  </si>
  <si>
    <t>452</t>
  </si>
  <si>
    <t>1056</t>
  </si>
  <si>
    <t>X220HM198</t>
  </si>
  <si>
    <t>X181HM198</t>
  </si>
  <si>
    <t>742</t>
  </si>
  <si>
    <t>679</t>
  </si>
  <si>
    <t>X696HK198</t>
  </si>
  <si>
    <t>603</t>
  </si>
  <si>
    <t>532</t>
  </si>
  <si>
    <t>Y775YB198</t>
  </si>
  <si>
    <t>669</t>
  </si>
  <si>
    <t>249</t>
  </si>
  <si>
    <t>P158XE198</t>
  </si>
  <si>
    <t>Y707YB198</t>
  </si>
  <si>
    <t>650</t>
  </si>
  <si>
    <t>553</t>
  </si>
  <si>
    <t>209</t>
  </si>
  <si>
    <t>X477MY198</t>
  </si>
  <si>
    <t>310</t>
  </si>
  <si>
    <t>X202HM198</t>
  </si>
  <si>
    <t>K792TY797</t>
  </si>
  <si>
    <t>370038</t>
  </si>
  <si>
    <t>89</t>
  </si>
  <si>
    <t>TB993877</t>
  </si>
  <si>
    <t>TB946477</t>
  </si>
  <si>
    <t>353</t>
  </si>
  <si>
    <t>TB886377</t>
  </si>
  <si>
    <t>TB854377</t>
  </si>
  <si>
    <t>TB896477</t>
  </si>
  <si>
    <t>TB940277</t>
  </si>
  <si>
    <t>TB936577</t>
  </si>
  <si>
    <t>96</t>
  </si>
  <si>
    <t>345</t>
  </si>
  <si>
    <t>E230TC797</t>
  </si>
  <si>
    <t>789</t>
  </si>
  <si>
    <t>O025CT797</t>
  </si>
  <si>
    <t>577</t>
  </si>
  <si>
    <t>M336TC797</t>
  </si>
  <si>
    <t>202947</t>
  </si>
  <si>
    <t>585</t>
  </si>
  <si>
    <t>A069XY797</t>
  </si>
  <si>
    <t>A171TE797</t>
  </si>
  <si>
    <t>512</t>
  </si>
  <si>
    <t>268</t>
  </si>
  <si>
    <t>P075CA797</t>
  </si>
  <si>
    <t>378</t>
  </si>
  <si>
    <t>M122TC797</t>
  </si>
  <si>
    <t>750</t>
  </si>
  <si>
    <t>O014CT797</t>
  </si>
  <si>
    <t>255652</t>
  </si>
  <si>
    <t>535</t>
  </si>
  <si>
    <t>B347TM797</t>
  </si>
  <si>
    <t>318973</t>
  </si>
  <si>
    <t>B980TE797</t>
  </si>
  <si>
    <t>M039TX797</t>
  </si>
  <si>
    <t>1144</t>
  </si>
  <si>
    <t>E918CO797</t>
  </si>
  <si>
    <t>283053</t>
  </si>
  <si>
    <t>1242</t>
  </si>
  <si>
    <t>E890TO797</t>
  </si>
  <si>
    <t>M689TY797</t>
  </si>
  <si>
    <t>E265TY797</t>
  </si>
  <si>
    <t>247</t>
  </si>
  <si>
    <t>TB934177</t>
  </si>
  <si>
    <t>TB952177</t>
  </si>
  <si>
    <t>TB918277</t>
  </si>
  <si>
    <t>TB883477</t>
  </si>
  <si>
    <t>E743TY797</t>
  </si>
  <si>
    <t>463</t>
  </si>
  <si>
    <t>359</t>
  </si>
  <si>
    <t>E049TT797</t>
  </si>
  <si>
    <t>301973</t>
  </si>
  <si>
    <t>K591TA797</t>
  </si>
  <si>
    <t>596</t>
  </si>
  <si>
    <t>595</t>
  </si>
  <si>
    <t>E834TY797</t>
  </si>
  <si>
    <t>1153</t>
  </si>
  <si>
    <t>B814TB797</t>
  </si>
  <si>
    <t>K440TY797</t>
  </si>
  <si>
    <t>558</t>
  </si>
  <si>
    <t>809</t>
  </si>
  <si>
    <t>TB944577</t>
  </si>
  <si>
    <t>X207HM198</t>
  </si>
  <si>
    <t>237583</t>
  </si>
  <si>
    <t>X128HB198</t>
  </si>
  <si>
    <t>116379</t>
  </si>
  <si>
    <t>409</t>
  </si>
  <si>
    <t>YC154677</t>
  </si>
  <si>
    <t>11711</t>
  </si>
  <si>
    <t>XX449152</t>
  </si>
  <si>
    <t>X569YP198</t>
  </si>
  <si>
    <t>X044YH198</t>
  </si>
  <si>
    <t>P486XO198</t>
  </si>
  <si>
    <t>X218HM198</t>
  </si>
  <si>
    <t>XX446452</t>
  </si>
  <si>
    <t>P462BT198</t>
  </si>
  <si>
    <t>226760</t>
  </si>
  <si>
    <t>607</t>
  </si>
  <si>
    <t>P188BT198</t>
  </si>
  <si>
    <t>375</t>
  </si>
  <si>
    <t>513</t>
  </si>
  <si>
    <t>X787HK198</t>
  </si>
  <si>
    <t>YC092077</t>
  </si>
  <si>
    <t>YC089777</t>
  </si>
  <si>
    <t>EE804478</t>
  </si>
  <si>
    <t>EE194678</t>
  </si>
  <si>
    <t>P253BC198</t>
  </si>
  <si>
    <t>6438</t>
  </si>
  <si>
    <t>P251BB198</t>
  </si>
  <si>
    <t>EE680378</t>
  </si>
  <si>
    <t>M559BO763</t>
  </si>
  <si>
    <t>262250</t>
  </si>
  <si>
    <t>262251</t>
  </si>
  <si>
    <t>YC142477</t>
  </si>
  <si>
    <t>12879</t>
  </si>
  <si>
    <t>P195EY198</t>
  </si>
  <si>
    <t>177933</t>
  </si>
  <si>
    <t>725</t>
  </si>
  <si>
    <t>YC144777</t>
  </si>
  <si>
    <t>YC281077</t>
  </si>
  <si>
    <t>P254XM198</t>
  </si>
  <si>
    <t>357</t>
  </si>
  <si>
    <t>727</t>
  </si>
  <si>
    <t>YC158877</t>
  </si>
  <si>
    <t>10712</t>
  </si>
  <si>
    <t>EB393078</t>
  </si>
  <si>
    <t>YT897477</t>
  </si>
  <si>
    <t>YC154377</t>
  </si>
  <si>
    <t>EB387278</t>
  </si>
  <si>
    <t>EB391078</t>
  </si>
  <si>
    <t>EB394078</t>
  </si>
  <si>
    <t>7360</t>
  </si>
  <si>
    <t>YT259877</t>
  </si>
  <si>
    <t>TB867677</t>
  </si>
  <si>
    <t>TB935077</t>
  </si>
  <si>
    <t>100</t>
  </si>
  <si>
    <t>TB924077</t>
  </si>
  <si>
    <t>TB940377</t>
  </si>
  <si>
    <t>TB957477</t>
  </si>
  <si>
    <t>TB993777</t>
  </si>
  <si>
    <t>72</t>
  </si>
  <si>
    <t>1120</t>
  </si>
  <si>
    <t>A169TK797</t>
  </si>
  <si>
    <t>TB946777</t>
  </si>
  <si>
    <t>K963TO797</t>
  </si>
  <si>
    <t>TB818777</t>
  </si>
  <si>
    <t>120</t>
  </si>
  <si>
    <t>TB995877</t>
  </si>
  <si>
    <t>TB876277</t>
  </si>
  <si>
    <t>TB953377</t>
  </si>
  <si>
    <t>5873</t>
  </si>
  <si>
    <t>EB321678</t>
  </si>
  <si>
    <t>-5</t>
  </si>
  <si>
    <t>EB322178</t>
  </si>
  <si>
    <t>EB322078</t>
  </si>
  <si>
    <t>9411</t>
  </si>
  <si>
    <t>EB321778</t>
  </si>
  <si>
    <t>Y096CC797</t>
  </si>
  <si>
    <t>531</t>
  </si>
  <si>
    <t>1062</t>
  </si>
  <si>
    <t>EB386978</t>
  </si>
  <si>
    <t>10656</t>
  </si>
  <si>
    <t>EB387378</t>
  </si>
  <si>
    <t>E233TX797</t>
  </si>
  <si>
    <t>387414</t>
  </si>
  <si>
    <t>693</t>
  </si>
  <si>
    <t>EB393678</t>
  </si>
  <si>
    <t>10885</t>
  </si>
  <si>
    <t>X100AB198</t>
  </si>
  <si>
    <t>C052CH797</t>
  </si>
  <si>
    <t>C627CB797</t>
  </si>
  <si>
    <t>X159AB198</t>
  </si>
  <si>
    <t>1009</t>
  </si>
  <si>
    <t>X143AB198</t>
  </si>
  <si>
    <t>995</t>
  </si>
  <si>
    <t>X121AB198</t>
  </si>
  <si>
    <t>360</t>
  </si>
  <si>
    <t>X117AA198</t>
  </si>
  <si>
    <t>88</t>
  </si>
  <si>
    <t>738</t>
  </si>
  <si>
    <t>X160AB198</t>
  </si>
  <si>
    <t>985</t>
  </si>
  <si>
    <t>X226HM198</t>
  </si>
  <si>
    <t>X628YP198</t>
  </si>
  <si>
    <t>Y728CO198</t>
  </si>
  <si>
    <t>398</t>
  </si>
  <si>
    <t>X205HM198</t>
  </si>
  <si>
    <t>224951</t>
  </si>
  <si>
    <t>777</t>
  </si>
  <si>
    <t>E226MB790</t>
  </si>
  <si>
    <t>X341YC198</t>
  </si>
  <si>
    <t>231064</t>
  </si>
  <si>
    <t>852</t>
  </si>
  <si>
    <t>YC028577</t>
  </si>
  <si>
    <t>P487BK198</t>
  </si>
  <si>
    <t>216103</t>
  </si>
  <si>
    <t>216104</t>
  </si>
  <si>
    <t>1188</t>
  </si>
  <si>
    <t>1185</t>
  </si>
  <si>
    <t>P141XY198</t>
  </si>
  <si>
    <t>541049</t>
  </si>
  <si>
    <t>677</t>
  </si>
  <si>
    <t>P189BC198</t>
  </si>
  <si>
    <t>YT902777</t>
  </si>
  <si>
    <t>P459BA198</t>
  </si>
  <si>
    <t>128045</t>
  </si>
  <si>
    <t>128046</t>
  </si>
  <si>
    <t>593</t>
  </si>
  <si>
    <t>P403BE198</t>
  </si>
  <si>
    <t>M185HA797</t>
  </si>
  <si>
    <t>P160XY198</t>
  </si>
  <si>
    <t>32</t>
  </si>
  <si>
    <t>EY809550</t>
  </si>
  <si>
    <t>EE743378</t>
  </si>
  <si>
    <t>EE589978</t>
  </si>
  <si>
    <t>K905TO797</t>
  </si>
  <si>
    <t>E676TO797</t>
  </si>
  <si>
    <t>578</t>
  </si>
  <si>
    <t>TB940177</t>
  </si>
  <si>
    <t>TB886777</t>
  </si>
  <si>
    <t>TB918177</t>
  </si>
  <si>
    <t>4124</t>
  </si>
  <si>
    <t>X124CP797</t>
  </si>
  <si>
    <t>O215OM797</t>
  </si>
  <si>
    <t>O203OM797</t>
  </si>
  <si>
    <t>TB875677</t>
  </si>
  <si>
    <t>TB943077</t>
  </si>
  <si>
    <t>M565TO797</t>
  </si>
  <si>
    <t>225</t>
  </si>
  <si>
    <t>A060TC797</t>
  </si>
  <si>
    <t>699</t>
  </si>
  <si>
    <t>E792TX797</t>
  </si>
  <si>
    <t>720</t>
  </si>
  <si>
    <t>504</t>
  </si>
  <si>
    <t>250</t>
  </si>
  <si>
    <t>B479TH797</t>
  </si>
  <si>
    <t>E401CM797</t>
  </si>
  <si>
    <t>E211TX797</t>
  </si>
  <si>
    <t>284971</t>
  </si>
  <si>
    <t>B837TE797</t>
  </si>
  <si>
    <t>K380TY797</t>
  </si>
  <si>
    <t>567</t>
  </si>
  <si>
    <t>TB923477</t>
  </si>
  <si>
    <t>TB875977</t>
  </si>
  <si>
    <t>3982</t>
  </si>
  <si>
    <t>E262TX797</t>
  </si>
  <si>
    <t>945</t>
  </si>
  <si>
    <t>A049TE797</t>
  </si>
  <si>
    <t>563</t>
  </si>
  <si>
    <t>M722TY797</t>
  </si>
  <si>
    <t>B652TH797</t>
  </si>
  <si>
    <t>TB918377</t>
  </si>
  <si>
    <t>TB932877</t>
  </si>
  <si>
    <t>5562</t>
  </si>
  <si>
    <t>TB923777</t>
  </si>
  <si>
    <t>E371CM797</t>
  </si>
  <si>
    <t>712</t>
  </si>
  <si>
    <t>M325TC797</t>
  </si>
  <si>
    <t>238418</t>
  </si>
  <si>
    <t>M316TC797</t>
  </si>
  <si>
    <t>780</t>
  </si>
  <si>
    <t>TB951377</t>
  </si>
  <si>
    <t>TB934377</t>
  </si>
  <si>
    <t>1701</t>
  </si>
  <si>
    <t>TB819177</t>
  </si>
  <si>
    <t>E616TY797</t>
  </si>
  <si>
    <t>E886CK797</t>
  </si>
  <si>
    <t>257047</t>
  </si>
  <si>
    <t>935</t>
  </si>
  <si>
    <t>282</t>
  </si>
  <si>
    <t>B998TT797</t>
  </si>
  <si>
    <t>1123</t>
  </si>
  <si>
    <t>YC106177</t>
  </si>
  <si>
    <t>EB573278</t>
  </si>
  <si>
    <t>94</t>
  </si>
  <si>
    <t>91</t>
  </si>
  <si>
    <t>EE743578</t>
  </si>
  <si>
    <t>EE743278</t>
  </si>
  <si>
    <t>YC125177</t>
  </si>
  <si>
    <t>EE561678</t>
  </si>
  <si>
    <t>BP089478</t>
  </si>
  <si>
    <t>K868KA763</t>
  </si>
  <si>
    <t>214505</t>
  </si>
  <si>
    <t>214506</t>
  </si>
  <si>
    <t>Y833HH716</t>
  </si>
  <si>
    <t>YC135477</t>
  </si>
  <si>
    <t>YC135577</t>
  </si>
  <si>
    <t>EB390978</t>
  </si>
  <si>
    <t>YC029877</t>
  </si>
  <si>
    <t>YC136377</t>
  </si>
  <si>
    <t>YC283077</t>
  </si>
  <si>
    <t>EB392778</t>
  </si>
  <si>
    <t>EB392878</t>
  </si>
  <si>
    <t>EB391978</t>
  </si>
  <si>
    <t>964</t>
  </si>
  <si>
    <t>TB924777</t>
  </si>
  <si>
    <t>A164YO797</t>
  </si>
  <si>
    <t>649</t>
  </si>
  <si>
    <t>283994</t>
  </si>
  <si>
    <t>TB957777</t>
  </si>
  <si>
    <t>93</t>
  </si>
  <si>
    <t>E633TP797</t>
  </si>
  <si>
    <t>A055YT797</t>
  </si>
  <si>
    <t>302961</t>
  </si>
  <si>
    <t>715</t>
  </si>
  <si>
    <t>TB939577</t>
  </si>
  <si>
    <t>TB939777</t>
  </si>
  <si>
    <t>TB884177</t>
  </si>
  <si>
    <t>4347</t>
  </si>
  <si>
    <t>TB933177</t>
  </si>
  <si>
    <t>TB939677</t>
  </si>
  <si>
    <t>E412CM797</t>
  </si>
  <si>
    <t>272887</t>
  </si>
  <si>
    <t>704</t>
  </si>
  <si>
    <t>K240TC797</t>
  </si>
  <si>
    <t>B371TM797</t>
  </si>
  <si>
    <t>722</t>
  </si>
  <si>
    <t>B613TH797</t>
  </si>
  <si>
    <t>A166XP797</t>
  </si>
  <si>
    <t>758</t>
  </si>
  <si>
    <t>X589CO797</t>
  </si>
  <si>
    <t>B744TB797</t>
  </si>
  <si>
    <t>238002</t>
  </si>
  <si>
    <t>1227</t>
  </si>
  <si>
    <t>K605TP797</t>
  </si>
  <si>
    <t>482</t>
  </si>
  <si>
    <t>E321CM797</t>
  </si>
  <si>
    <t>678</t>
  </si>
  <si>
    <t>K646TP797</t>
  </si>
  <si>
    <t>492</t>
  </si>
  <si>
    <t>256</t>
  </si>
  <si>
    <t>B474TH797</t>
  </si>
  <si>
    <t>282122</t>
  </si>
  <si>
    <t>561</t>
  </si>
  <si>
    <t>E716TY797</t>
  </si>
  <si>
    <t>M099TC797</t>
  </si>
  <si>
    <t>A054YX797</t>
  </si>
  <si>
    <t>814</t>
  </si>
  <si>
    <t>1075</t>
  </si>
  <si>
    <t>X141AB198</t>
  </si>
  <si>
    <t>C041CH797</t>
  </si>
  <si>
    <t>T082CA797</t>
  </si>
  <si>
    <t>820</t>
  </si>
  <si>
    <t>1057</t>
  </si>
  <si>
    <t>X128AA198</t>
  </si>
  <si>
    <t>P087XY198</t>
  </si>
  <si>
    <t>1038</t>
  </si>
  <si>
    <t>X897YY198</t>
  </si>
  <si>
    <t>842</t>
  </si>
  <si>
    <t>X468MK198</t>
  </si>
  <si>
    <t>382085</t>
  </si>
  <si>
    <t>YT854777</t>
  </si>
  <si>
    <t>X214HM198</t>
  </si>
  <si>
    <t>P235BX198</t>
  </si>
  <si>
    <t>Y724CO198</t>
  </si>
  <si>
    <t>Y739YB198</t>
  </si>
  <si>
    <t>29</t>
  </si>
  <si>
    <t>X615HA198</t>
  </si>
  <si>
    <t>176435</t>
  </si>
  <si>
    <t>X594XK198</t>
  </si>
  <si>
    <t>A574EO193</t>
  </si>
  <si>
    <t>XY116352</t>
  </si>
  <si>
    <t>X298YC198</t>
  </si>
  <si>
    <t>250065</t>
  </si>
  <si>
    <t>250066</t>
  </si>
  <si>
    <t>934</t>
  </si>
  <si>
    <t>YC019477</t>
  </si>
  <si>
    <t>11133</t>
  </si>
  <si>
    <t>YC017977</t>
  </si>
  <si>
    <t>YC029477</t>
  </si>
  <si>
    <t>10740</t>
  </si>
  <si>
    <t>P234BH198</t>
  </si>
  <si>
    <t>811</t>
  </si>
  <si>
    <t>4388</t>
  </si>
  <si>
    <t>1367</t>
  </si>
  <si>
    <t>C294TH40</t>
  </si>
  <si>
    <t>922</t>
  </si>
  <si>
    <t>P253BY198</t>
  </si>
  <si>
    <t>559</t>
  </si>
  <si>
    <t>6898</t>
  </si>
  <si>
    <t>P156XP198</t>
  </si>
  <si>
    <t>BO562078</t>
  </si>
  <si>
    <t>EE560578</t>
  </si>
  <si>
    <t>A493OX761</t>
  </si>
  <si>
    <t>EE251378</t>
  </si>
  <si>
    <t>YC106277</t>
  </si>
  <si>
    <t>X857ME198</t>
  </si>
  <si>
    <t>146997</t>
  </si>
  <si>
    <t>BP664478</t>
  </si>
  <si>
    <t>EE815678</t>
  </si>
  <si>
    <t>Y154XE198</t>
  </si>
  <si>
    <t>A777AA111</t>
  </si>
  <si>
    <t>292278</t>
  </si>
  <si>
    <t>292279</t>
  </si>
  <si>
    <t>YC136677</t>
  </si>
  <si>
    <t>BA716760</t>
  </si>
  <si>
    <t>YC330377</t>
  </si>
  <si>
    <t>P154XC198</t>
  </si>
  <si>
    <t>314051</t>
  </si>
  <si>
    <t>751</t>
  </si>
  <si>
    <t>M185TH797</t>
  </si>
  <si>
    <t>555</t>
  </si>
  <si>
    <t>O035CK797</t>
  </si>
  <si>
    <t>671</t>
  </si>
  <si>
    <t>432</t>
  </si>
  <si>
    <t>TB993077</t>
  </si>
  <si>
    <t>TB944277</t>
  </si>
  <si>
    <t>TB944377</t>
  </si>
  <si>
    <t>5242</t>
  </si>
  <si>
    <t>TB918677</t>
  </si>
  <si>
    <t>E304CP797</t>
  </si>
  <si>
    <t>418</t>
  </si>
  <si>
    <t>TB958577</t>
  </si>
  <si>
    <t>TB883877</t>
  </si>
  <si>
    <t>TB958277</t>
  </si>
  <si>
    <t>E908TO797</t>
  </si>
  <si>
    <t>TB941277</t>
  </si>
  <si>
    <t>-3</t>
  </si>
  <si>
    <t>TB946077</t>
  </si>
  <si>
    <t>3163</t>
  </si>
  <si>
    <t>YT136777</t>
  </si>
  <si>
    <t>EB387678</t>
  </si>
  <si>
    <t>T090CA797</t>
  </si>
  <si>
    <t>X132AB198</t>
  </si>
  <si>
    <t>C578CX797</t>
  </si>
  <si>
    <t>C058CT797</t>
  </si>
  <si>
    <t>883</t>
  </si>
  <si>
    <t>343</t>
  </si>
  <si>
    <t>35.74</t>
  </si>
  <si>
    <t>X103AB198</t>
  </si>
  <si>
    <t>X638YP198</t>
  </si>
  <si>
    <t>YT878877</t>
  </si>
  <si>
    <t>12672</t>
  </si>
  <si>
    <t>P190EB198</t>
  </si>
  <si>
    <t>X379MY198</t>
  </si>
  <si>
    <t>Y740YB198</t>
  </si>
  <si>
    <t>P185XK198</t>
  </si>
  <si>
    <t>171328</t>
  </si>
  <si>
    <t>Y612CO198</t>
  </si>
  <si>
    <t>YT897277</t>
  </si>
  <si>
    <t>P462BA198</t>
  </si>
  <si>
    <t>1164</t>
  </si>
  <si>
    <t>YT892577</t>
  </si>
  <si>
    <t>P403BO198</t>
  </si>
  <si>
    <t>247989</t>
  </si>
  <si>
    <t>247990</t>
  </si>
  <si>
    <t>X234HM198</t>
  </si>
  <si>
    <t>P164XM198</t>
  </si>
  <si>
    <t>560108</t>
  </si>
  <si>
    <t>P169XO198</t>
  </si>
  <si>
    <t>101366</t>
  </si>
  <si>
    <t>529</t>
  </si>
  <si>
    <t>YC089677</t>
  </si>
  <si>
    <t>EE251478</t>
  </si>
  <si>
    <t>EE563878</t>
  </si>
  <si>
    <t>EE682978</t>
  </si>
  <si>
    <t>EE683178</t>
  </si>
  <si>
    <t>EE563378</t>
  </si>
  <si>
    <t>EE744378</t>
  </si>
  <si>
    <t>EB573478</t>
  </si>
  <si>
    <t>4005</t>
  </si>
  <si>
    <t>EB573378</t>
  </si>
  <si>
    <t>EE682678</t>
  </si>
  <si>
    <t>YC134577</t>
  </si>
  <si>
    <t>YC136877</t>
  </si>
  <si>
    <t>BC671278</t>
  </si>
  <si>
    <t>YC135977</t>
  </si>
  <si>
    <t>P401XB198</t>
  </si>
  <si>
    <t>P462XE198</t>
  </si>
  <si>
    <t>BP664678</t>
  </si>
  <si>
    <t>BC740878</t>
  </si>
  <si>
    <t>P254BP198</t>
  </si>
  <si>
    <t>B581KK774</t>
  </si>
  <si>
    <t>307514</t>
  </si>
  <si>
    <t>307515</t>
  </si>
  <si>
    <t>BC744178</t>
  </si>
  <si>
    <t>YC207377</t>
  </si>
  <si>
    <t>YC154477</t>
  </si>
  <si>
    <t>YC129977</t>
  </si>
  <si>
    <t>YC308877</t>
  </si>
  <si>
    <t>P143XB198</t>
  </si>
  <si>
    <t>YC282277</t>
  </si>
  <si>
    <t>YC136977</t>
  </si>
  <si>
    <t>P161XE198</t>
  </si>
  <si>
    <t>1030</t>
  </si>
  <si>
    <t>1342</t>
  </si>
  <si>
    <t>YC343977</t>
  </si>
  <si>
    <t>EB391878</t>
  </si>
  <si>
    <t>TB918077</t>
  </si>
  <si>
    <t>TB924277</t>
  </si>
  <si>
    <t>TB943677</t>
  </si>
  <si>
    <t>4548</t>
  </si>
  <si>
    <t>K410TY797</t>
  </si>
  <si>
    <t>822</t>
  </si>
  <si>
    <t>B957TP797</t>
  </si>
  <si>
    <t>M317TC797</t>
  </si>
  <si>
    <t>TB925177</t>
  </si>
  <si>
    <t>EE586178</t>
  </si>
  <si>
    <t>EE658378</t>
  </si>
  <si>
    <t>EE658878</t>
  </si>
  <si>
    <t>YC092377</t>
  </si>
  <si>
    <t>15788</t>
  </si>
  <si>
    <t>EE564078</t>
  </si>
  <si>
    <t>TB946877</t>
  </si>
  <si>
    <t>TB869277</t>
  </si>
  <si>
    <t>15.03.2026 08:15:26</t>
  </si>
  <si>
    <t>15.03.2026 20:30:03</t>
  </si>
  <si>
    <t>05:29</t>
  </si>
  <si>
    <t>2931</t>
  </si>
  <si>
    <t>15.03.2026 11:30:04</t>
  </si>
  <si>
    <t>15.03.2026 17:00:22</t>
  </si>
  <si>
    <t>21:49</t>
  </si>
  <si>
    <t>15.03.2026 00:00:00</t>
  </si>
  <si>
    <t>15.03.2026 23:13:19</t>
  </si>
  <si>
    <t>19:23</t>
  </si>
  <si>
    <t>15.03.2026 20:15:22</t>
  </si>
  <si>
    <t>09:52</t>
  </si>
  <si>
    <t>15.03.2026 17:05:44</t>
  </si>
  <si>
    <t>11:17</t>
  </si>
  <si>
    <t>05:43</t>
  </si>
  <si>
    <t>6272</t>
  </si>
  <si>
    <t>6288</t>
  </si>
  <si>
    <t>15.03.2026 06:08:47</t>
  </si>
  <si>
    <t>15.03.2026 23:49:23</t>
  </si>
  <si>
    <t>281</t>
  </si>
  <si>
    <t>171063</t>
  </si>
  <si>
    <t>171344</t>
  </si>
  <si>
    <t>821</t>
  </si>
  <si>
    <t>26.89</t>
  </si>
  <si>
    <t>15.03.2026 11:36:33</t>
  </si>
  <si>
    <t>15.03.2026 23:59:59</t>
  </si>
  <si>
    <t>18:39</t>
  </si>
  <si>
    <t>208440</t>
  </si>
  <si>
    <t>208733</t>
  </si>
  <si>
    <t>734</t>
  </si>
  <si>
    <t>29.37</t>
  </si>
  <si>
    <t>206488</t>
  </si>
  <si>
    <t>207261</t>
  </si>
  <si>
    <t>267</t>
  </si>
  <si>
    <t>33.</t>
  </si>
  <si>
    <t>15.03.2026 10:33:31</t>
  </si>
  <si>
    <t>15.03.2026 00:25:55</t>
  </si>
  <si>
    <t>15.03.2026 21:42:35</t>
  </si>
  <si>
    <t>08:03</t>
  </si>
  <si>
    <t>15.03.2026 20:22:24</t>
  </si>
  <si>
    <t>12:42</t>
  </si>
  <si>
    <t>02:33</t>
  </si>
  <si>
    <t>170</t>
  </si>
  <si>
    <t>15.03.2026 10:27:05</t>
  </si>
  <si>
    <t>15.03.2026 10:46:21</t>
  </si>
  <si>
    <t>23:45</t>
  </si>
  <si>
    <t>15.03.2026 20:23:49</t>
  </si>
  <si>
    <t>Россия,Брянская область</t>
  </si>
  <si>
    <t>09:43</t>
  </si>
  <si>
    <t>264195</t>
  </si>
  <si>
    <t>264538</t>
  </si>
  <si>
    <t>740</t>
  </si>
  <si>
    <t>53.98</t>
  </si>
  <si>
    <t>15.03.2026 07:53:01</t>
  </si>
  <si>
    <t>15.03.2026 18:25:20</t>
  </si>
  <si>
    <t>07:01</t>
  </si>
  <si>
    <t>458</t>
  </si>
  <si>
    <t>279112</t>
  </si>
  <si>
    <t>279570</t>
  </si>
  <si>
    <t>33.95</t>
  </si>
  <si>
    <t>15.03.2026 13:06:10</t>
  </si>
  <si>
    <t>13:05</t>
  </si>
  <si>
    <t>15.03.2026 06:58:12</t>
  </si>
  <si>
    <t>15.03.2026 20:33:30</t>
  </si>
  <si>
    <t>09:12</t>
  </si>
  <si>
    <t>12:43</t>
  </si>
  <si>
    <t>6189</t>
  </si>
  <si>
    <t>15.03.2026 11:28:33</t>
  </si>
  <si>
    <t>15.03.2026 20:06:44</t>
  </si>
  <si>
    <t>358347</t>
  </si>
  <si>
    <t>358454</t>
  </si>
  <si>
    <t>47.42</t>
  </si>
  <si>
    <t>15.03.2026 11:35:28</t>
  </si>
  <si>
    <t>15.03.2026 21:36:08</t>
  </si>
  <si>
    <t>290657</t>
  </si>
  <si>
    <t>290946</t>
  </si>
  <si>
    <t>37.42</t>
  </si>
  <si>
    <t>251683</t>
  </si>
  <si>
    <t>15.03.2026 21:59:44</t>
  </si>
  <si>
    <t>261499</t>
  </si>
  <si>
    <t>460</t>
  </si>
  <si>
    <t>31.46</t>
  </si>
  <si>
    <t>15.03.2026 08:03:41</t>
  </si>
  <si>
    <t>15.03.2026 17:23:16</t>
  </si>
  <si>
    <t>496</t>
  </si>
  <si>
    <t>210674</t>
  </si>
  <si>
    <t>211170</t>
  </si>
  <si>
    <t>37.4</t>
  </si>
  <si>
    <t>15.03.2026 22:21:05</t>
  </si>
  <si>
    <t>264562</t>
  </si>
  <si>
    <t>264978</t>
  </si>
  <si>
    <t>392</t>
  </si>
  <si>
    <t>44.8</t>
  </si>
  <si>
    <t>15.03.2026 08:25:18</t>
  </si>
  <si>
    <t>15.03.2026 17:46:07</t>
  </si>
  <si>
    <t>15.03.2026 07:31:48</t>
  </si>
  <si>
    <t>15.03.2026 22:36:48</t>
  </si>
  <si>
    <t>19:15</t>
  </si>
  <si>
    <t>03:10</t>
  </si>
  <si>
    <t>345998</t>
  </si>
  <si>
    <t>346079</t>
  </si>
  <si>
    <t>34.41</t>
  </si>
  <si>
    <t>15.03.2026 06:35:18</t>
  </si>
  <si>
    <t>15.03.2026 20:41:49</t>
  </si>
  <si>
    <t>6978</t>
  </si>
  <si>
    <t>15.03.2026 22:42:00</t>
  </si>
  <si>
    <t>15.03.2026 06:36:18</t>
  </si>
  <si>
    <t>15.03.2026 20:04:04</t>
  </si>
  <si>
    <t>15.03.2026 03:00:35</t>
  </si>
  <si>
    <t>17:15</t>
  </si>
  <si>
    <t>6715</t>
  </si>
  <si>
    <t>6719</t>
  </si>
  <si>
    <t>15.03.2026 08:36:42</t>
  </si>
  <si>
    <t>15.03.2026 23:00:01</t>
  </si>
  <si>
    <t>13:13</t>
  </si>
  <si>
    <t>437123</t>
  </si>
  <si>
    <t>437211</t>
  </si>
  <si>
    <t>25.9</t>
  </si>
  <si>
    <t>15.03.2026 07:43:35</t>
  </si>
  <si>
    <t>15.03.2026 18:31:01</t>
  </si>
  <si>
    <t>09:02</t>
  </si>
  <si>
    <t>410622</t>
  </si>
  <si>
    <t>411321</t>
  </si>
  <si>
    <t>955</t>
  </si>
  <si>
    <t>358</t>
  </si>
  <si>
    <t>29.84</t>
  </si>
  <si>
    <t>15.03.2026 06:31:00</t>
  </si>
  <si>
    <t>15.03.2026 20:53:45</t>
  </si>
  <si>
    <t>11:15</t>
  </si>
  <si>
    <t>299098</t>
  </si>
  <si>
    <t>299695</t>
  </si>
  <si>
    <t>32.36</t>
  </si>
  <si>
    <t>15.03.2026 11:39:53</t>
  </si>
  <si>
    <t>15.03.2026 14:37:09</t>
  </si>
  <si>
    <t>17:06</t>
  </si>
  <si>
    <t>06:28</t>
  </si>
  <si>
    <t>232543</t>
  </si>
  <si>
    <t>232856</t>
  </si>
  <si>
    <t>2351.49</t>
  </si>
  <si>
    <t>15.03.2026 02:06:15</t>
  </si>
  <si>
    <t>15.03.2026 14:47:41</t>
  </si>
  <si>
    <t>12:55</t>
  </si>
  <si>
    <t>325850</t>
  </si>
  <si>
    <t>326601</t>
  </si>
  <si>
    <t>27.37</t>
  </si>
  <si>
    <t>15.03.2026 05:56:15</t>
  </si>
  <si>
    <t>15.03.2026 19:01:34</t>
  </si>
  <si>
    <t>15.03.2026 12:46:49</t>
  </si>
  <si>
    <t>15.03.2026 18:44:36</t>
  </si>
  <si>
    <t>20:14</t>
  </si>
  <si>
    <t>480658</t>
  </si>
  <si>
    <t>480923</t>
  </si>
  <si>
    <t>29.81</t>
  </si>
  <si>
    <t>15.03.2026 09:39:20</t>
  </si>
  <si>
    <t>15.03.2026 23:43:09</t>
  </si>
  <si>
    <t>10:27</t>
  </si>
  <si>
    <t>04:59</t>
  </si>
  <si>
    <t>845</t>
  </si>
  <si>
    <t>298232</t>
  </si>
  <si>
    <t>303</t>
  </si>
  <si>
    <t>49.36</t>
  </si>
  <si>
    <t>289577</t>
  </si>
  <si>
    <t>290111</t>
  </si>
  <si>
    <t>307</t>
  </si>
  <si>
    <t>43.54</t>
  </si>
  <si>
    <t>15.03.2026 06:50:00</t>
  </si>
  <si>
    <t>15.03.2026 20:01:32</t>
  </si>
  <si>
    <t>672</t>
  </si>
  <si>
    <t>243419</t>
  </si>
  <si>
    <t>244091</t>
  </si>
  <si>
    <t>-395</t>
  </si>
  <si>
    <t>37.12</t>
  </si>
  <si>
    <t>15.03.2026 08:26:21</t>
  </si>
  <si>
    <t>10:06</t>
  </si>
  <si>
    <t>281538</t>
  </si>
  <si>
    <t>-0.45</t>
  </si>
  <si>
    <t>15.03.2026 22:40:45</t>
  </si>
  <si>
    <t>4327</t>
  </si>
  <si>
    <t>15.03.2026 02:17:44</t>
  </si>
  <si>
    <t>15.03.2026 23:49:55</t>
  </si>
  <si>
    <t>5949</t>
  </si>
  <si>
    <t>15.03.2026 08:19:20</t>
  </si>
  <si>
    <t>15.03.2026 23:15:03</t>
  </si>
  <si>
    <t>09:56</t>
  </si>
  <si>
    <t>14:03</t>
  </si>
  <si>
    <t>641</t>
  </si>
  <si>
    <t>306189</t>
  </si>
  <si>
    <t>306830</t>
  </si>
  <si>
    <t>15.03.2026 05:40:38</t>
  </si>
  <si>
    <t>15.03.2026 05:40:40</t>
  </si>
  <si>
    <t>8477</t>
  </si>
  <si>
    <t>8480</t>
  </si>
  <si>
    <t>15.03.2026 10:20:08</t>
  </si>
  <si>
    <t>15.03.2026 21:30:35</t>
  </si>
  <si>
    <t>304764</t>
  </si>
  <si>
    <t>305208</t>
  </si>
  <si>
    <t>1173</t>
  </si>
  <si>
    <t>56.02</t>
  </si>
  <si>
    <t>15.03.2026 15:44:20</t>
  </si>
  <si>
    <t>15.03.2026 15:49:57</t>
  </si>
  <si>
    <t>15.03.2026 05:03:47</t>
  </si>
  <si>
    <t>15.03.2026 21:45:58</t>
  </si>
  <si>
    <t>76820</t>
  </si>
  <si>
    <t>77392</t>
  </si>
  <si>
    <t>-23</t>
  </si>
  <si>
    <t>18.56</t>
  </si>
  <si>
    <t>15.03.2026 06:52:29</t>
  </si>
  <si>
    <t>15.03.2026 23:34:48</t>
  </si>
  <si>
    <t>13:43</t>
  </si>
  <si>
    <t>96989</t>
  </si>
  <si>
    <t>97548</t>
  </si>
  <si>
    <t>34.2</t>
  </si>
  <si>
    <t>15.03.2026 10:25:38</t>
  </si>
  <si>
    <t>15.03.2026 10:26:22</t>
  </si>
  <si>
    <t>15.03.2026 11:02:11</t>
  </si>
  <si>
    <t>12:57</t>
  </si>
  <si>
    <t>153842</t>
  </si>
  <si>
    <t>153961</t>
  </si>
  <si>
    <t>31.51</t>
  </si>
  <si>
    <t>15.03.2026 07:55:01</t>
  </si>
  <si>
    <t>15.03.2026 23:28:32</t>
  </si>
  <si>
    <t>02:18</t>
  </si>
  <si>
    <t>148627</t>
  </si>
  <si>
    <t>149615</t>
  </si>
  <si>
    <t>34552</t>
  </si>
  <si>
    <t>15.03.2026 10:21:26</t>
  </si>
  <si>
    <t>15.03.2026 22:23:50</t>
  </si>
  <si>
    <t>479</t>
  </si>
  <si>
    <t>324564</t>
  </si>
  <si>
    <t>362</t>
  </si>
  <si>
    <t>34.06</t>
  </si>
  <si>
    <t>15.03.2026 01:33:12</t>
  </si>
  <si>
    <t>15.03.2026 07:47:38</t>
  </si>
  <si>
    <t>17:42</t>
  </si>
  <si>
    <t>-3.79</t>
  </si>
  <si>
    <t>163077</t>
  </si>
  <si>
    <t>15.03.2026 17:40:05</t>
  </si>
  <si>
    <t>15.03.2026 19:23:53</t>
  </si>
  <si>
    <t>18:06</t>
  </si>
  <si>
    <t>05:47</t>
  </si>
  <si>
    <t>261249</t>
  </si>
  <si>
    <t>261254</t>
  </si>
  <si>
    <t>156.96</t>
  </si>
  <si>
    <t>15.03.2026 06:50:41</t>
  </si>
  <si>
    <t>15.03.2026 16:57:38</t>
  </si>
  <si>
    <t>313077</t>
  </si>
  <si>
    <t>313641</t>
  </si>
  <si>
    <t>35.</t>
  </si>
  <si>
    <t>15.03.2026 08:51:04</t>
  </si>
  <si>
    <t>275792</t>
  </si>
  <si>
    <t>276252</t>
  </si>
  <si>
    <t>997</t>
  </si>
  <si>
    <t>30.09</t>
  </si>
  <si>
    <t>15.03.2026 06:56:47</t>
  </si>
  <si>
    <t>15.03.2026 19:46:18</t>
  </si>
  <si>
    <t>328556</t>
  </si>
  <si>
    <t>328886</t>
  </si>
  <si>
    <t>45.97</t>
  </si>
  <si>
    <t>15.03.2026 07:04:17</t>
  </si>
  <si>
    <t>21:01</t>
  </si>
  <si>
    <t>310586</t>
  </si>
  <si>
    <t>310692</t>
  </si>
  <si>
    <t>34.99</t>
  </si>
  <si>
    <t>15.03.2026 20:23:46</t>
  </si>
  <si>
    <t>09:47</t>
  </si>
  <si>
    <t>09:05</t>
  </si>
  <si>
    <t>3958</t>
  </si>
  <si>
    <t>10:59</t>
  </si>
  <si>
    <t>07:56</t>
  </si>
  <si>
    <t>15.03.2026 06:24:57</t>
  </si>
  <si>
    <t>15.03.2026 23:37:34</t>
  </si>
  <si>
    <t>5895</t>
  </si>
  <si>
    <t>15.03.2026 22:30:13</t>
  </si>
  <si>
    <t>15.03.2026 19:01:04</t>
  </si>
  <si>
    <t>11056</t>
  </si>
  <si>
    <t>11065</t>
  </si>
  <si>
    <t>15.03.2026 07:03:02</t>
  </si>
  <si>
    <t>15.03.2026 22:23:22</t>
  </si>
  <si>
    <t>9435</t>
  </si>
  <si>
    <t>15.03.2026 06:34:24</t>
  </si>
  <si>
    <t>15.03.2026 17:54:33</t>
  </si>
  <si>
    <t>11845</t>
  </si>
  <si>
    <t>15.03.2026 08:55:13</t>
  </si>
  <si>
    <t>15.03.2026 23:42:41</t>
  </si>
  <si>
    <t>683</t>
  </si>
  <si>
    <t>185292</t>
  </si>
  <si>
    <t>185975</t>
  </si>
  <si>
    <t>36.08</t>
  </si>
  <si>
    <t>15.03.2026 18:18:50</t>
  </si>
  <si>
    <t>142982</t>
  </si>
  <si>
    <t>143634</t>
  </si>
  <si>
    <t>759</t>
  </si>
  <si>
    <t>61.72</t>
  </si>
  <si>
    <t>15.03.2026 06:05:21</t>
  </si>
  <si>
    <t>15.03.2026 09:58:51</t>
  </si>
  <si>
    <t>03:32</t>
  </si>
  <si>
    <t>20:27</t>
  </si>
  <si>
    <t>102449</t>
  </si>
  <si>
    <t>102716</t>
  </si>
  <si>
    <t>17:32</t>
  </si>
  <si>
    <t>65001</t>
  </si>
  <si>
    <t>65577</t>
  </si>
  <si>
    <t>78</t>
  </si>
  <si>
    <t>15.03.2026 09:48:15</t>
  </si>
  <si>
    <t>15.03.2026 20:20:42</t>
  </si>
  <si>
    <t>560724</t>
  </si>
  <si>
    <t>560734</t>
  </si>
  <si>
    <t>243.93</t>
  </si>
  <si>
    <t>15.03.2026 10:10:39</t>
  </si>
  <si>
    <t>15.03.2026 16:46:24</t>
  </si>
  <si>
    <t>23:41</t>
  </si>
  <si>
    <t>233068</t>
  </si>
  <si>
    <t>233076</t>
  </si>
  <si>
    <t>92.52</t>
  </si>
  <si>
    <t>15.03.2026 12:48:00</t>
  </si>
  <si>
    <t>15.03.2026 19:05:16</t>
  </si>
  <si>
    <t>134872</t>
  </si>
  <si>
    <t>15.03.2026 15:29:33</t>
  </si>
  <si>
    <t>15.03.2026 23:33:18</t>
  </si>
  <si>
    <t>20:44</t>
  </si>
  <si>
    <t>574481</t>
  </si>
  <si>
    <t>574698</t>
  </si>
  <si>
    <t>15.03.2026 10:13:31</t>
  </si>
  <si>
    <t>15.03.2026 16:10:57</t>
  </si>
  <si>
    <t>03:50</t>
  </si>
  <si>
    <t>109608</t>
  </si>
  <si>
    <t>109872</t>
  </si>
  <si>
    <t>35.22</t>
  </si>
  <si>
    <t>15.03.2026 23:50:40</t>
  </si>
  <si>
    <t>118596</t>
  </si>
  <si>
    <t>118833</t>
  </si>
  <si>
    <t>130</t>
  </si>
  <si>
    <t>53.18</t>
  </si>
  <si>
    <t>15.03.2026 01:24:15</t>
  </si>
  <si>
    <t>15.03.2026 18:25:15</t>
  </si>
  <si>
    <t>16:17</t>
  </si>
  <si>
    <t>15.03.2026 06:32:16</t>
  </si>
  <si>
    <t>15.03.2026 18:54:49</t>
  </si>
  <si>
    <t>05:46</t>
  </si>
  <si>
    <t>02:05</t>
  </si>
  <si>
    <t>15.03.2026 00:20:10</t>
  </si>
  <si>
    <t>15.03.2026 23:54:51</t>
  </si>
  <si>
    <t>15.03.2026 03:44:29</t>
  </si>
  <si>
    <t>15.03.2026 21:10:39</t>
  </si>
  <si>
    <t>18:13</t>
  </si>
  <si>
    <t>13680</t>
  </si>
  <si>
    <t>14:00</t>
  </si>
  <si>
    <t>15.03.2026 12:06:27</t>
  </si>
  <si>
    <t>15.03.2026 22:09:17</t>
  </si>
  <si>
    <t>15.03.2026 07:41:33</t>
  </si>
  <si>
    <t>15.03.2026 18:58:26</t>
  </si>
  <si>
    <t>101824</t>
  </si>
  <si>
    <t>102477</t>
  </si>
  <si>
    <t>28.86</t>
  </si>
  <si>
    <t>15.03.2026 01:58:01</t>
  </si>
  <si>
    <t>15.03.2026 13:13:29</t>
  </si>
  <si>
    <t>23:15</t>
  </si>
  <si>
    <t>15.03.2026 06:04:36</t>
  </si>
  <si>
    <t>15.03.2026 16:57:14</t>
  </si>
  <si>
    <t>15.03.2026 08:48:44</t>
  </si>
  <si>
    <t>15.03.2026 22:41:05</t>
  </si>
  <si>
    <t>407519</t>
  </si>
  <si>
    <t>408264</t>
  </si>
  <si>
    <t>11:34</t>
  </si>
  <si>
    <t>15.03.2026 02:02:46</t>
  </si>
  <si>
    <t>15.03.2026 18:29:09</t>
  </si>
  <si>
    <t>15.03.2026 07:39:38</t>
  </si>
  <si>
    <t>15.03.2026 20:35:50</t>
  </si>
  <si>
    <t>09:36</t>
  </si>
  <si>
    <t>3835</t>
  </si>
  <si>
    <t>3857</t>
  </si>
  <si>
    <t>15.03.2026 00:05:29</t>
  </si>
  <si>
    <t>15.03.2026 21:16:59</t>
  </si>
  <si>
    <t>15.03.2026 07:48:36</t>
  </si>
  <si>
    <t>15.03.2026 22:58:38</t>
  </si>
  <si>
    <t>4902</t>
  </si>
  <si>
    <t>4924</t>
  </si>
  <si>
    <t>15.03.2026 17:42:54</t>
  </si>
  <si>
    <t>15.03.2026 08:36:39</t>
  </si>
  <si>
    <t>15.03.2026 22:10:56</t>
  </si>
  <si>
    <t>305</t>
  </si>
  <si>
    <t>304273</t>
  </si>
  <si>
    <t>304578</t>
  </si>
  <si>
    <t>797</t>
  </si>
  <si>
    <t>28.88</t>
  </si>
  <si>
    <t>15.03.2026 16:51:36</t>
  </si>
  <si>
    <t>15.03.2026 16:51:37</t>
  </si>
  <si>
    <t>15.03.2026 08:12:08</t>
  </si>
  <si>
    <t>15.03.2026 19:08:05</t>
  </si>
  <si>
    <t>16:41</t>
  </si>
  <si>
    <t>279409</t>
  </si>
  <si>
    <t>279916</t>
  </si>
  <si>
    <t>42.11</t>
  </si>
  <si>
    <t>15.03.2026 07:47:20</t>
  </si>
  <si>
    <t>15.03.2026 21:14:56</t>
  </si>
  <si>
    <t>22:12</t>
  </si>
  <si>
    <t>327281</t>
  </si>
  <si>
    <t>327319</t>
  </si>
  <si>
    <t>938</t>
  </si>
  <si>
    <t>95.12</t>
  </si>
  <si>
    <t>15.03.2026 04:51:05</t>
  </si>
  <si>
    <t>15.03.2026 18:27:09</t>
  </si>
  <si>
    <t>18:43</t>
  </si>
  <si>
    <t>367843</t>
  </si>
  <si>
    <t>368081</t>
  </si>
  <si>
    <t>858</t>
  </si>
  <si>
    <t>36.87</t>
  </si>
  <si>
    <t>15.03.2026 05:46:09</t>
  </si>
  <si>
    <t>15.03.2026 17:44:28</t>
  </si>
  <si>
    <t>5060</t>
  </si>
  <si>
    <t>5061</t>
  </si>
  <si>
    <t>15.03.2026 02:06:11</t>
  </si>
  <si>
    <t>15.03.2026 14:47:36</t>
  </si>
  <si>
    <t>15.03.2026 00:28:30</t>
  </si>
  <si>
    <t>02:26</t>
  </si>
  <si>
    <t>21:33</t>
  </si>
  <si>
    <t>118</t>
  </si>
  <si>
    <t>6649</t>
  </si>
  <si>
    <t>6671</t>
  </si>
  <si>
    <t>15.03.2026 09:28:19</t>
  </si>
  <si>
    <t>15.03.2026 23:25:14</t>
  </si>
  <si>
    <t>12:16</t>
  </si>
  <si>
    <t>307220</t>
  </si>
  <si>
    <t>308089</t>
  </si>
  <si>
    <t>15.03.2026 06:49:10</t>
  </si>
  <si>
    <t>15.03.2026 20:05:17</t>
  </si>
  <si>
    <t>202750</t>
  </si>
  <si>
    <t>203494</t>
  </si>
  <si>
    <t>29.39</t>
  </si>
  <si>
    <t>15.03.2026 06:24:58</t>
  </si>
  <si>
    <t>15.03.2026 23:37:38</t>
  </si>
  <si>
    <t>13:31</t>
  </si>
  <si>
    <t>710</t>
  </si>
  <si>
    <t>303407</t>
  </si>
  <si>
    <t>304117</t>
  </si>
  <si>
    <t>15.03.2026 11:34:15</t>
  </si>
  <si>
    <t>15.03.2026 20:13:36</t>
  </si>
  <si>
    <t>266699</t>
  </si>
  <si>
    <t>267131</t>
  </si>
  <si>
    <t>33.35</t>
  </si>
  <si>
    <t>15.03.2026 17:42:28</t>
  </si>
  <si>
    <t>77</t>
  </si>
  <si>
    <t>255580</t>
  </si>
  <si>
    <t>255657</t>
  </si>
  <si>
    <t>40.43</t>
  </si>
  <si>
    <t>15.03.2026 00:28:42</t>
  </si>
  <si>
    <t>15.03.2026 20:57:52</t>
  </si>
  <si>
    <t>01:29</t>
  </si>
  <si>
    <t>00:47</t>
  </si>
  <si>
    <t>5715</t>
  </si>
  <si>
    <t>15.03.2026 08:10:04</t>
  </si>
  <si>
    <t>15.03.2026 18:37:10</t>
  </si>
  <si>
    <t>22:45</t>
  </si>
  <si>
    <t>229473</t>
  </si>
  <si>
    <t>229534</t>
  </si>
  <si>
    <t>484</t>
  </si>
  <si>
    <t>33.83</t>
  </si>
  <si>
    <t>15.03.2026 00:25:06</t>
  </si>
  <si>
    <t>15.03.2026 18:24:47</t>
  </si>
  <si>
    <t>275534</t>
  </si>
  <si>
    <t>276222</t>
  </si>
  <si>
    <t>29.7</t>
  </si>
  <si>
    <t>15.03.2026 19:35:35</t>
  </si>
  <si>
    <t>15.03.2026 22:02:35</t>
  </si>
  <si>
    <t>248</t>
  </si>
  <si>
    <t>354992</t>
  </si>
  <si>
    <t>355240</t>
  </si>
  <si>
    <t>95.74</t>
  </si>
  <si>
    <t>15.03.2026 21:41:32</t>
  </si>
  <si>
    <t>15.03.2026 21:41:37</t>
  </si>
  <si>
    <t>15.03.2026 05:39:34</t>
  </si>
  <si>
    <t>15.03.2026 13:28:57</t>
  </si>
  <si>
    <t>20:32</t>
  </si>
  <si>
    <t>307005</t>
  </si>
  <si>
    <t>307191</t>
  </si>
  <si>
    <t>37.5</t>
  </si>
  <si>
    <t>15.03.2026 23:00:51</t>
  </si>
  <si>
    <t>02:12</t>
  </si>
  <si>
    <t>6080</t>
  </si>
  <si>
    <t>15.03.2026 23:49:49</t>
  </si>
  <si>
    <t>5120</t>
  </si>
  <si>
    <t>5142</t>
  </si>
  <si>
    <t>15.03.2026 05:01:14</t>
  </si>
  <si>
    <t>15.03.2026 17:59:58</t>
  </si>
  <si>
    <t>15.03.2026 00:58:04</t>
  </si>
  <si>
    <t>23:01</t>
  </si>
  <si>
    <t>289012</t>
  </si>
  <si>
    <t>552</t>
  </si>
  <si>
    <t>53.37</t>
  </si>
  <si>
    <t>15.03.2026 05:54:28</t>
  </si>
  <si>
    <t>15.03.2026 17:14:07</t>
  </si>
  <si>
    <t>13:30</t>
  </si>
  <si>
    <t>292046</t>
  </si>
  <si>
    <t>292840</t>
  </si>
  <si>
    <t>1092</t>
  </si>
  <si>
    <t>28.79</t>
  </si>
  <si>
    <t>15.03.2026 05:34:12</t>
  </si>
  <si>
    <t>15.03.2026 16:17:11</t>
  </si>
  <si>
    <t>231819</t>
  </si>
  <si>
    <t>232366</t>
  </si>
  <si>
    <t>53.25</t>
  </si>
  <si>
    <t>15.03.2026 07:40:03</t>
  </si>
  <si>
    <t>05:50</t>
  </si>
  <si>
    <t>345806</t>
  </si>
  <si>
    <t>1088</t>
  </si>
  <si>
    <t>22.74</t>
  </si>
  <si>
    <t>15.03.2026 08:57:16</t>
  </si>
  <si>
    <t>15.03.2026 17:26:09</t>
  </si>
  <si>
    <t>228517</t>
  </si>
  <si>
    <t>228519</t>
  </si>
  <si>
    <t>748</t>
  </si>
  <si>
    <t>1140.07</t>
  </si>
  <si>
    <t>15.03.2026 08:14:47</t>
  </si>
  <si>
    <t>15.03.2026 08:14:58</t>
  </si>
  <si>
    <t>07:03</t>
  </si>
  <si>
    <t>4918</t>
  </si>
  <si>
    <t>15.03.2026 04:51:03</t>
  </si>
  <si>
    <t>15.03.2026 19:34:44</t>
  </si>
  <si>
    <t>5309</t>
  </si>
  <si>
    <t>15.03.2026 08:10:02</t>
  </si>
  <si>
    <t>15.03.2026 19:29:46</t>
  </si>
  <si>
    <t>22:53</t>
  </si>
  <si>
    <t>4565</t>
  </si>
  <si>
    <t>4577</t>
  </si>
  <si>
    <t>15.03.2026 12:49:04</t>
  </si>
  <si>
    <t>15.03.2026 12:49:08</t>
  </si>
  <si>
    <t>15.03.2026 02:16:09</t>
  </si>
  <si>
    <t>15.03.2026 18:49:44</t>
  </si>
  <si>
    <t>761</t>
  </si>
  <si>
    <t>292078</t>
  </si>
  <si>
    <t>292839</t>
  </si>
  <si>
    <t>897</t>
  </si>
  <si>
    <t>15.03.2026 00:13:26</t>
  </si>
  <si>
    <t>15.03.2026 23:40:12</t>
  </si>
  <si>
    <t>7209</t>
  </si>
  <si>
    <t>15.03.2026 07:15:13</t>
  </si>
  <si>
    <t>15.03.2026 19:55:15</t>
  </si>
  <si>
    <t>15:42</t>
  </si>
  <si>
    <t>15.03.2026 01:38:10</t>
  </si>
  <si>
    <t>15.03.2026 06:59:04</t>
  </si>
  <si>
    <t>63686</t>
  </si>
  <si>
    <t>63734</t>
  </si>
  <si>
    <t>1010</t>
  </si>
  <si>
    <t>47.8</t>
  </si>
  <si>
    <t>15.03.2026 04:18:24</t>
  </si>
  <si>
    <t>15.03.2026 16:35:08</t>
  </si>
  <si>
    <t>13:32</t>
  </si>
  <si>
    <t>91049</t>
  </si>
  <si>
    <t>91841</t>
  </si>
  <si>
    <t>31.15</t>
  </si>
  <si>
    <t>15.03.2026 04:47:59</t>
  </si>
  <si>
    <t>15.03.2026 17:15:01</t>
  </si>
  <si>
    <t>15.03.2026 04:31:56</t>
  </si>
  <si>
    <t>15.03.2026 18:32:03</t>
  </si>
  <si>
    <t>420</t>
  </si>
  <si>
    <t>233685</t>
  </si>
  <si>
    <t>234105</t>
  </si>
  <si>
    <t>11:21</t>
  </si>
  <si>
    <t>05:44</t>
  </si>
  <si>
    <t>286143</t>
  </si>
  <si>
    <t>286591</t>
  </si>
  <si>
    <t>1174</t>
  </si>
  <si>
    <t>22.63</t>
  </si>
  <si>
    <t>15.03.2026 21:37:39</t>
  </si>
  <si>
    <t>272108</t>
  </si>
  <si>
    <t>272116</t>
  </si>
  <si>
    <t>302.53</t>
  </si>
  <si>
    <t>15.03.2026 09:21:58</t>
  </si>
  <si>
    <t>15.03.2026 23:10:27</t>
  </si>
  <si>
    <t>145307</t>
  </si>
  <si>
    <t>145691</t>
  </si>
  <si>
    <t>1040</t>
  </si>
  <si>
    <t>12:02</t>
  </si>
  <si>
    <t>15.03.2026 13:37:37</t>
  </si>
  <si>
    <t>15.03.2026 22:08:44</t>
  </si>
  <si>
    <t>04:09</t>
  </si>
  <si>
    <t>434</t>
  </si>
  <si>
    <t>173368</t>
  </si>
  <si>
    <t>173802</t>
  </si>
  <si>
    <t>574</t>
  </si>
  <si>
    <t>37.09</t>
  </si>
  <si>
    <t>433228</t>
  </si>
  <si>
    <t>434138</t>
  </si>
  <si>
    <t>1020</t>
  </si>
  <si>
    <t>39.26</t>
  </si>
  <si>
    <t>17962</t>
  </si>
  <si>
    <t>335073</t>
  </si>
  <si>
    <t>353035</t>
  </si>
  <si>
    <t>15.03.2026 08:47:36</t>
  </si>
  <si>
    <t>15.03.2026 17:46:04</t>
  </si>
  <si>
    <t>11:33</t>
  </si>
  <si>
    <t>162724</t>
  </si>
  <si>
    <t>1187</t>
  </si>
  <si>
    <t>38.69</t>
  </si>
  <si>
    <t>15.03.2026 09:44:11</t>
  </si>
  <si>
    <t>15.03.2026 20:14:39</t>
  </si>
  <si>
    <t>23:29</t>
  </si>
  <si>
    <t>298226</t>
  </si>
  <si>
    <t>298228</t>
  </si>
  <si>
    <t>737</t>
  </si>
  <si>
    <t>482.51</t>
  </si>
  <si>
    <t>15.03.2026 06:49:01</t>
  </si>
  <si>
    <t>15.03.2026 20:37:44</t>
  </si>
  <si>
    <t>47158</t>
  </si>
  <si>
    <t>47666</t>
  </si>
  <si>
    <t>66.19</t>
  </si>
  <si>
    <t>15.03.2026 00:05:26</t>
  </si>
  <si>
    <t>15.03.2026 20:36:25</t>
  </si>
  <si>
    <t>15.03.2026 15:59:18</t>
  </si>
  <si>
    <t>15.03.2026 20:53:14</t>
  </si>
  <si>
    <t>218518</t>
  </si>
  <si>
    <t>218897</t>
  </si>
  <si>
    <t>40.48</t>
  </si>
  <si>
    <t>15.03.2026 19:20:58</t>
  </si>
  <si>
    <t>64766</t>
  </si>
  <si>
    <t>986</t>
  </si>
  <si>
    <t>15.03.2026 06:04:33</t>
  </si>
  <si>
    <t>15.03.2026 20:54:33</t>
  </si>
  <si>
    <t>11:58</t>
  </si>
  <si>
    <t>815</t>
  </si>
  <si>
    <t>253317</t>
  </si>
  <si>
    <t>254132</t>
  </si>
  <si>
    <t>43.23</t>
  </si>
  <si>
    <t>15.03.2026 13:43:38</t>
  </si>
  <si>
    <t>15.03.2026 18:33:10</t>
  </si>
  <si>
    <t>04:19</t>
  </si>
  <si>
    <t>13:36</t>
  </si>
  <si>
    <t>13847</t>
  </si>
  <si>
    <t>13850</t>
  </si>
  <si>
    <t>15.03.2026 08:46:35</t>
  </si>
  <si>
    <t>206466</t>
  </si>
  <si>
    <t>206469</t>
  </si>
  <si>
    <t>7.81</t>
  </si>
  <si>
    <t>15.03.2026 20:21:04</t>
  </si>
  <si>
    <t>620</t>
  </si>
  <si>
    <t>166521</t>
  </si>
  <si>
    <t>167141</t>
  </si>
  <si>
    <t>37.25</t>
  </si>
  <si>
    <t>15.03.2026 19:50:22</t>
  </si>
  <si>
    <t>75541</t>
  </si>
  <si>
    <t>76323</t>
  </si>
  <si>
    <t>15.03.2026 17:41:56</t>
  </si>
  <si>
    <t>15.03.2026 17:41:57</t>
  </si>
  <si>
    <t>1579</t>
  </si>
  <si>
    <t>589</t>
  </si>
  <si>
    <t>15.03.2026 10:17:27</t>
  </si>
  <si>
    <t>15.03.2026 21:30:14</t>
  </si>
  <si>
    <t>18:08</t>
  </si>
  <si>
    <t>15.03.2026 10:49:38</t>
  </si>
  <si>
    <t>15.03.2026 21:06:53</t>
  </si>
  <si>
    <t>22:16</t>
  </si>
  <si>
    <t>01:42</t>
  </si>
  <si>
    <t>15.03.2026 01:38:19</t>
  </si>
  <si>
    <t>15.03.2026 06:59:24</t>
  </si>
  <si>
    <t>22:46</t>
  </si>
  <si>
    <t>15.03.2026 01:26:35</t>
  </si>
  <si>
    <t>15.03.2026 16:49:25</t>
  </si>
  <si>
    <t>15625</t>
  </si>
  <si>
    <t>15.03.2026 09:24:36</t>
  </si>
  <si>
    <t>15.03.2026 11:04:29</t>
  </si>
  <si>
    <t>15.03.2026 00:29:32</t>
  </si>
  <si>
    <t>16226</t>
  </si>
  <si>
    <t>15.03.2026 00:15:09</t>
  </si>
  <si>
    <t>15.03.2026 23:25:24</t>
  </si>
  <si>
    <t>11:20</t>
  </si>
  <si>
    <t>00:39</t>
  </si>
  <si>
    <t>8005</t>
  </si>
  <si>
    <t>15.03.2026 09:17:32</t>
  </si>
  <si>
    <t>15.03.2026 20:36:17</t>
  </si>
  <si>
    <t>06:25</t>
  </si>
  <si>
    <t>27892</t>
  </si>
  <si>
    <t>15.03.2026 03:59:01</t>
  </si>
  <si>
    <t>15.03.2026 23:10:46</t>
  </si>
  <si>
    <t>15.03.2026 06:42:06</t>
  </si>
  <si>
    <t>15.03.2026 16:33:14</t>
  </si>
  <si>
    <t>1106</t>
  </si>
  <si>
    <t>15.03.2026 11:15:40</t>
  </si>
  <si>
    <t>23:48</t>
  </si>
  <si>
    <t>15.03.2026 09:54:46</t>
  </si>
  <si>
    <t>15.03.2026 09:54:51</t>
  </si>
  <si>
    <t>15.03.2026 07:22:17</t>
  </si>
  <si>
    <t>15.03.2026 23:34:13</t>
  </si>
  <si>
    <t>04:37</t>
  </si>
  <si>
    <t>9108</t>
  </si>
  <si>
    <t>9114</t>
  </si>
  <si>
    <t>15.03.2026 11:31:30</t>
  </si>
  <si>
    <t>10:37</t>
  </si>
  <si>
    <t>15.03.2026 09:44:19</t>
  </si>
  <si>
    <t>15.03.2026 09:44:47</t>
  </si>
  <si>
    <t>15.03.2026 02:44:22</t>
  </si>
  <si>
    <t>15.03.2026 23:20:54</t>
  </si>
  <si>
    <t>15.03.2026 04:24:12</t>
  </si>
  <si>
    <t>15.03.2026 12:41:03</t>
  </si>
  <si>
    <t>05:14</t>
  </si>
  <si>
    <t>15.03.2026 20:04:03</t>
  </si>
  <si>
    <t>15.03.2026 06:56:37</t>
  </si>
  <si>
    <t>15.03.2026 23:53:49</t>
  </si>
  <si>
    <t>10:04</t>
  </si>
  <si>
    <t>01:22</t>
  </si>
  <si>
    <t>5657</t>
  </si>
  <si>
    <t>15.03.2026 09:39:12</t>
  </si>
  <si>
    <t>15.03.2026 23:43:48</t>
  </si>
  <si>
    <t>11:09</t>
  </si>
  <si>
    <t>15.03.2026 07:01:17</t>
  </si>
  <si>
    <t>15.03.2026 15:08:42</t>
  </si>
  <si>
    <t>325420</t>
  </si>
  <si>
    <t>325784</t>
  </si>
  <si>
    <t>804</t>
  </si>
  <si>
    <t>44.03</t>
  </si>
  <si>
    <t>152897</t>
  </si>
  <si>
    <t>15.03.2026 11:34:01</t>
  </si>
  <si>
    <t>15.03.2026 20:08:37</t>
  </si>
  <si>
    <t>253</t>
  </si>
  <si>
    <t>15.03.2026 00:49:22</t>
  </si>
  <si>
    <t>15.03.2026 17:59:23</t>
  </si>
  <si>
    <t>370715</t>
  </si>
  <si>
    <t>58.34</t>
  </si>
  <si>
    <t>15.03.2026 21:05:28</t>
  </si>
  <si>
    <t>4376</t>
  </si>
  <si>
    <t>4395</t>
  </si>
  <si>
    <t>15.03.2026 00:36:03</t>
  </si>
  <si>
    <t>15.03.2026 21:41:54</t>
  </si>
  <si>
    <t>15.03.2026 07:00:42</t>
  </si>
  <si>
    <t>18:03</t>
  </si>
  <si>
    <t>-11</t>
  </si>
  <si>
    <t>5139</t>
  </si>
  <si>
    <t>5161</t>
  </si>
  <si>
    <t>15.03.2026 08:36:35</t>
  </si>
  <si>
    <t>15.03.2026 22:11:01</t>
  </si>
  <si>
    <t>15.03.2026 01:13:26</t>
  </si>
  <si>
    <t>15.03.2026 21:57:43</t>
  </si>
  <si>
    <t>15.03.2026 07:30:23</t>
  </si>
  <si>
    <t>15.03.2026 19:13:00</t>
  </si>
  <si>
    <t>279991</t>
  </si>
  <si>
    <t>280546</t>
  </si>
  <si>
    <t>35.68</t>
  </si>
  <si>
    <t>15.03.2026 11:47:38</t>
  </si>
  <si>
    <t>15.03.2026 17:26:46</t>
  </si>
  <si>
    <t>283</t>
  </si>
  <si>
    <t>250294</t>
  </si>
  <si>
    <t>250577</t>
  </si>
  <si>
    <t>756</t>
  </si>
  <si>
    <t>37.59</t>
  </si>
  <si>
    <t>14:21</t>
  </si>
  <si>
    <t>203603</t>
  </si>
  <si>
    <t>457</t>
  </si>
  <si>
    <t>15.03.2026 21:46:16</t>
  </si>
  <si>
    <t>216776</t>
  </si>
  <si>
    <t>217209</t>
  </si>
  <si>
    <t>721</t>
  </si>
  <si>
    <t>30.36</t>
  </si>
  <si>
    <t>15.03.2026 07:57:31</t>
  </si>
  <si>
    <t>15.03.2026 20:16:50</t>
  </si>
  <si>
    <t>255903</t>
  </si>
  <si>
    <t>256503</t>
  </si>
  <si>
    <t>38.93</t>
  </si>
  <si>
    <t>15.03.2026 07:18:32</t>
  </si>
  <si>
    <t>15.03.2026 17:40:23</t>
  </si>
  <si>
    <t>259506</t>
  </si>
  <si>
    <t>260148</t>
  </si>
  <si>
    <t>661</t>
  </si>
  <si>
    <t>32.05</t>
  </si>
  <si>
    <t>15.03.2026 02:01:18</t>
  </si>
  <si>
    <t>15.03.2026 22:15:41</t>
  </si>
  <si>
    <t>976</t>
  </si>
  <si>
    <t>189540</t>
  </si>
  <si>
    <t>190516</t>
  </si>
  <si>
    <t>624</t>
  </si>
  <si>
    <t>30.82</t>
  </si>
  <si>
    <t>15.03.2026 14:32:01</t>
  </si>
  <si>
    <t>14:40</t>
  </si>
  <si>
    <t>04:23</t>
  </si>
  <si>
    <t>256105</t>
  </si>
  <si>
    <t>27.59</t>
  </si>
  <si>
    <t>15.03.2026 12:57:48</t>
  </si>
  <si>
    <t>15.03.2026 20:47:07</t>
  </si>
  <si>
    <t>01:47</t>
  </si>
  <si>
    <t>318972</t>
  </si>
  <si>
    <t>21.22</t>
  </si>
  <si>
    <t>15.03.2026 06:23:53</t>
  </si>
  <si>
    <t>15.03.2026 16:17:41</t>
  </si>
  <si>
    <t>14:46</t>
  </si>
  <si>
    <t>149336</t>
  </si>
  <si>
    <t>150030</t>
  </si>
  <si>
    <t>22.95</t>
  </si>
  <si>
    <t>15.03.2026 08:40:48</t>
  </si>
  <si>
    <t>15.03.2026 20:41:17</t>
  </si>
  <si>
    <t>05:42</t>
  </si>
  <si>
    <t>291586</t>
  </si>
  <si>
    <t>292200</t>
  </si>
  <si>
    <t>1289</t>
  </si>
  <si>
    <t>50.89</t>
  </si>
  <si>
    <t>15.03.2026 13:05:05</t>
  </si>
  <si>
    <t>15.03.2026 20:31:27</t>
  </si>
  <si>
    <t>16:21</t>
  </si>
  <si>
    <t>283227</t>
  </si>
  <si>
    <t>76.57</t>
  </si>
  <si>
    <t>15.03.2026 06:46:34</t>
  </si>
  <si>
    <t>15.03.2026 16:58:51</t>
  </si>
  <si>
    <t>333625</t>
  </si>
  <si>
    <t>334259</t>
  </si>
  <si>
    <t>39.67</t>
  </si>
  <si>
    <t>15.03.2026 04:05:09</t>
  </si>
  <si>
    <t>15.03.2026 18:57:19</t>
  </si>
  <si>
    <t>340275</t>
  </si>
  <si>
    <t>340969</t>
  </si>
  <si>
    <t>1141</t>
  </si>
  <si>
    <t>924</t>
  </si>
  <si>
    <t>25.</t>
  </si>
  <si>
    <t>15.03.2026 23:29:17</t>
  </si>
  <si>
    <t>438</t>
  </si>
  <si>
    <t>377294</t>
  </si>
  <si>
    <t>377732</t>
  </si>
  <si>
    <t>263.29</t>
  </si>
  <si>
    <t>15.03.2026 06:35:41</t>
  </si>
  <si>
    <t>15.03.2026 18:43:01</t>
  </si>
  <si>
    <t>14:47</t>
  </si>
  <si>
    <t>15.03.2026 22:50:39</t>
  </si>
  <si>
    <t>15.03.2026 18:58:32</t>
  </si>
  <si>
    <t>10:52</t>
  </si>
  <si>
    <t>4831</t>
  </si>
  <si>
    <t>4853</t>
  </si>
  <si>
    <t>15.03.2026 06:32:15</t>
  </si>
  <si>
    <t>15.03.2026 18:58:06</t>
  </si>
  <si>
    <t>15:45</t>
  </si>
  <si>
    <t>179220</t>
  </si>
  <si>
    <t>179805</t>
  </si>
  <si>
    <t>61.86</t>
  </si>
  <si>
    <t>15.03.2026 07:37:19</t>
  </si>
  <si>
    <t>302445</t>
  </si>
  <si>
    <t>29.08</t>
  </si>
  <si>
    <t>15.03.2026 20:20:21</t>
  </si>
  <si>
    <t>15.03.2026 20:21:17</t>
  </si>
  <si>
    <t>266876</t>
  </si>
  <si>
    <t>266877</t>
  </si>
  <si>
    <t>15.03.2026 00:10:44</t>
  </si>
  <si>
    <t>15.03.2026 23:51:37</t>
  </si>
  <si>
    <t>12:50</t>
  </si>
  <si>
    <t>436</t>
  </si>
  <si>
    <t>283883</t>
  </si>
  <si>
    <t>44.84</t>
  </si>
  <si>
    <t>15.03.2026 08:25:02</t>
  </si>
  <si>
    <t>15.03.2026 21:59:30</t>
  </si>
  <si>
    <t>17:43</t>
  </si>
  <si>
    <t>302332</t>
  </si>
  <si>
    <t>302619</t>
  </si>
  <si>
    <t>33.84</t>
  </si>
  <si>
    <t>15.03.2026 10:27:12</t>
  </si>
  <si>
    <t>15.03.2026 10:47:09</t>
  </si>
  <si>
    <t>233204</t>
  </si>
  <si>
    <t>233209</t>
  </si>
  <si>
    <t>269</t>
  </si>
  <si>
    <t>218.88</t>
  </si>
  <si>
    <t>15.03.2026 23:46:58</t>
  </si>
  <si>
    <t>14:49</t>
  </si>
  <si>
    <t>06:49</t>
  </si>
  <si>
    <t>1775</t>
  </si>
  <si>
    <t>15.03.2026 22:29:56</t>
  </si>
  <si>
    <t>328488</t>
  </si>
  <si>
    <t>329072</t>
  </si>
  <si>
    <t>1246</t>
  </si>
  <si>
    <t>32.16</t>
  </si>
  <si>
    <t>15.03.2026 22:41:07</t>
  </si>
  <si>
    <t>342198</t>
  </si>
  <si>
    <t>342551</t>
  </si>
  <si>
    <t>557</t>
  </si>
  <si>
    <t>45.32</t>
  </si>
  <si>
    <t>15.03.2026 06:29:49</t>
  </si>
  <si>
    <t>15.03.2026 12:41:33</t>
  </si>
  <si>
    <t>295778</t>
  </si>
  <si>
    <t>29.06</t>
  </si>
  <si>
    <t>15.03.2026 07:03:10</t>
  </si>
  <si>
    <t>15.03.2026 17:29:57</t>
  </si>
  <si>
    <t>08:24</t>
  </si>
  <si>
    <t>271344</t>
  </si>
  <si>
    <t>271976</t>
  </si>
  <si>
    <t>34.02</t>
  </si>
  <si>
    <t>15.03.2026 06:34:25</t>
  </si>
  <si>
    <t>15.03.2026 07:59:15</t>
  </si>
  <si>
    <t>308352</t>
  </si>
  <si>
    <t>308444</t>
  </si>
  <si>
    <t>832</t>
  </si>
  <si>
    <t>43.33</t>
  </si>
  <si>
    <t>15.03.2026 02:41:58</t>
  </si>
  <si>
    <t>15.03.2026 14:24:25</t>
  </si>
  <si>
    <t>383</t>
  </si>
  <si>
    <t>316875</t>
  </si>
  <si>
    <t>317258</t>
  </si>
  <si>
    <t>31.14</t>
  </si>
  <si>
    <t>422</t>
  </si>
  <si>
    <t>15.03.2026 09:46:55</t>
  </si>
  <si>
    <t>18:28</t>
  </si>
  <si>
    <t>187691</t>
  </si>
  <si>
    <t>187927</t>
  </si>
  <si>
    <t>21.5</t>
  </si>
  <si>
    <t>15.03.2026 07:09:17</t>
  </si>
  <si>
    <t>5254</t>
  </si>
  <si>
    <t>15.03.2026 17:25:53</t>
  </si>
  <si>
    <t>15.03.2026 06:24:52</t>
  </si>
  <si>
    <t>15.03.2026 18:40:48</t>
  </si>
  <si>
    <t>295</t>
  </si>
  <si>
    <t>325889</t>
  </si>
  <si>
    <t>30.54</t>
  </si>
  <si>
    <t>15.03.2026 09:42:16</t>
  </si>
  <si>
    <t>15.03.2026 22:21:10</t>
  </si>
  <si>
    <t>04:34</t>
  </si>
  <si>
    <t>14:12</t>
  </si>
  <si>
    <t>333952</t>
  </si>
  <si>
    <t>334258</t>
  </si>
  <si>
    <t>30.58</t>
  </si>
  <si>
    <t>15.03.2026 08:04:08</t>
  </si>
  <si>
    <t>15.03.2026 18:31:25</t>
  </si>
  <si>
    <t>36.29</t>
  </si>
  <si>
    <t>15.03.2026 04:43:22</t>
  </si>
  <si>
    <t>14:41</t>
  </si>
  <si>
    <t>274824</t>
  </si>
  <si>
    <t>716</t>
  </si>
  <si>
    <t>34.54</t>
  </si>
  <si>
    <t>15.03.2026 06:24:44</t>
  </si>
  <si>
    <t>15.03.2026 18:40:08</t>
  </si>
  <si>
    <t>18:56</t>
  </si>
  <si>
    <t>15.03.2026 05:04:13</t>
  </si>
  <si>
    <t>16:20</t>
  </si>
  <si>
    <t>15.03.2026 06:49:54</t>
  </si>
  <si>
    <t>15.03.2026 17:57:45</t>
  </si>
  <si>
    <t>282785</t>
  </si>
  <si>
    <t>283281</t>
  </si>
  <si>
    <t>419</t>
  </si>
  <si>
    <t>37.65</t>
  </si>
  <si>
    <t>15.03.2026 07:34:01</t>
  </si>
  <si>
    <t>15.03.2026 16:35:02</t>
  </si>
  <si>
    <t>21:04</t>
  </si>
  <si>
    <t>198478</t>
  </si>
  <si>
    <t>198652</t>
  </si>
  <si>
    <t>37.</t>
  </si>
  <si>
    <t>15.03.2026 07:40:56</t>
  </si>
  <si>
    <t>15.03.2026 11:15:11</t>
  </si>
  <si>
    <t>272552</t>
  </si>
  <si>
    <t>15.03.2026 06:05:18</t>
  </si>
  <si>
    <t>15.03.2026 09:58:59</t>
  </si>
  <si>
    <t>15.03.2026 06:27:29</t>
  </si>
  <si>
    <t>15.03.2026 14:06:58</t>
  </si>
  <si>
    <t>00:30</t>
  </si>
  <si>
    <t>305746</t>
  </si>
  <si>
    <t>306264</t>
  </si>
  <si>
    <t>40.2</t>
  </si>
  <si>
    <t>15.03.2026 05:39:16</t>
  </si>
  <si>
    <t>15.03.2026 19:14:44</t>
  </si>
  <si>
    <t>20:37</t>
  </si>
  <si>
    <t>15.03.2026 08:12:53</t>
  </si>
  <si>
    <t>15.03.2026 23:38:09</t>
  </si>
  <si>
    <t>04:10</t>
  </si>
  <si>
    <t>19:49</t>
  </si>
  <si>
    <t>261</t>
  </si>
  <si>
    <t>190017</t>
  </si>
  <si>
    <t>190278</t>
  </si>
  <si>
    <t>31.48</t>
  </si>
  <si>
    <t>15.03.2026 07:56:30</t>
  </si>
  <si>
    <t>15.03.2026 19:55:20</t>
  </si>
  <si>
    <t>103292</t>
  </si>
  <si>
    <t>103880</t>
  </si>
  <si>
    <t>29.34</t>
  </si>
  <si>
    <t>15.03.2026 07:34:57</t>
  </si>
  <si>
    <t>15.03.2026 16:56:30</t>
  </si>
  <si>
    <t>16:47</t>
  </si>
  <si>
    <t>52682</t>
  </si>
  <si>
    <t>53194</t>
  </si>
  <si>
    <t>26.71</t>
  </si>
  <si>
    <t>15.03.2026 03:09:25</t>
  </si>
  <si>
    <t>15.03.2026 19:30:47</t>
  </si>
  <si>
    <t>83514</t>
  </si>
  <si>
    <t>84077</t>
  </si>
  <si>
    <t>15.03.2026 03:21:50</t>
  </si>
  <si>
    <t>906</t>
  </si>
  <si>
    <t>66037</t>
  </si>
  <si>
    <t>66943</t>
  </si>
  <si>
    <t>697</t>
  </si>
  <si>
    <t>41.13</t>
  </si>
  <si>
    <t>15.03.2026 20:19:07</t>
  </si>
  <si>
    <t>76381</t>
  </si>
  <si>
    <t>706</t>
  </si>
  <si>
    <t>24.86</t>
  </si>
  <si>
    <t>15.03.2026 09:47:22</t>
  </si>
  <si>
    <t>15.03.2026 22:17:40</t>
  </si>
  <si>
    <t>280648</t>
  </si>
  <si>
    <t>280697</t>
  </si>
  <si>
    <t>562</t>
  </si>
  <si>
    <t>69.62</t>
  </si>
  <si>
    <t>15.03.2026 22:43:00</t>
  </si>
  <si>
    <t>15.03.2026 10:46:08</t>
  </si>
  <si>
    <t>15.03.2026 21:39:44</t>
  </si>
  <si>
    <t>59725</t>
  </si>
  <si>
    <t>60198</t>
  </si>
  <si>
    <t>44.88</t>
  </si>
  <si>
    <t>15.03.2026 07:01:43</t>
  </si>
  <si>
    <t>15.03.2026 16:06:05</t>
  </si>
  <si>
    <t>04:03</t>
  </si>
  <si>
    <t>19:56</t>
  </si>
  <si>
    <t>244</t>
  </si>
  <si>
    <t>265117</t>
  </si>
  <si>
    <t>265361</t>
  </si>
  <si>
    <t>40.84</t>
  </si>
  <si>
    <t>15.03.2026 09:06:23</t>
  </si>
  <si>
    <t>16:51</t>
  </si>
  <si>
    <t>185103</t>
  </si>
  <si>
    <t>185481</t>
  </si>
  <si>
    <t>15.03.2026 02:35:52</t>
  </si>
  <si>
    <t>15.03.2026 20:40:51</t>
  </si>
  <si>
    <t>02:45</t>
  </si>
  <si>
    <t>447084</t>
  </si>
  <si>
    <t>447950</t>
  </si>
  <si>
    <t>1177</t>
  </si>
  <si>
    <t>548</t>
  </si>
  <si>
    <t>39.74</t>
  </si>
  <si>
    <t>15.03.2026 02:13:13</t>
  </si>
  <si>
    <t>15.03.2026 22:24:23</t>
  </si>
  <si>
    <t>06:09</t>
  </si>
  <si>
    <t>476</t>
  </si>
  <si>
    <t>255122</t>
  </si>
  <si>
    <t>255598</t>
  </si>
  <si>
    <t>781</t>
  </si>
  <si>
    <t>15.03.2026 00:20:43</t>
  </si>
  <si>
    <t>15.03.2026 18:55:25</t>
  </si>
  <si>
    <t>06:45</t>
  </si>
  <si>
    <t>128677</t>
  </si>
  <si>
    <t>42.77</t>
  </si>
  <si>
    <t>15.03.2026 05:22:37</t>
  </si>
  <si>
    <t>15.03.2026 18:10:54</t>
  </si>
  <si>
    <t>15.03.2026 08:03:07</t>
  </si>
  <si>
    <t>15.03.2026 14:21:26</t>
  </si>
  <si>
    <t>04:52</t>
  </si>
  <si>
    <t>17:23</t>
  </si>
  <si>
    <t>268586</t>
  </si>
  <si>
    <t>268967</t>
  </si>
  <si>
    <t>-35</t>
  </si>
  <si>
    <t>7.95</t>
  </si>
  <si>
    <t>15.03.2026 00:44:24</t>
  </si>
  <si>
    <t>15.03.2026 13:45:31</t>
  </si>
  <si>
    <t>13130</t>
  </si>
  <si>
    <t>13153</t>
  </si>
  <si>
    <t>15.03.2026 03:49:58</t>
  </si>
  <si>
    <t>15.03.2026 16:25:04</t>
  </si>
  <si>
    <t>14820</t>
  </si>
  <si>
    <t>15.03.2026 04:05:06</t>
  </si>
  <si>
    <t>15.03.2026 18:57:50</t>
  </si>
  <si>
    <t>11:55</t>
  </si>
  <si>
    <t>00:57</t>
  </si>
  <si>
    <t>15.03.2026 09:30:51</t>
  </si>
  <si>
    <t>15.03.2026 10:24:58</t>
  </si>
  <si>
    <t>15.03.2026 06:56:45</t>
  </si>
  <si>
    <t>15.03.2026 21:55:32</t>
  </si>
  <si>
    <t>14841</t>
  </si>
  <si>
    <t>14844</t>
  </si>
  <si>
    <t>15.03.2026 19:58:50</t>
  </si>
  <si>
    <t>15.03.2026 19:58:57</t>
  </si>
  <si>
    <t>15.03.2026 05:50:52</t>
  </si>
  <si>
    <t>15.03.2026 17:02:11</t>
  </si>
  <si>
    <t>15:25</t>
  </si>
  <si>
    <t>149154</t>
  </si>
  <si>
    <t>149799</t>
  </si>
  <si>
    <t>32.</t>
  </si>
  <si>
    <t>15.03.2026 22:56:39</t>
  </si>
  <si>
    <t>15.03.2026 00:09:34</t>
  </si>
  <si>
    <t>15.03.2026 22:10:47</t>
  </si>
  <si>
    <t>06:10</t>
  </si>
  <si>
    <t>15.03.2026 07:31:08</t>
  </si>
  <si>
    <t>15.03.2026 22:51:36</t>
  </si>
  <si>
    <t>11:14</t>
  </si>
  <si>
    <t>15.03.2026 08:35:13</t>
  </si>
  <si>
    <t>15.03.2026 15:33:50</t>
  </si>
  <si>
    <t>21:54</t>
  </si>
  <si>
    <t>129731</t>
  </si>
  <si>
    <t>129826</t>
  </si>
  <si>
    <t>44.94</t>
  </si>
  <si>
    <t>245210</t>
  </si>
  <si>
    <t>15.03.2026 03:39:40</t>
  </si>
  <si>
    <t>15.03.2026 15:33:58</t>
  </si>
  <si>
    <t>13164</t>
  </si>
  <si>
    <t>15.03.2026 20:34:46</t>
  </si>
  <si>
    <t>04:55</t>
  </si>
  <si>
    <t>15415</t>
  </si>
  <si>
    <t>15.03.2026 05:07:55</t>
  </si>
  <si>
    <t>15.03.2026 22:45:52</t>
  </si>
  <si>
    <t>01:56</t>
  </si>
  <si>
    <t>8651</t>
  </si>
  <si>
    <t>8652</t>
  </si>
  <si>
    <t>15.03.2026 15:29:24</t>
  </si>
  <si>
    <t>15.03.2026 23:33:19</t>
  </si>
  <si>
    <t>20:52</t>
  </si>
  <si>
    <t>10465</t>
  </si>
  <si>
    <t>10480</t>
  </si>
  <si>
    <t>15.03.2026 19:28:46</t>
  </si>
  <si>
    <t>15.03.2026 06:28:53</t>
  </si>
  <si>
    <t>15.03.2026 20:08:23</t>
  </si>
  <si>
    <t>06:46</t>
  </si>
  <si>
    <t>17:13</t>
  </si>
  <si>
    <t>15.03.2026 03:35:16</t>
  </si>
  <si>
    <t>13:06</t>
  </si>
  <si>
    <t>2766</t>
  </si>
  <si>
    <t>15.03.2026 18:50:37</t>
  </si>
  <si>
    <t>4941</t>
  </si>
  <si>
    <t>545437</t>
  </si>
  <si>
    <t>545438</t>
  </si>
  <si>
    <t>226527</t>
  </si>
  <si>
    <t>15.03.2026 05:57:56</t>
  </si>
  <si>
    <t>15.03.2026 10:59:42</t>
  </si>
  <si>
    <t>20:18</t>
  </si>
  <si>
    <t>202968</t>
  </si>
  <si>
    <t>203189</t>
  </si>
  <si>
    <t>15.03.2026 04:47:21</t>
  </si>
  <si>
    <t>15.03.2026 21:27:34</t>
  </si>
  <si>
    <t>18:12</t>
  </si>
  <si>
    <t>2264</t>
  </si>
  <si>
    <t>15.03.2026 06:28:39</t>
  </si>
  <si>
    <t>15.03.2026 20:19:26</t>
  </si>
  <si>
    <t>17:10</t>
  </si>
  <si>
    <t>378177</t>
  </si>
  <si>
    <t>378629</t>
  </si>
  <si>
    <t>29.69</t>
  </si>
  <si>
    <t>15.03.2026 08:00:39</t>
  </si>
  <si>
    <t>15.03.2026 20:50:17</t>
  </si>
  <si>
    <t>03:29</t>
  </si>
  <si>
    <t>17:58</t>
  </si>
  <si>
    <t>15.03.2026 05:46:15</t>
  </si>
  <si>
    <t>15.03.2026 14:57:23</t>
  </si>
  <si>
    <t>02:25</t>
  </si>
  <si>
    <t>21:34</t>
  </si>
  <si>
    <t>298081</t>
  </si>
  <si>
    <t>298203</t>
  </si>
  <si>
    <t>1134</t>
  </si>
  <si>
    <t>348</t>
  </si>
  <si>
    <t>36.12</t>
  </si>
  <si>
    <t>15.03.2026 09:10:13</t>
  </si>
  <si>
    <t>15.03.2026 09:10:14</t>
  </si>
  <si>
    <t>123496</t>
  </si>
  <si>
    <t>15.03.2026 12:41:09</t>
  </si>
  <si>
    <t>121117</t>
  </si>
  <si>
    <t>121455</t>
  </si>
  <si>
    <t>877</t>
  </si>
  <si>
    <t>30.43</t>
  </si>
  <si>
    <t>15.03.2026 07:00:30</t>
  </si>
  <si>
    <t>15.03.2026 10:41:54</t>
  </si>
  <si>
    <t>107191</t>
  </si>
  <si>
    <t>107455</t>
  </si>
  <si>
    <t>34.05</t>
  </si>
  <si>
    <t>15.03.2026 06:36:05</t>
  </si>
  <si>
    <t>15.03.2026 18:47:09</t>
  </si>
  <si>
    <t>74335</t>
  </si>
  <si>
    <t>74980</t>
  </si>
  <si>
    <t>19.55</t>
  </si>
  <si>
    <t>15.03.2026 08:31:28</t>
  </si>
  <si>
    <t>15.03.2026 20:32:42</t>
  </si>
  <si>
    <t>66933</t>
  </si>
  <si>
    <t>67501</t>
  </si>
  <si>
    <t>15.03.2026 07:41:27</t>
  </si>
  <si>
    <t>15.03.2026 17:19:39</t>
  </si>
  <si>
    <t>244679</t>
  </si>
  <si>
    <t>245294</t>
  </si>
  <si>
    <t>30.68</t>
  </si>
  <si>
    <t>15.03.2026 05:49:35</t>
  </si>
  <si>
    <t>117775</t>
  </si>
  <si>
    <t>117898</t>
  </si>
  <si>
    <t>42.23</t>
  </si>
  <si>
    <t>15.03.2026 18:20:52</t>
  </si>
  <si>
    <t>12:48</t>
  </si>
  <si>
    <t>15.03.2026 06:28:21</t>
  </si>
  <si>
    <t>15.03.2026 23:46:07</t>
  </si>
  <si>
    <t>112525</t>
  </si>
  <si>
    <t>970</t>
  </si>
  <si>
    <t>65.34</t>
  </si>
  <si>
    <t>15.03.2026 01:06:00</t>
  </si>
  <si>
    <t>15.03.2026 23:45:35</t>
  </si>
  <si>
    <t>09:14</t>
  </si>
  <si>
    <t>9487</t>
  </si>
  <si>
    <t>15.03.2026 01:44:58</t>
  </si>
  <si>
    <t>15.03.2026 06:17:53</t>
  </si>
  <si>
    <t>17:50</t>
  </si>
  <si>
    <t>508061</t>
  </si>
  <si>
    <t>41.83</t>
  </si>
  <si>
    <t>15.03.2026 04:08:05</t>
  </si>
  <si>
    <t>15.03.2026 21:10:52</t>
  </si>
  <si>
    <t>3160</t>
  </si>
  <si>
    <t>176277</t>
  </si>
  <si>
    <t>179437</t>
  </si>
  <si>
    <t>1160</t>
  </si>
  <si>
    <t>29.61</t>
  </si>
  <si>
    <t>15.03.2026 07:37:50</t>
  </si>
  <si>
    <t>243057</t>
  </si>
  <si>
    <t>43.4</t>
  </si>
  <si>
    <t>344</t>
  </si>
  <si>
    <t>178766</t>
  </si>
  <si>
    <t>179110</t>
  </si>
  <si>
    <t>27.13</t>
  </si>
  <si>
    <t>15.03.2026 06:08:36</t>
  </si>
  <si>
    <t>15.03.2026 22:41:21</t>
  </si>
  <si>
    <t>285516</t>
  </si>
  <si>
    <t>286382</t>
  </si>
  <si>
    <t>42.13</t>
  </si>
  <si>
    <t>15.03.2026 06:25:49</t>
  </si>
  <si>
    <t>15.03.2026 06:33:24</t>
  </si>
  <si>
    <t>17:26</t>
  </si>
  <si>
    <t>486907</t>
  </si>
  <si>
    <t>486943</t>
  </si>
  <si>
    <t>15.03.2026 10:08:05</t>
  </si>
  <si>
    <t>13210</t>
  </si>
  <si>
    <t>13216</t>
  </si>
  <si>
    <t>15.03.2026 08:31:26</t>
  </si>
  <si>
    <t>15.03.2026 20:30:53</t>
  </si>
  <si>
    <t>07:44</t>
  </si>
  <si>
    <t>15:29</t>
  </si>
  <si>
    <t>4528</t>
  </si>
  <si>
    <t>4551</t>
  </si>
  <si>
    <t>15.03.2026 20:22:25</t>
  </si>
  <si>
    <t>15.03.2026 07:59:43</t>
  </si>
  <si>
    <t>15.03.2026 22:01:44</t>
  </si>
  <si>
    <t>11063</t>
  </si>
  <si>
    <t>15.03.2026 20:34:41</t>
  </si>
  <si>
    <t>857</t>
  </si>
  <si>
    <t>134411</t>
  </si>
  <si>
    <t>135268</t>
  </si>
  <si>
    <t>426</t>
  </si>
  <si>
    <t>309</t>
  </si>
  <si>
    <t>40.25</t>
  </si>
  <si>
    <t>15.03.2026 20:21:03</t>
  </si>
  <si>
    <t>04:53</t>
  </si>
  <si>
    <t>18:50</t>
  </si>
  <si>
    <t>268686</t>
  </si>
  <si>
    <t>268823</t>
  </si>
  <si>
    <t>1425.73</t>
  </si>
  <si>
    <t>15.03.2026 11:39:26</t>
  </si>
  <si>
    <t>15.03.2026 21:52:36</t>
  </si>
  <si>
    <t>184185</t>
  </si>
  <si>
    <t>184491</t>
  </si>
  <si>
    <t>43.53</t>
  </si>
  <si>
    <t>15.03.2026 14:01:38</t>
  </si>
  <si>
    <t>15.03.2026 14:01:39</t>
  </si>
  <si>
    <t>15.03.2026 08:46:02</t>
  </si>
  <si>
    <t>15.03.2026 18:46:35</t>
  </si>
  <si>
    <t>15:57</t>
  </si>
  <si>
    <t>233</t>
  </si>
  <si>
    <t>-232</t>
  </si>
  <si>
    <t>15.03.2026 20:19:27</t>
  </si>
  <si>
    <t>15.03.2026 00:28:56</t>
  </si>
  <si>
    <t>15.03.2026 21:00:06</t>
  </si>
  <si>
    <t>15.03.2026 01:33:47</t>
  </si>
  <si>
    <t>15.03.2026 23:15:21</t>
  </si>
  <si>
    <t>22:52</t>
  </si>
  <si>
    <t>15.03.2026 23:10:49</t>
  </si>
  <si>
    <t>16:37</t>
  </si>
  <si>
    <t>269649</t>
  </si>
  <si>
    <t>270065</t>
  </si>
  <si>
    <t>952</t>
  </si>
  <si>
    <t>27.31</t>
  </si>
  <si>
    <t>15.03.2026 19:49:39</t>
  </si>
  <si>
    <t>02:57</t>
  </si>
  <si>
    <t>11872</t>
  </si>
  <si>
    <t>11890</t>
  </si>
  <si>
    <t>15.03.2026 10:30:09</t>
  </si>
  <si>
    <t>15.03.2026 16:14:47</t>
  </si>
  <si>
    <t>23:51</t>
  </si>
  <si>
    <t>139862</t>
  </si>
  <si>
    <t>139959</t>
  </si>
  <si>
    <t>57.86</t>
  </si>
  <si>
    <t>15.03.2026 00:06:37</t>
  </si>
  <si>
    <t>15.03.2026 18:55:59</t>
  </si>
  <si>
    <t>01:58</t>
  </si>
  <si>
    <t>2728</t>
  </si>
  <si>
    <t>2751</t>
  </si>
  <si>
    <t>15.03.2026 04:03:25</t>
  </si>
  <si>
    <t>15.03.2026 21:12:57</t>
  </si>
  <si>
    <t>18:11</t>
  </si>
  <si>
    <t>8392</t>
  </si>
  <si>
    <t>8397</t>
  </si>
  <si>
    <t>15.03.2026 12:06:07</t>
  </si>
  <si>
    <t>15.03.2026 22:42:33</t>
  </si>
  <si>
    <t>245913</t>
  </si>
  <si>
    <t>246409</t>
  </si>
  <si>
    <t>39.7</t>
  </si>
  <si>
    <t>03:47</t>
  </si>
  <si>
    <t>313321</t>
  </si>
  <si>
    <t>15.03.2026 02:54:02</t>
  </si>
  <si>
    <t>15.03.2026 04:57:20</t>
  </si>
  <si>
    <t>20:25</t>
  </si>
  <si>
    <t>15.03.2026 08:48:58</t>
  </si>
  <si>
    <t>15.03.2026 22:36:15</t>
  </si>
  <si>
    <t>8655</t>
  </si>
  <si>
    <t>8678</t>
  </si>
  <si>
    <t>15.03.2026 11:17:59</t>
  </si>
  <si>
    <t>15.03.2026 23:44:51</t>
  </si>
  <si>
    <t>23151</t>
  </si>
  <si>
    <t>23157</t>
  </si>
  <si>
    <t>15.03.2026 04:11:54</t>
  </si>
  <si>
    <t>10006</t>
  </si>
  <si>
    <t>10029</t>
  </si>
  <si>
    <t>15.03.2026 23:43:54</t>
  </si>
  <si>
    <t>15.03.2026 18:11:01</t>
  </si>
  <si>
    <t>278368</t>
  </si>
  <si>
    <t>279075</t>
  </si>
  <si>
    <t>402</t>
  </si>
  <si>
    <t>262</t>
  </si>
  <si>
    <t>48.9</t>
  </si>
  <si>
    <t>15.03.2026 20:20:19</t>
  </si>
  <si>
    <t>4885</t>
  </si>
  <si>
    <t>4907</t>
  </si>
  <si>
    <t>15.03.2026 00:33:51</t>
  </si>
  <si>
    <t>15.03.2026 15:29:42</t>
  </si>
  <si>
    <t>15:55</t>
  </si>
  <si>
    <t>5475</t>
  </si>
  <si>
    <t>15.03.2026 02:56:29</t>
  </si>
  <si>
    <t>15.03.2026 20:03:53</t>
  </si>
  <si>
    <t>11:30</t>
  </si>
  <si>
    <t>4977</t>
  </si>
  <si>
    <t>4991</t>
  </si>
  <si>
    <t>15.03.2026 08:02:34</t>
  </si>
  <si>
    <t>15.03.2026 22:53:48</t>
  </si>
  <si>
    <t>1414</t>
  </si>
  <si>
    <t>15.03.2026 05:40:32</t>
  </si>
  <si>
    <t>15.03.2026 20:35:55</t>
  </si>
  <si>
    <t>10:43</t>
  </si>
  <si>
    <t>05:48</t>
  </si>
  <si>
    <t>912</t>
  </si>
  <si>
    <t>325425</t>
  </si>
  <si>
    <t>326337</t>
  </si>
  <si>
    <t>328</t>
  </si>
  <si>
    <t>46.13</t>
  </si>
  <si>
    <t>15.03.2026 11:50:58</t>
  </si>
  <si>
    <t>17:53</t>
  </si>
  <si>
    <t>212437</t>
  </si>
  <si>
    <t>212859</t>
  </si>
  <si>
    <t>-121</t>
  </si>
  <si>
    <t>27.1</t>
  </si>
  <si>
    <t>15.03.2026 01:17:06</t>
  </si>
  <si>
    <t>22:28</t>
  </si>
  <si>
    <t>255478</t>
  </si>
  <si>
    <t>543</t>
  </si>
  <si>
    <t>61.53</t>
  </si>
  <si>
    <t>15.03.2026 15:43:34</t>
  </si>
  <si>
    <t>15.03.2026 17:02:43</t>
  </si>
  <si>
    <t>23:52</t>
  </si>
  <si>
    <t>306487</t>
  </si>
  <si>
    <t>306489</t>
  </si>
  <si>
    <t>779</t>
  </si>
  <si>
    <t>2728.73</t>
  </si>
  <si>
    <t>15.03.2026 09:33:17</t>
  </si>
  <si>
    <t>15.03.2026 18:36:59</t>
  </si>
  <si>
    <t>16:31</t>
  </si>
  <si>
    <t>5932</t>
  </si>
  <si>
    <t>17:14</t>
  </si>
  <si>
    <t>15.03.2026 06:31:48</t>
  </si>
  <si>
    <t>15.03.2026 17:51:28</t>
  </si>
  <si>
    <t>219672</t>
  </si>
  <si>
    <t>220216</t>
  </si>
  <si>
    <t>582</t>
  </si>
  <si>
    <t>352</t>
  </si>
  <si>
    <t>44.57</t>
  </si>
  <si>
    <t>15.03.2026 21:25:02</t>
  </si>
  <si>
    <t>11:07</t>
  </si>
  <si>
    <t>717</t>
  </si>
  <si>
    <t>241133</t>
  </si>
  <si>
    <t>241850</t>
  </si>
  <si>
    <t>300</t>
  </si>
  <si>
    <t>15.03.2026 15:25:14</t>
  </si>
  <si>
    <t>259229</t>
  </si>
  <si>
    <t>15.03.2026 07:04:26</t>
  </si>
  <si>
    <t>15.03.2026 17:41:40</t>
  </si>
  <si>
    <t>628</t>
  </si>
  <si>
    <t>309590</t>
  </si>
  <si>
    <t>310218</t>
  </si>
  <si>
    <t>439</t>
  </si>
  <si>
    <t>30.34</t>
  </si>
  <si>
    <t>15.03.2026 02:08:14</t>
  </si>
  <si>
    <t>15.03.2026 23:09:49</t>
  </si>
  <si>
    <t>253175</t>
  </si>
  <si>
    <t>253551</t>
  </si>
  <si>
    <t>39.3</t>
  </si>
  <si>
    <t>15.03.2026 07:04:31</t>
  </si>
  <si>
    <t>15.03.2026 17:41:36</t>
  </si>
  <si>
    <t>5259</t>
  </si>
  <si>
    <t>15.03.2026 04:43:29</t>
  </si>
  <si>
    <t>3310</t>
  </si>
  <si>
    <t>15.03.2026 18:05:51</t>
  </si>
  <si>
    <t>207952</t>
  </si>
  <si>
    <t>208724</t>
  </si>
  <si>
    <t>40.92</t>
  </si>
  <si>
    <t>15.03.2026 21:33:45</t>
  </si>
  <si>
    <t>15.03.2026 07:20:52</t>
  </si>
  <si>
    <t>15.03.2026 19:41:52</t>
  </si>
  <si>
    <t>06:24</t>
  </si>
  <si>
    <t>17:35</t>
  </si>
  <si>
    <t>241525</t>
  </si>
  <si>
    <t>241891</t>
  </si>
  <si>
    <t>32.8</t>
  </si>
  <si>
    <t>15.03.2026 21:32:13</t>
  </si>
  <si>
    <t>217212</t>
  </si>
  <si>
    <t>217525</t>
  </si>
  <si>
    <t>5.24</t>
  </si>
  <si>
    <t>15.03.2026 16:36:03</t>
  </si>
  <si>
    <t>319558</t>
  </si>
  <si>
    <t>319777</t>
  </si>
  <si>
    <t>70</t>
  </si>
  <si>
    <t>14.32</t>
  </si>
  <si>
    <t>15.03.2026 19:01:11</t>
  </si>
  <si>
    <t>311269</t>
  </si>
  <si>
    <t>311882</t>
  </si>
  <si>
    <t>40.95</t>
  </si>
  <si>
    <t>284970</t>
  </si>
  <si>
    <t>15.03.2026 07:29:08</t>
  </si>
  <si>
    <t>15.03.2026 17:23:47</t>
  </si>
  <si>
    <t>300716</t>
  </si>
  <si>
    <t>301180</t>
  </si>
  <si>
    <t>298</t>
  </si>
  <si>
    <t>15.03.2026 08:00:31</t>
  </si>
  <si>
    <t>15.03.2026 20:50:16</t>
  </si>
  <si>
    <t>334281</t>
  </si>
  <si>
    <t>334651</t>
  </si>
  <si>
    <t>44.35</t>
  </si>
  <si>
    <t>1364</t>
  </si>
  <si>
    <t>1381</t>
  </si>
  <si>
    <t>15.03.2026 00:58:50</t>
  </si>
  <si>
    <t>15.03.2026 08:11:30</t>
  </si>
  <si>
    <t>430804</t>
  </si>
  <si>
    <t>431515</t>
  </si>
  <si>
    <t>1278</t>
  </si>
  <si>
    <t>79.85</t>
  </si>
  <si>
    <t>15.03.2026 22:03:40</t>
  </si>
  <si>
    <t>304489</t>
  </si>
  <si>
    <t>305215</t>
  </si>
  <si>
    <t>259</t>
  </si>
  <si>
    <t>37.92</t>
  </si>
  <si>
    <t>15.03.2026 05:40:27</t>
  </si>
  <si>
    <t>15.03.2026 22:42:06</t>
  </si>
  <si>
    <t>10:21</t>
  </si>
  <si>
    <t>15.03.2026 18:32:22</t>
  </si>
  <si>
    <t>06:22</t>
  </si>
  <si>
    <t>5563</t>
  </si>
  <si>
    <t>5571</t>
  </si>
  <si>
    <t>15.03.2026 00:58:49</t>
  </si>
  <si>
    <t>15.03.2026 21:55:21</t>
  </si>
  <si>
    <t>05:38</t>
  </si>
  <si>
    <t>1952</t>
  </si>
  <si>
    <t>15.03.2026 03:15:34</t>
  </si>
  <si>
    <t>15.03.2026 11:55:53</t>
  </si>
  <si>
    <t>17:16</t>
  </si>
  <si>
    <t>257966</t>
  </si>
  <si>
    <t>258508</t>
  </si>
  <si>
    <t>730</t>
  </si>
  <si>
    <t>34.42</t>
  </si>
  <si>
    <t>238417</t>
  </si>
  <si>
    <t>15.03.2026 05:22:13</t>
  </si>
  <si>
    <t>15.03.2026 22:08:46</t>
  </si>
  <si>
    <t>07:52</t>
  </si>
  <si>
    <t>280373</t>
  </si>
  <si>
    <t>280920</t>
  </si>
  <si>
    <t>747</t>
  </si>
  <si>
    <t>-308</t>
  </si>
  <si>
    <t>15.03.2026 08:11:53</t>
  </si>
  <si>
    <t>15.03.2026 19:07:59</t>
  </si>
  <si>
    <t>4187</t>
  </si>
  <si>
    <t>4188</t>
  </si>
  <si>
    <t>15.03.2026 06:41:23</t>
  </si>
  <si>
    <t>15.03.2026 10:03:16</t>
  </si>
  <si>
    <t>20:38</t>
  </si>
  <si>
    <t>1705</t>
  </si>
  <si>
    <t>15.03.2026 08:03:48</t>
  </si>
  <si>
    <t>15.03.2026 18:31:36</t>
  </si>
  <si>
    <t>15:04</t>
  </si>
  <si>
    <t>15.03.2026 08:34:28</t>
  </si>
  <si>
    <t>15.03.2026 22:10:33</t>
  </si>
  <si>
    <t>483</t>
  </si>
  <si>
    <t>329946</t>
  </si>
  <si>
    <t>330429</t>
  </si>
  <si>
    <t>2346</t>
  </si>
  <si>
    <t>873.92</t>
  </si>
  <si>
    <t>15.03.2026 05:33:07</t>
  </si>
  <si>
    <t>15.03.2026 18:43:12</t>
  </si>
  <si>
    <t>257889</t>
  </si>
  <si>
    <t>337</t>
  </si>
  <si>
    <t>38.31</t>
  </si>
  <si>
    <t>15.03.2026 23:35:07</t>
  </si>
  <si>
    <t>311330</t>
  </si>
  <si>
    <t>311862</t>
  </si>
  <si>
    <t>15.03.2026 08:28:26</t>
  </si>
  <si>
    <t>15.03.2026 20:03:12</t>
  </si>
  <si>
    <t>132062</t>
  </si>
  <si>
    <t>132566</t>
  </si>
  <si>
    <t>15.03.2026 14:24:30</t>
  </si>
  <si>
    <t>236555</t>
  </si>
  <si>
    <t>237011</t>
  </si>
  <si>
    <t>920</t>
  </si>
  <si>
    <t>47.07</t>
  </si>
  <si>
    <t>15.03.2026 04:47:30</t>
  </si>
  <si>
    <t>15.03.2026 21:27:35</t>
  </si>
  <si>
    <t>101858</t>
  </si>
  <si>
    <t>102236</t>
  </si>
  <si>
    <t>15.03.2026 05:45:05</t>
  </si>
  <si>
    <t>15.03.2026 18:33:12</t>
  </si>
  <si>
    <t>61967</t>
  </si>
  <si>
    <t>62665</t>
  </si>
  <si>
    <t>36.23</t>
  </si>
  <si>
    <t>15.03.2026 06:56:44</t>
  </si>
  <si>
    <t>15.03.2026 21:42:16</t>
  </si>
  <si>
    <t>76841</t>
  </si>
  <si>
    <t>77342</t>
  </si>
  <si>
    <t>875</t>
  </si>
  <si>
    <t>31.54</t>
  </si>
  <si>
    <t>15.03.2026 08:31:24</t>
  </si>
  <si>
    <t>15.03.2026 17:41:02</t>
  </si>
  <si>
    <t>76186</t>
  </si>
  <si>
    <t>76851</t>
  </si>
  <si>
    <t>28.95</t>
  </si>
  <si>
    <t>15.03.2026 20:24:39</t>
  </si>
  <si>
    <t>250916</t>
  </si>
  <si>
    <t>15.03.2026 01:49:18</t>
  </si>
  <si>
    <t>15.03.2026 20:29:23</t>
  </si>
  <si>
    <t>18:17</t>
  </si>
  <si>
    <t>120.06</t>
  </si>
  <si>
    <t>15.03.2026 20:13:57</t>
  </si>
  <si>
    <t>15.03.2026 20:14:00</t>
  </si>
  <si>
    <t>382084</t>
  </si>
  <si>
    <t>15.03.2026 08:59:41</t>
  </si>
  <si>
    <t>15.03.2026 19:21:31</t>
  </si>
  <si>
    <t>9299</t>
  </si>
  <si>
    <t>9306</t>
  </si>
  <si>
    <t>15.03.2026 05:47:56</t>
  </si>
  <si>
    <t>15.03.2026 19:21:29</t>
  </si>
  <si>
    <t>17:29</t>
  </si>
  <si>
    <t>243370</t>
  </si>
  <si>
    <t>243612</t>
  </si>
  <si>
    <t>68.51</t>
  </si>
  <si>
    <t>15.03.2026 17:03:04</t>
  </si>
  <si>
    <t>15.03.2026 20:18:58</t>
  </si>
  <si>
    <t>130917</t>
  </si>
  <si>
    <t>130924</t>
  </si>
  <si>
    <t>139.15</t>
  </si>
  <si>
    <t>15.03.2026 06:31:38</t>
  </si>
  <si>
    <t>15.03.2026 16:11:42</t>
  </si>
  <si>
    <t>1231</t>
  </si>
  <si>
    <t>66416</t>
  </si>
  <si>
    <t>67647</t>
  </si>
  <si>
    <t>40.79</t>
  </si>
  <si>
    <t>15.03.2026 21:41:48</t>
  </si>
  <si>
    <t>3509</t>
  </si>
  <si>
    <t>188772</t>
  </si>
  <si>
    <t>192281</t>
  </si>
  <si>
    <t>27.34</t>
  </si>
  <si>
    <t>15.03.2026 01:57:54</t>
  </si>
  <si>
    <t>176448</t>
  </si>
  <si>
    <t>363.19</t>
  </si>
  <si>
    <t>15.03.2026 23:18:55</t>
  </si>
  <si>
    <t>15.03.2026 08:12:54</t>
  </si>
  <si>
    <t>05:21</t>
  </si>
  <si>
    <t>11:38</t>
  </si>
  <si>
    <t>250349</t>
  </si>
  <si>
    <t>21.17</t>
  </si>
  <si>
    <t>15.03.2026 09:47:04</t>
  </si>
  <si>
    <t>15.03.2026 22:07:01</t>
  </si>
  <si>
    <t>22:14</t>
  </si>
  <si>
    <t>11140</t>
  </si>
  <si>
    <t>15.03.2026 07:58:37</t>
  </si>
  <si>
    <t>15.03.2026 21:46:48</t>
  </si>
  <si>
    <t>15.03.2026 06:15:54</t>
  </si>
  <si>
    <t>15.03.2026 23:03:33</t>
  </si>
  <si>
    <t>10744</t>
  </si>
  <si>
    <t>15.03.2026 03:58:30</t>
  </si>
  <si>
    <t>15.03.2026 09:20:24</t>
  </si>
  <si>
    <t>84281</t>
  </si>
  <si>
    <t>84515</t>
  </si>
  <si>
    <t>3947</t>
  </si>
  <si>
    <t>-45</t>
  </si>
  <si>
    <t>169.93</t>
  </si>
  <si>
    <t>15.03.2026 07:06:57</t>
  </si>
  <si>
    <t>15.03.2026 19:30:08</t>
  </si>
  <si>
    <t>268304</t>
  </si>
  <si>
    <t>269019</t>
  </si>
  <si>
    <t>1154</t>
  </si>
  <si>
    <t>258</t>
  </si>
  <si>
    <t>15.03.2026 04:29:08</t>
  </si>
  <si>
    <t>15.03.2026 15:33:56</t>
  </si>
  <si>
    <t>17:24</t>
  </si>
  <si>
    <t>425211</t>
  </si>
  <si>
    <t>425726</t>
  </si>
  <si>
    <t>6228</t>
  </si>
  <si>
    <t>-136</t>
  </si>
  <si>
    <t>141.72</t>
  </si>
  <si>
    <t>15.03.2026 03:59:15</t>
  </si>
  <si>
    <t>269438</t>
  </si>
  <si>
    <t>269586</t>
  </si>
  <si>
    <t>14.75</t>
  </si>
  <si>
    <t>15.03.2026 01:16:59</t>
  </si>
  <si>
    <t>15.03.2026 23:32:16</t>
  </si>
  <si>
    <t>15.03.2026 07:14:05</t>
  </si>
  <si>
    <t>15.03.2026 21:46:53</t>
  </si>
  <si>
    <t>15.03.2026 01:39:18</t>
  </si>
  <si>
    <t>15.03.2026 17:46:19</t>
  </si>
  <si>
    <t>20:06</t>
  </si>
  <si>
    <t>15.03.2026 00:27:03</t>
  </si>
  <si>
    <t>15.03.2026 11:45:49</t>
  </si>
  <si>
    <t>00:51</t>
  </si>
  <si>
    <t>147459</t>
  </si>
  <si>
    <t>38.66</t>
  </si>
  <si>
    <t>15.03.2026 04:17:37</t>
  </si>
  <si>
    <t>15.03.2026 20:26:49</t>
  </si>
  <si>
    <t>09:06</t>
  </si>
  <si>
    <t>15.03.2026 06:35:10</t>
  </si>
  <si>
    <t>15.03.2026 21:20:46</t>
  </si>
  <si>
    <t>8457</t>
  </si>
  <si>
    <t>15.03.2026 03:21:44</t>
  </si>
  <si>
    <t>7224</t>
  </si>
  <si>
    <t>7239</t>
  </si>
  <si>
    <t>15.03.2026 14:41:25</t>
  </si>
  <si>
    <t>15.03.2026 23:45:00</t>
  </si>
  <si>
    <t>314506</t>
  </si>
  <si>
    <t>32.82</t>
  </si>
  <si>
    <t>15.03.2026 12:42:40</t>
  </si>
  <si>
    <t>15.03.2026 13:23:30</t>
  </si>
  <si>
    <t>283956</t>
  </si>
  <si>
    <t>283961</t>
  </si>
  <si>
    <t>181.78</t>
  </si>
  <si>
    <t>1033</t>
  </si>
  <si>
    <t>15.03.2026 14:22:14</t>
  </si>
  <si>
    <t>15.03.2026 17:00:26</t>
  </si>
  <si>
    <t>21:52</t>
  </si>
  <si>
    <t>294416</t>
  </si>
  <si>
    <t>294574</t>
  </si>
  <si>
    <t>32.89</t>
  </si>
  <si>
    <t>15.03.2026 23:17:08</t>
  </si>
  <si>
    <t>03:54</t>
  </si>
  <si>
    <t>15.03.2026 11:35:20</t>
  </si>
  <si>
    <t>15.03.2026 21:36:06</t>
  </si>
  <si>
    <t>3839</t>
  </si>
  <si>
    <t>15.03.2026 22:41:35</t>
  </si>
  <si>
    <t>310504</t>
  </si>
  <si>
    <t>310866</t>
  </si>
  <si>
    <t>67.86</t>
  </si>
  <si>
    <t>15.03.2026 23:31:07</t>
  </si>
  <si>
    <t>11:57</t>
  </si>
  <si>
    <t>1837</t>
  </si>
  <si>
    <t>15.03.2026 06:57:50</t>
  </si>
  <si>
    <t>15.03.2026 19:42:23</t>
  </si>
  <si>
    <t>15.03.2026 01:29:42</t>
  </si>
  <si>
    <t>15.03.2026 23:35:11</t>
  </si>
  <si>
    <t>20:50</t>
  </si>
  <si>
    <t>6261</t>
  </si>
  <si>
    <t>6280</t>
  </si>
  <si>
    <t>15.03.2026 22:46:54</t>
  </si>
  <si>
    <t>04:14</t>
  </si>
  <si>
    <t>6315</t>
  </si>
  <si>
    <t>6324</t>
  </si>
  <si>
    <t>15.03.2026 07:00:33</t>
  </si>
  <si>
    <t>15.03.2026 10:41:48</t>
  </si>
  <si>
    <t>6075</t>
  </si>
  <si>
    <t>6076</t>
  </si>
  <si>
    <t>15.03.2026 21:30:27</t>
  </si>
  <si>
    <t>3691</t>
  </si>
  <si>
    <t>3698</t>
  </si>
  <si>
    <t>15.03.2026 08:17:41</t>
  </si>
  <si>
    <t>15.03.2026 22:11:48</t>
  </si>
  <si>
    <t>11:05</t>
  </si>
  <si>
    <t>11:24</t>
  </si>
  <si>
    <t>15.03.2026 08:03:30</t>
  </si>
  <si>
    <t>14035</t>
  </si>
  <si>
    <t>14058</t>
  </si>
  <si>
    <t>15.03.2026 07:04:11</t>
  </si>
  <si>
    <t>372</t>
  </si>
  <si>
    <t>15.03.2026 04:42:05</t>
  </si>
  <si>
    <t>15.03.2026 20:46:52</t>
  </si>
  <si>
    <t>769</t>
  </si>
  <si>
    <t>287876</t>
  </si>
  <si>
    <t>288645</t>
  </si>
  <si>
    <t>37.22</t>
  </si>
  <si>
    <t>15.03.2026 03:40:49</t>
  </si>
  <si>
    <t>15.03.2026 18:25:04</t>
  </si>
  <si>
    <t>05:18</t>
  </si>
  <si>
    <t>7678</t>
  </si>
  <si>
    <t>15.03.2026 00:44:29</t>
  </si>
  <si>
    <t>15.03.2026 13:48:35</t>
  </si>
  <si>
    <t>107482</t>
  </si>
  <si>
    <t>108258</t>
  </si>
  <si>
    <t>49.19</t>
  </si>
  <si>
    <t>15.03.2026 05:46:07</t>
  </si>
  <si>
    <t>15.03.2026 17:44:25</t>
  </si>
  <si>
    <t>13:55</t>
  </si>
  <si>
    <t>703</t>
  </si>
  <si>
    <t>191233</t>
  </si>
  <si>
    <t>191936</t>
  </si>
  <si>
    <t>15.03.2026 06:02:49</t>
  </si>
  <si>
    <t>255823</t>
  </si>
  <si>
    <t>256097</t>
  </si>
  <si>
    <t>67.63</t>
  </si>
  <si>
    <t>15.03.2026 10:17:26</t>
  </si>
  <si>
    <t>15.03.2026 14:20:39</t>
  </si>
  <si>
    <t>20:46</t>
  </si>
  <si>
    <t>124769</t>
  </si>
  <si>
    <t>125012</t>
  </si>
  <si>
    <t>39.57</t>
  </si>
  <si>
    <t>15.03.2026 02:04:33</t>
  </si>
  <si>
    <t>15.03.2026 23:12:31</t>
  </si>
  <si>
    <t>267528</t>
  </si>
  <si>
    <t>268070</t>
  </si>
  <si>
    <t>55.14</t>
  </si>
  <si>
    <t>15.03.2026 21:16:54</t>
  </si>
  <si>
    <t>312331</t>
  </si>
  <si>
    <t>312690</t>
  </si>
  <si>
    <t>812</t>
  </si>
  <si>
    <t>48.85</t>
  </si>
  <si>
    <t>15.03.2026 21:55:35</t>
  </si>
  <si>
    <t>257848</t>
  </si>
  <si>
    <t>258583</t>
  </si>
  <si>
    <t>39.4</t>
  </si>
  <si>
    <t>15.03.2026 03:41:12</t>
  </si>
  <si>
    <t>15.03.2026 10:05:02</t>
  </si>
  <si>
    <t>335</t>
  </si>
  <si>
    <t>182823</t>
  </si>
  <si>
    <t>183158</t>
  </si>
  <si>
    <t>26.65</t>
  </si>
  <si>
    <t>15.03.2026 18:44:01</t>
  </si>
  <si>
    <t>224707</t>
  </si>
  <si>
    <t>225055</t>
  </si>
  <si>
    <t>10.2</t>
  </si>
  <si>
    <t>237585</t>
  </si>
  <si>
    <t>15.03.2026 07:02:55</t>
  </si>
  <si>
    <t>116378</t>
  </si>
  <si>
    <t>40.21</t>
  </si>
  <si>
    <t>11714</t>
  </si>
  <si>
    <t>15.03.2026 01:08:31</t>
  </si>
  <si>
    <t>15.03.2026 19:35:21</t>
  </si>
  <si>
    <t>15.03.2026 09:30:45</t>
  </si>
  <si>
    <t>15.03.2026 20:31:06</t>
  </si>
  <si>
    <t>06:16</t>
  </si>
  <si>
    <t>17:33</t>
  </si>
  <si>
    <t>15.03.2026 06:29:45</t>
  </si>
  <si>
    <t>242424</t>
  </si>
  <si>
    <t>242816</t>
  </si>
  <si>
    <t>43.57</t>
  </si>
  <si>
    <t>15.03.2026 13:52:36</t>
  </si>
  <si>
    <t>15.03.2026 17:46:13</t>
  </si>
  <si>
    <t>350163</t>
  </si>
  <si>
    <t>350406</t>
  </si>
  <si>
    <t>799</t>
  </si>
  <si>
    <t>42.31</t>
  </si>
  <si>
    <t>15.03.2026 10:50:00</t>
  </si>
  <si>
    <t>226759</t>
  </si>
  <si>
    <t>3.13</t>
  </si>
  <si>
    <t>15.03.2026 06:42:09</t>
  </si>
  <si>
    <t>15.03.2026 16:33:45</t>
  </si>
  <si>
    <t>154736</t>
  </si>
  <si>
    <t>155136</t>
  </si>
  <si>
    <t>48.54</t>
  </si>
  <si>
    <t>15.03.2026 05:42:34</t>
  </si>
  <si>
    <t>15.03.2026 18:22:10</t>
  </si>
  <si>
    <t>665135</t>
  </si>
  <si>
    <t>665737</t>
  </si>
  <si>
    <t>15.03.2026 23:15:32</t>
  </si>
  <si>
    <t>15404</t>
  </si>
  <si>
    <t>15410</t>
  </si>
  <si>
    <t>15.03.2026 12:42:37</t>
  </si>
  <si>
    <t>15.03.2026 13:23:16</t>
  </si>
  <si>
    <t>23:49</t>
  </si>
  <si>
    <t>15.03.2026 02:18:09</t>
  </si>
  <si>
    <t>15.03.2026 03:05:27</t>
  </si>
  <si>
    <t>23:10</t>
  </si>
  <si>
    <t>15.03.2026 17:55:33</t>
  </si>
  <si>
    <t>352985</t>
  </si>
  <si>
    <t>353774</t>
  </si>
  <si>
    <t>5321</t>
  </si>
  <si>
    <t>-288</t>
  </si>
  <si>
    <t>829</t>
  </si>
  <si>
    <t>########</t>
  </si>
  <si>
    <t>18:27</t>
  </si>
  <si>
    <t>320931</t>
  </si>
  <si>
    <t>321538</t>
  </si>
  <si>
    <t>15.03.2026 08:55:05</t>
  </si>
  <si>
    <t>15.03.2026 23:42:53</t>
  </si>
  <si>
    <t>12902</t>
  </si>
  <si>
    <t>15.03.2026 08:36:14</t>
  </si>
  <si>
    <t>15.03.2026 21:13:03</t>
  </si>
  <si>
    <t>178054</t>
  </si>
  <si>
    <t>45.21</t>
  </si>
  <si>
    <t>17536</t>
  </si>
  <si>
    <t>17537</t>
  </si>
  <si>
    <t>15.03.2026 08:13:23</t>
  </si>
  <si>
    <t>15.03.2026 22:11:50</t>
  </si>
  <si>
    <t>88766</t>
  </si>
  <si>
    <t>89580</t>
  </si>
  <si>
    <t>15.03.2026 14:28:53</t>
  </si>
  <si>
    <t>15.03.2026 20:19:19</t>
  </si>
  <si>
    <t>10730</t>
  </si>
  <si>
    <t>15.03.2026 06:39:31</t>
  </si>
  <si>
    <t>15.03.2026 18:29:01</t>
  </si>
  <si>
    <t>11832</t>
  </si>
  <si>
    <t>15.03.2026 00:40:34</t>
  </si>
  <si>
    <t>15.03.2026 22:08:40</t>
  </si>
  <si>
    <t>15.03.2026 03:20:16</t>
  </si>
  <si>
    <t>15.03.2026 20:20:05</t>
  </si>
  <si>
    <t>11352</t>
  </si>
  <si>
    <t>11363</t>
  </si>
  <si>
    <t>15.03.2026 08:32:19</t>
  </si>
  <si>
    <t>15.03.2026 21:58:51</t>
  </si>
  <si>
    <t>12:12</t>
  </si>
  <si>
    <t>5329</t>
  </si>
  <si>
    <t>5341</t>
  </si>
  <si>
    <t>15.03.2026 09:50:07</t>
  </si>
  <si>
    <t>15.03.2026 18:48:36</t>
  </si>
  <si>
    <t>7361</t>
  </si>
  <si>
    <t>15.03.2026 00:06:38</t>
  </si>
  <si>
    <t>15.03.2026 23:33:25</t>
  </si>
  <si>
    <t>15.03.2026 22:43:31</t>
  </si>
  <si>
    <t>15.03.2026 09:46:40</t>
  </si>
  <si>
    <t>15:18</t>
  </si>
  <si>
    <t>4569</t>
  </si>
  <si>
    <t>15.03.2026 09:30:34</t>
  </si>
  <si>
    <t>15.03.2026 22:02:31</t>
  </si>
  <si>
    <t>15.03.2026 00:13:40</t>
  </si>
  <si>
    <t>15.03.2026 23:49:35</t>
  </si>
  <si>
    <t>15.03.2026 23:19:57</t>
  </si>
  <si>
    <t>1127</t>
  </si>
  <si>
    <t>15.03.2026 08:43:51</t>
  </si>
  <si>
    <t>15.03.2026 17:25:39</t>
  </si>
  <si>
    <t>336627</t>
  </si>
  <si>
    <t>337333</t>
  </si>
  <si>
    <t>45.87</t>
  </si>
  <si>
    <t>15.03.2026 07:30:21</t>
  </si>
  <si>
    <t>15.03.2026 19:12:58</t>
  </si>
  <si>
    <t>15.03.2026 21:41:30</t>
  </si>
  <si>
    <t>446281</t>
  </si>
  <si>
    <t>446400</t>
  </si>
  <si>
    <t>38.04</t>
  </si>
  <si>
    <t>15.03.2026 19:18:32</t>
  </si>
  <si>
    <t>248224</t>
  </si>
  <si>
    <t>249035</t>
  </si>
  <si>
    <t>447</t>
  </si>
  <si>
    <t>38.64</t>
  </si>
  <si>
    <t>15.03.2026 04:18:22</t>
  </si>
  <si>
    <t>15.03.2026 16:30:35</t>
  </si>
  <si>
    <t>15.03.2026 23:48:59</t>
  </si>
  <si>
    <t>17:03</t>
  </si>
  <si>
    <t>4147</t>
  </si>
  <si>
    <t>15.03.2026 08:46:18</t>
  </si>
  <si>
    <t>15.03.2026 20:22:19</t>
  </si>
  <si>
    <t>658</t>
  </si>
  <si>
    <t>270438</t>
  </si>
  <si>
    <t>271096</t>
  </si>
  <si>
    <t>15.03.2026 09:27:08</t>
  </si>
  <si>
    <t>15.03.2026 22:41:30</t>
  </si>
  <si>
    <t>08:20</t>
  </si>
  <si>
    <t>253390</t>
  </si>
  <si>
    <t>254140</t>
  </si>
  <si>
    <t>42.89</t>
  </si>
  <si>
    <t>15.03.2026 07:44:00</t>
  </si>
  <si>
    <t>15.03.2026 21:40:11</t>
  </si>
  <si>
    <t>16:10</t>
  </si>
  <si>
    <t>237905</t>
  </si>
  <si>
    <t>238354</t>
  </si>
  <si>
    <t>32.66</t>
  </si>
  <si>
    <t>15.03.2026 10:50:55</t>
  </si>
  <si>
    <t>15.03.2026 22:43:53</t>
  </si>
  <si>
    <t>16:29</t>
  </si>
  <si>
    <t>322871</t>
  </si>
  <si>
    <t>15.03.2026 10:50:56</t>
  </si>
  <si>
    <t>15.03.2026 20:30:46</t>
  </si>
  <si>
    <t>16:24</t>
  </si>
  <si>
    <t>427362</t>
  </si>
  <si>
    <t>427766</t>
  </si>
  <si>
    <t>39.51</t>
  </si>
  <si>
    <t>15.03.2026 07:40:26</t>
  </si>
  <si>
    <t>15.03.2026 18:29:33</t>
  </si>
  <si>
    <t>70232</t>
  </si>
  <si>
    <t>70545</t>
  </si>
  <si>
    <t>317</t>
  </si>
  <si>
    <t>15.03.2026 10:03:10</t>
  </si>
  <si>
    <t>15.03.2026 23:28:53</t>
  </si>
  <si>
    <t>Россия,Смоленская область</t>
  </si>
  <si>
    <t>00:09</t>
  </si>
  <si>
    <t>08:59</t>
  </si>
  <si>
    <t>13.78</t>
  </si>
  <si>
    <t>15.03.2026 09:53:44</t>
  </si>
  <si>
    <t>03:44</t>
  </si>
  <si>
    <t>2232</t>
  </si>
  <si>
    <t>15.03.2026 00:35:31</t>
  </si>
  <si>
    <t>15.03.2026 23:45:23</t>
  </si>
  <si>
    <t>22:42</t>
  </si>
  <si>
    <t>4253</t>
  </si>
  <si>
    <t>15.03.2026 07:18:33</t>
  </si>
  <si>
    <t>6226</t>
  </si>
  <si>
    <t>6230</t>
  </si>
  <si>
    <t>15.03.2026 00:29:47</t>
  </si>
  <si>
    <t>15.03.2026 20:57:54</t>
  </si>
  <si>
    <t>21:20</t>
  </si>
  <si>
    <t>283441</t>
  </si>
  <si>
    <t>283483</t>
  </si>
  <si>
    <t>67.25</t>
  </si>
  <si>
    <t>15.03.2026 08:24:59</t>
  </si>
  <si>
    <t>15.03.2026 22:27:44</t>
  </si>
  <si>
    <t>20:58</t>
  </si>
  <si>
    <t>308836</t>
  </si>
  <si>
    <t>309020</t>
  </si>
  <si>
    <t>15.03.2026 05:48:44</t>
  </si>
  <si>
    <t>15.03.2026 16:54:16</t>
  </si>
  <si>
    <t>14:23</t>
  </si>
  <si>
    <t>293048</t>
  </si>
  <si>
    <t>293695</t>
  </si>
  <si>
    <t>308</t>
  </si>
  <si>
    <t>32.91</t>
  </si>
  <si>
    <t>15.03.2026 06:40:42</t>
  </si>
  <si>
    <t>15.03.2026 15:34:57</t>
  </si>
  <si>
    <t>23:28</t>
  </si>
  <si>
    <t>138943</t>
  </si>
  <si>
    <t>386.22</t>
  </si>
  <si>
    <t>15.03.2026 08:25:05</t>
  </si>
  <si>
    <t>15.03.2026 22:00:40</t>
  </si>
  <si>
    <t>18:35</t>
  </si>
  <si>
    <t>5067</t>
  </si>
  <si>
    <t>5070</t>
  </si>
  <si>
    <t>15.03.2026 07:11:19</t>
  </si>
  <si>
    <t>15.03.2026 23:17:42</t>
  </si>
  <si>
    <t>326155</t>
  </si>
  <si>
    <t>326763</t>
  </si>
  <si>
    <t>15.03.2026 05:10:09</t>
  </si>
  <si>
    <t>15.03.2026 17:15:00</t>
  </si>
  <si>
    <t>228754</t>
  </si>
  <si>
    <t>229419</t>
  </si>
  <si>
    <t>15.03.2026 08:28:09</t>
  </si>
  <si>
    <t>15.03.2026 20:23:50</t>
  </si>
  <si>
    <t>241578</t>
  </si>
  <si>
    <t>241814</t>
  </si>
  <si>
    <t>17.01</t>
  </si>
  <si>
    <t>15.03.2026 07:43:41</t>
  </si>
  <si>
    <t>15.03.2026 14:09:23</t>
  </si>
  <si>
    <t>272883</t>
  </si>
  <si>
    <t>273333</t>
  </si>
  <si>
    <t>15.03.2026 23:51:25</t>
  </si>
  <si>
    <t>208507</t>
  </si>
  <si>
    <t>208954</t>
  </si>
  <si>
    <t>16.29</t>
  </si>
  <si>
    <t>15.03.2026 06:56:20</t>
  </si>
  <si>
    <t>15.03.2026 15:36:06</t>
  </si>
  <si>
    <t>276979</t>
  </si>
  <si>
    <t>277347</t>
  </si>
  <si>
    <t>356</t>
  </si>
  <si>
    <t>34.38</t>
  </si>
  <si>
    <t>15.03.2026 08:03:35</t>
  </si>
  <si>
    <t>15.03.2026 23:38:34</t>
  </si>
  <si>
    <t>258846</t>
  </si>
  <si>
    <t>259066</t>
  </si>
  <si>
    <t>793</t>
  </si>
  <si>
    <t>21.88</t>
  </si>
  <si>
    <t>15.03.2026 08:49:53</t>
  </si>
  <si>
    <t>15.03.2026 19:45:55</t>
  </si>
  <si>
    <t>279001</t>
  </si>
  <si>
    <t>37.3</t>
  </si>
  <si>
    <t>15.03.2026 01:17:43</t>
  </si>
  <si>
    <t>267127</t>
  </si>
  <si>
    <t>764</t>
  </si>
  <si>
    <t>63.61</t>
  </si>
  <si>
    <t>15.03.2026 13:54:08</t>
  </si>
  <si>
    <t>15.03.2026 18:29:57</t>
  </si>
  <si>
    <t>303600</t>
  </si>
  <si>
    <t>303824</t>
  </si>
  <si>
    <t>24.81</t>
  </si>
  <si>
    <t>15.03.2026 05:06:50</t>
  </si>
  <si>
    <t>15.03.2026 05:48:47</t>
  </si>
  <si>
    <t>23:18</t>
  </si>
  <si>
    <t>452523</t>
  </si>
  <si>
    <t>452553</t>
  </si>
  <si>
    <t>34.1</t>
  </si>
  <si>
    <t>15.03.2026 05:48:40</t>
  </si>
  <si>
    <t>15.03.2026 16:54:29</t>
  </si>
  <si>
    <t>4896</t>
  </si>
  <si>
    <t>4898</t>
  </si>
  <si>
    <t>15.03.2026 06:49:05</t>
  </si>
  <si>
    <t>15.03.2026 16:55:45</t>
  </si>
  <si>
    <t>5559</t>
  </si>
  <si>
    <t>15.03.2026 14:24:47</t>
  </si>
  <si>
    <t>15.03.2026 06:07:21</t>
  </si>
  <si>
    <t>15.03.2026 23:05:30</t>
  </si>
  <si>
    <t>378512</t>
  </si>
  <si>
    <t>379084</t>
  </si>
  <si>
    <t>15.03.2026 03:56:07</t>
  </si>
  <si>
    <t>15.03.2026 03:56:54</t>
  </si>
  <si>
    <t>343825</t>
  </si>
  <si>
    <t>15.03.2026 05:01:22</t>
  </si>
  <si>
    <t>15.03.2026 17:59:33</t>
  </si>
  <si>
    <t>175616</t>
  </si>
  <si>
    <t>29.25</t>
  </si>
  <si>
    <t>15.03.2026 10:04:50</t>
  </si>
  <si>
    <t>15.03.2026 19:35:57</t>
  </si>
  <si>
    <t>271692</t>
  </si>
  <si>
    <t>272371</t>
  </si>
  <si>
    <t>49.5</t>
  </si>
  <si>
    <t>15.03.2026 22:39:50</t>
  </si>
  <si>
    <t>15.03.2026 20:21:12</t>
  </si>
  <si>
    <t>15.03.2026 21:59:10</t>
  </si>
  <si>
    <t>22:41</t>
  </si>
  <si>
    <t>356942</t>
  </si>
  <si>
    <t>356943</t>
  </si>
  <si>
    <t>941</t>
  </si>
  <si>
    <t>953</t>
  </si>
  <si>
    <t>-12</t>
  </si>
  <si>
    <t>-15.41</t>
  </si>
  <si>
    <t>15.03.2026 08:12:48</t>
  </si>
  <si>
    <t>15.03.2026 23:38:12</t>
  </si>
  <si>
    <t>4071</t>
  </si>
  <si>
    <t>15.03.2026 18:04:31</t>
  </si>
  <si>
    <t>339517</t>
  </si>
  <si>
    <t>339856</t>
  </si>
  <si>
    <t>48.5</t>
  </si>
  <si>
    <t>10661</t>
  </si>
  <si>
    <t>15.03.2026 08:50:12</t>
  </si>
  <si>
    <t>15.03.2026 08:51:17</t>
  </si>
  <si>
    <t>8197</t>
  </si>
  <si>
    <t>8198</t>
  </si>
  <si>
    <t>15.03.2026 21:11:43</t>
  </si>
  <si>
    <t>15.03.2026 21:11:44</t>
  </si>
  <si>
    <t>387413</t>
  </si>
  <si>
    <t>15.03.2026 02:29:05</t>
  </si>
  <si>
    <t>15.03.2026 02:29:16</t>
  </si>
  <si>
    <t>10888</t>
  </si>
  <si>
    <t>15.03.2026 07:32:58</t>
  </si>
  <si>
    <t>117806</t>
  </si>
  <si>
    <t>118223</t>
  </si>
  <si>
    <t>16.15</t>
  </si>
  <si>
    <t>15.03.2026 09:33:46</t>
  </si>
  <si>
    <t>15.03.2026 16:48:16</t>
  </si>
  <si>
    <t>18:30</t>
  </si>
  <si>
    <t>111225</t>
  </si>
  <si>
    <t>111582</t>
  </si>
  <si>
    <t>35.41</t>
  </si>
  <si>
    <t>15.03.2026 08:32:13</t>
  </si>
  <si>
    <t>11:19</t>
  </si>
  <si>
    <t>114894</t>
  </si>
  <si>
    <t>115162</t>
  </si>
  <si>
    <t>1133</t>
  </si>
  <si>
    <t>8.76</t>
  </si>
  <si>
    <t>15.03.2026 06:08:09</t>
  </si>
  <si>
    <t>15.03.2026 18:56:55</t>
  </si>
  <si>
    <t>655</t>
  </si>
  <si>
    <t>74314</t>
  </si>
  <si>
    <t>74969</t>
  </si>
  <si>
    <t>871</t>
  </si>
  <si>
    <t>21.27</t>
  </si>
  <si>
    <t>15.03.2026 09:09:21</t>
  </si>
  <si>
    <t>15.03.2026 22:53:31</t>
  </si>
  <si>
    <t>12:15</t>
  </si>
  <si>
    <t>116485</t>
  </si>
  <si>
    <t>117210</t>
  </si>
  <si>
    <t>60.77</t>
  </si>
  <si>
    <t>15.03.2026 04:59:01</t>
  </si>
  <si>
    <t>15.03.2026 18:51:49</t>
  </si>
  <si>
    <t>64436</t>
  </si>
  <si>
    <t>65082</t>
  </si>
  <si>
    <t>23.32</t>
  </si>
  <si>
    <t>15.03.2026 08:48:09</t>
  </si>
  <si>
    <t>45598</t>
  </si>
  <si>
    <t>45601</t>
  </si>
  <si>
    <t>1.7</t>
  </si>
  <si>
    <t>15.03.2026 12:41:30</t>
  </si>
  <si>
    <t>15.03.2026 13:23:50</t>
  </si>
  <si>
    <t>23:46</t>
  </si>
  <si>
    <t>52922</t>
  </si>
  <si>
    <t>52927</t>
  </si>
  <si>
    <t>248.19</t>
  </si>
  <si>
    <t>15.03.2026 20:57:29</t>
  </si>
  <si>
    <t>242804</t>
  </si>
  <si>
    <t>242951</t>
  </si>
  <si>
    <t>16.3</t>
  </si>
  <si>
    <t>15.03.2026 08:02:36</t>
  </si>
  <si>
    <t>15.03.2026 23:35:48</t>
  </si>
  <si>
    <t>296494</t>
  </si>
  <si>
    <t>296977</t>
  </si>
  <si>
    <t>22.85</t>
  </si>
  <si>
    <t>15.03.2026 03:15:08</t>
  </si>
  <si>
    <t>15.03.2026 21:11:01</t>
  </si>
  <si>
    <t>61615</t>
  </si>
  <si>
    <t>62029</t>
  </si>
  <si>
    <t>34.65</t>
  </si>
  <si>
    <t>225509</t>
  </si>
  <si>
    <t>37.82</t>
  </si>
  <si>
    <t>15.03.2026 11:31:35</t>
  </si>
  <si>
    <t>231163</t>
  </si>
  <si>
    <t>18.2</t>
  </si>
  <si>
    <t>15.03.2026 07:51:04</t>
  </si>
  <si>
    <t>15.03.2026 19:21:36</t>
  </si>
  <si>
    <t>9396</t>
  </si>
  <si>
    <t>9418</t>
  </si>
  <si>
    <t>1182</t>
  </si>
  <si>
    <t>15.03.2026 12:35:16</t>
  </si>
  <si>
    <t>15.03.2026 12:35:57</t>
  </si>
  <si>
    <t>541048</t>
  </si>
  <si>
    <t>631</t>
  </si>
  <si>
    <t>15.03.2026 17:34:59</t>
  </si>
  <si>
    <t>12246</t>
  </si>
  <si>
    <t>12250</t>
  </si>
  <si>
    <t>15.03.2026 02:03:37</t>
  </si>
  <si>
    <t>15.03.2026 18:46:25</t>
  </si>
  <si>
    <t>88810</t>
  </si>
  <si>
    <t>89302</t>
  </si>
  <si>
    <t>1.87</t>
  </si>
  <si>
    <t>15.03.2026 18:44:05</t>
  </si>
  <si>
    <t>15.03.2026 22:25:59</t>
  </si>
  <si>
    <t>21:51</t>
  </si>
  <si>
    <t>183581</t>
  </si>
  <si>
    <t>183718</t>
  </si>
  <si>
    <t>42.65</t>
  </si>
  <si>
    <t>15.03.2026 09:07:15</t>
  </si>
  <si>
    <t>15.03.2026 22:41:23</t>
  </si>
  <si>
    <t>15.03.2026 07:54:18</t>
  </si>
  <si>
    <t>15.03.2026 23:05:46</t>
  </si>
  <si>
    <t>16:35</t>
  </si>
  <si>
    <t>15.03.2026 20:12:47</t>
  </si>
  <si>
    <t>03:56</t>
  </si>
  <si>
    <t>19:07</t>
  </si>
  <si>
    <t>15.03.2026 09:55:45</t>
  </si>
  <si>
    <t>15.03.2026 22:44:13</t>
  </si>
  <si>
    <t>15.03.2026 10:52:46</t>
  </si>
  <si>
    <t>15.03.2026 18:30:55</t>
  </si>
  <si>
    <t>04:35</t>
  </si>
  <si>
    <t>15.03.2026 15:08:20</t>
  </si>
  <si>
    <t>15.03.2026 22:08:12</t>
  </si>
  <si>
    <t>21:31</t>
  </si>
  <si>
    <t>15.03.2026 04:17:39</t>
  </si>
  <si>
    <t>15.03.2026 20:26:44</t>
  </si>
  <si>
    <t>13:35</t>
  </si>
  <si>
    <t>12636</t>
  </si>
  <si>
    <t>12648</t>
  </si>
  <si>
    <t>15.03.2026 07:32:01</t>
  </si>
  <si>
    <t>15.03.2026 20:14:17</t>
  </si>
  <si>
    <t>15.03.2026 07:29:07</t>
  </si>
  <si>
    <t>15.03.2026 23:53:13</t>
  </si>
  <si>
    <t>7739</t>
  </si>
  <si>
    <t>15.03.2026 11:39:25</t>
  </si>
  <si>
    <t>15.03.2026 21:52:28</t>
  </si>
  <si>
    <t>9749</t>
  </si>
  <si>
    <t>9769</t>
  </si>
  <si>
    <t>15.03.2026 20:08:58</t>
  </si>
  <si>
    <t>15.03.2026 20:08:59</t>
  </si>
  <si>
    <t>15.03.2026 00:18:00</t>
  </si>
  <si>
    <t>15.03.2026 19:41:49</t>
  </si>
  <si>
    <t>966</t>
  </si>
  <si>
    <t>15.03.2026 00:10:38</t>
  </si>
  <si>
    <t>15.03.2026 23:52:02</t>
  </si>
  <si>
    <t>14:05</t>
  </si>
  <si>
    <t>284720</t>
  </si>
  <si>
    <t>836</t>
  </si>
  <si>
    <t>30.94</t>
  </si>
  <si>
    <t>15.03.2026 08:34:21</t>
  </si>
  <si>
    <t>15.03.2026 22:11:26</t>
  </si>
  <si>
    <t>4065</t>
  </si>
  <si>
    <t>15.03.2026 20:22:47</t>
  </si>
  <si>
    <t>15.03.2026 20:36:19</t>
  </si>
  <si>
    <t>220705</t>
  </si>
  <si>
    <t>220719</t>
  </si>
  <si>
    <t>74.37</t>
  </si>
  <si>
    <t>15.03.2026 23:00:48</t>
  </si>
  <si>
    <t>17:11</t>
  </si>
  <si>
    <t>303309</t>
  </si>
  <si>
    <t>31.67</t>
  </si>
  <si>
    <t>15.03.2026 04:41:40</t>
  </si>
  <si>
    <t>15.03.2026 20:40:10</t>
  </si>
  <si>
    <t>4368</t>
  </si>
  <si>
    <t>15.03.2026 08:19:19</t>
  </si>
  <si>
    <t>15.03.2026 23:05:38</t>
  </si>
  <si>
    <t>5541</t>
  </si>
  <si>
    <t>15.03.2026 02:03:44</t>
  </si>
  <si>
    <t>15.03.2026 18:44:57</t>
  </si>
  <si>
    <t>5206</t>
  </si>
  <si>
    <t>15.03.2026 08:50:11</t>
  </si>
  <si>
    <t>15.03.2026 08:51:07</t>
  </si>
  <si>
    <t>272886</t>
  </si>
  <si>
    <t>15.03.2026 06:39:16</t>
  </si>
  <si>
    <t>15.03.2026 18:28:58</t>
  </si>
  <si>
    <t>455221</t>
  </si>
  <si>
    <t>455900</t>
  </si>
  <si>
    <t>31.01</t>
  </si>
  <si>
    <t>15.03.2026 07:05:37</t>
  </si>
  <si>
    <t>15.03.2026 17:40:44</t>
  </si>
  <si>
    <t>244043</t>
  </si>
  <si>
    <t>244677</t>
  </si>
  <si>
    <t>33.06</t>
  </si>
  <si>
    <t>15.03.2026 21:54:48</t>
  </si>
  <si>
    <t>07:25</t>
  </si>
  <si>
    <t>236109</t>
  </si>
  <si>
    <t>236343</t>
  </si>
  <si>
    <t>12.62</t>
  </si>
  <si>
    <t>15.03.2026 03:22:06</t>
  </si>
  <si>
    <t>15.03.2026 21:55:03</t>
  </si>
  <si>
    <t>244619</t>
  </si>
  <si>
    <t>244743</t>
  </si>
  <si>
    <t>42.32</t>
  </si>
  <si>
    <t>15.03.2026 06:35:44</t>
  </si>
  <si>
    <t>288937</t>
  </si>
  <si>
    <t>289581</t>
  </si>
  <si>
    <t>34.63</t>
  </si>
  <si>
    <t>15.03.2026 02:09:23</t>
  </si>
  <si>
    <t>15.03.2026 16:30:01</t>
  </si>
  <si>
    <t>282893</t>
  </si>
  <si>
    <t>46.65</t>
  </si>
  <si>
    <t>15.03.2026 06:41:26</t>
  </si>
  <si>
    <t>15.03.2026 10:04:06</t>
  </si>
  <si>
    <t>238237</t>
  </si>
  <si>
    <t>37.06</t>
  </si>
  <si>
    <t>15.03.2026 08:25:30</t>
  </si>
  <si>
    <t>15.03.2026 13:32:37</t>
  </si>
  <si>
    <t>263</t>
  </si>
  <si>
    <t>275822</t>
  </si>
  <si>
    <t>276085</t>
  </si>
  <si>
    <t>1179</t>
  </si>
  <si>
    <t>41.03</t>
  </si>
  <si>
    <t>15.03.2026 07:49:32</t>
  </si>
  <si>
    <t>15.03.2026 18:44:50</t>
  </si>
  <si>
    <t>417924</t>
  </si>
  <si>
    <t>418565</t>
  </si>
  <si>
    <t>15.03.2026 16:17:30</t>
  </si>
  <si>
    <t>3563</t>
  </si>
  <si>
    <t>15.03.2026 10:35:42</t>
  </si>
  <si>
    <t>15.03.2026 22:06:13</t>
  </si>
  <si>
    <t>5243</t>
  </si>
  <si>
    <t>15.03.2026 20:53:16</t>
  </si>
  <si>
    <t>4114</t>
  </si>
  <si>
    <t>4118</t>
  </si>
  <si>
    <t>15.03.2026 23:17:48</t>
  </si>
  <si>
    <t>281723</t>
  </si>
  <si>
    <t>281824</t>
  </si>
  <si>
    <t>263.57</t>
  </si>
  <si>
    <t>15.03.2026 22:28:06</t>
  </si>
  <si>
    <t>15.03.2026 14:37:44</t>
  </si>
  <si>
    <t>15.03.2026 18:44:34</t>
  </si>
  <si>
    <t>03:46</t>
  </si>
  <si>
    <t>15.03.2026 03:22:02</t>
  </si>
  <si>
    <t>15.03.2026 21:55:01</t>
  </si>
  <si>
    <t>4735</t>
  </si>
  <si>
    <t>4737</t>
  </si>
  <si>
    <t>15.03.2026 07:59:44</t>
  </si>
  <si>
    <t>15.03.2026 22:00:48</t>
  </si>
  <si>
    <t>504394</t>
  </si>
  <si>
    <t>505125</t>
  </si>
  <si>
    <t>38.52</t>
  </si>
  <si>
    <t>15.03.2026 16:35:51</t>
  </si>
  <si>
    <t>3179</t>
  </si>
  <si>
    <t>15.03.2026 16:50:43</t>
  </si>
  <si>
    <t>15.03.2026 16:50:44</t>
  </si>
  <si>
    <t>4858</t>
  </si>
  <si>
    <t>15.03.2026 03:50:21</t>
  </si>
  <si>
    <t>15.03.2026 23:43:55</t>
  </si>
  <si>
    <t>11052</t>
  </si>
  <si>
    <t>15.03.2026 03:47:10</t>
  </si>
  <si>
    <t>15.03.2026 23:39:57</t>
  </si>
  <si>
    <t>09:07</t>
  </si>
  <si>
    <t>01:48</t>
  </si>
  <si>
    <t>103303</t>
  </si>
  <si>
    <t>104125</t>
  </si>
  <si>
    <t>39.03</t>
  </si>
  <si>
    <t>15.03.2026 01:40:38</t>
  </si>
  <si>
    <t>15.03.2026 19:17:27</t>
  </si>
  <si>
    <t>407</t>
  </si>
  <si>
    <t>109348</t>
  </si>
  <si>
    <t>109755</t>
  </si>
  <si>
    <t>882</t>
  </si>
  <si>
    <t>32.44</t>
  </si>
  <si>
    <t>15.03.2026 04:33:57</t>
  </si>
  <si>
    <t>15.03.2026 10:51:35</t>
  </si>
  <si>
    <t>19:31</t>
  </si>
  <si>
    <t>110652</t>
  </si>
  <si>
    <t>110916</t>
  </si>
  <si>
    <t>41.51</t>
  </si>
  <si>
    <t>15.03.2026 06:58:46</t>
  </si>
  <si>
    <t>15.03.2026 19:42:34</t>
  </si>
  <si>
    <t>86631</t>
  </si>
  <si>
    <t>87474</t>
  </si>
  <si>
    <t>825</t>
  </si>
  <si>
    <t>31.86</t>
  </si>
  <si>
    <t>15.03.2026 18:35:13</t>
  </si>
  <si>
    <t>67905</t>
  </si>
  <si>
    <t>68325</t>
  </si>
  <si>
    <t>39.04</t>
  </si>
  <si>
    <t>15.03.2026 04:26:59</t>
  </si>
  <si>
    <t>15.03.2026 17:14:22</t>
  </si>
  <si>
    <t>667</t>
  </si>
  <si>
    <t>347705</t>
  </si>
  <si>
    <t>348372</t>
  </si>
  <si>
    <t>48.22</t>
  </si>
  <si>
    <t>15.03.2026 05:46:03</t>
  </si>
  <si>
    <t>15.03.2026 14:57:31</t>
  </si>
  <si>
    <t>12685</t>
  </si>
  <si>
    <t>15.03.2026 06:35:23</t>
  </si>
  <si>
    <t>15.03.2026 18:24:18</t>
  </si>
  <si>
    <t>173900</t>
  </si>
  <si>
    <t>174579</t>
  </si>
  <si>
    <t>43.81</t>
  </si>
  <si>
    <t>15.03.2026 09:33:20</t>
  </si>
  <si>
    <t>15.03.2026 18:40:47</t>
  </si>
  <si>
    <t>114070</t>
  </si>
  <si>
    <t>114596</t>
  </si>
  <si>
    <t>15.03.2026 05:56:18</t>
  </si>
  <si>
    <t>15.03.2026 17:48:45</t>
  </si>
  <si>
    <t>2825</t>
  </si>
  <si>
    <t>193491</t>
  </si>
  <si>
    <t>196316</t>
  </si>
  <si>
    <t>30.84</t>
  </si>
  <si>
    <t>171334</t>
  </si>
  <si>
    <t>844</t>
  </si>
  <si>
    <t>31.56</t>
  </si>
  <si>
    <t>15.03.2026 21:14:42</t>
  </si>
  <si>
    <t>17:41</t>
  </si>
  <si>
    <t>1017</t>
  </si>
  <si>
    <t>66553</t>
  </si>
  <si>
    <t>67570</t>
  </si>
  <si>
    <t>96.13</t>
  </si>
  <si>
    <t>15.03.2026 00:19:19</t>
  </si>
  <si>
    <t>15.03.2026 23:24:53</t>
  </si>
  <si>
    <t>01:43</t>
  </si>
  <si>
    <t>15.03.2026 01:13:27</t>
  </si>
  <si>
    <t>15.03.2026 13:09:32</t>
  </si>
  <si>
    <t>17:08</t>
  </si>
  <si>
    <t>1159</t>
  </si>
  <si>
    <t>176.55</t>
  </si>
  <si>
    <t>15.03.2026 07:14:28</t>
  </si>
  <si>
    <t>15.03.2026 21:47:28</t>
  </si>
  <si>
    <t>978</t>
  </si>
  <si>
    <t>294</t>
  </si>
  <si>
    <t>48.35</t>
  </si>
  <si>
    <t>15.03.2026 02:12:54</t>
  </si>
  <si>
    <t>15.03.2026 21:10:09</t>
  </si>
  <si>
    <t>340</t>
  </si>
  <si>
    <t>560448</t>
  </si>
  <si>
    <t>33.67</t>
  </si>
  <si>
    <t>15.03.2026 13:03:30</t>
  </si>
  <si>
    <t>15.03.2026 21:12:32</t>
  </si>
  <si>
    <t>15:56</t>
  </si>
  <si>
    <t>101919</t>
  </si>
  <si>
    <t>1031</t>
  </si>
  <si>
    <t>38.17</t>
  </si>
  <si>
    <t>15.03.2026 22:59:30</t>
  </si>
  <si>
    <t>15.03.2026 20:17:58</t>
  </si>
  <si>
    <t>15.03.2026 20:25:42</t>
  </si>
  <si>
    <t>15.03.2026 22:46:05</t>
  </si>
  <si>
    <t>15.03.2026 06:31:44</t>
  </si>
  <si>
    <t>15.03.2026 08:12:37</t>
  </si>
  <si>
    <t>15.03.2026 17:23:14</t>
  </si>
  <si>
    <t>15.03.2026 12:42:07</t>
  </si>
  <si>
    <t>15.03.2026 13:24:09</t>
  </si>
  <si>
    <t>23:47</t>
  </si>
  <si>
    <t>15.03.2026 22:34:41</t>
  </si>
  <si>
    <t>14:22</t>
  </si>
  <si>
    <t>15794</t>
  </si>
  <si>
    <t>15.03.2026 02:08:21</t>
  </si>
  <si>
    <t>15.03.2026 23:09:26</t>
  </si>
  <si>
    <t>15.03.2026 03:15:36</t>
  </si>
  <si>
    <t>15.03.2026 11:58:15</t>
  </si>
  <si>
    <t>15.03.2026 06:59:29</t>
  </si>
  <si>
    <t>15.03.2026 16:59:57</t>
  </si>
  <si>
    <t>15.03.2026 00:06:14</t>
  </si>
  <si>
    <t>15.03.2026 19:52:12</t>
  </si>
  <si>
    <t>17:01</t>
  </si>
  <si>
    <t>4029</t>
  </si>
  <si>
    <t>15.03.2026 06:06:50</t>
  </si>
  <si>
    <t>15.03.2026 21:34:45</t>
  </si>
  <si>
    <t>15:28</t>
  </si>
  <si>
    <t>15.03.2026 23:53:22</t>
  </si>
  <si>
    <t>15.03.2026 05:40:56</t>
  </si>
  <si>
    <t>15.03.2026 21:08:38</t>
  </si>
  <si>
    <t>6868</t>
  </si>
  <si>
    <t>6877</t>
  </si>
  <si>
    <t>15.03.2026 11:31:29</t>
  </si>
  <si>
    <t>23:33</t>
  </si>
  <si>
    <t>15.03.2026 07:06:58</t>
  </si>
  <si>
    <t>15.03.2026 19:30:04</t>
  </si>
  <si>
    <t>15.03.2026 19:58:26</t>
  </si>
  <si>
    <t>159880</t>
  </si>
  <si>
    <t>160555</t>
  </si>
  <si>
    <t>33.23</t>
  </si>
  <si>
    <t>15.03.2026 08:41:20</t>
  </si>
  <si>
    <t>15.03.2026 17:46:18</t>
  </si>
  <si>
    <t>112643</t>
  </si>
  <si>
    <t>112872</t>
  </si>
  <si>
    <t>22.86</t>
  </si>
  <si>
    <t>15.03.2026 23:34:30</t>
  </si>
  <si>
    <t>19:45</t>
  </si>
  <si>
    <t>15.03.2026 13:27:02</t>
  </si>
  <si>
    <t>15.03.2026 22:34:36</t>
  </si>
  <si>
    <t>15.03.2026 00:14:37</t>
  </si>
  <si>
    <t>15.03.2026 14:07:41</t>
  </si>
  <si>
    <t>15.03.2026 21:05:21</t>
  </si>
  <si>
    <t>15706</t>
  </si>
  <si>
    <t>15715</t>
  </si>
  <si>
    <t>15.03.2026 23:45:43</t>
  </si>
  <si>
    <t>7005</t>
  </si>
  <si>
    <t>7020</t>
  </si>
  <si>
    <t>15.03.2026 14:25:39</t>
  </si>
  <si>
    <t>15.03.2026 21:36:18</t>
  </si>
  <si>
    <t>06:40</t>
  </si>
  <si>
    <t>167664</t>
  </si>
  <si>
    <t>167837</t>
  </si>
  <si>
    <t>65.18</t>
  </si>
  <si>
    <t>15.03.2026 06:23:28</t>
  </si>
  <si>
    <t>15.03.2026 18:52:36</t>
  </si>
  <si>
    <t>12:26</t>
  </si>
  <si>
    <t>15.03.2026 10:46:18</t>
  </si>
  <si>
    <t>15.03.2026 21:52:41</t>
  </si>
  <si>
    <t>15.03.2026 06:23:30</t>
  </si>
  <si>
    <t>15.03.2026 18:57:25</t>
  </si>
  <si>
    <t>450407</t>
  </si>
  <si>
    <t>451217</t>
  </si>
  <si>
    <t>1024</t>
  </si>
  <si>
    <t>318</t>
  </si>
  <si>
    <t>42.75</t>
  </si>
  <si>
    <t>15.03.2026 13:03:28</t>
  </si>
  <si>
    <t>15.03.2026 21:09:27</t>
  </si>
  <si>
    <t>15.03.2026 08:22:18</t>
  </si>
  <si>
    <t>15.03.2026 11:01:06</t>
  </si>
  <si>
    <t>15.03.2026 00:31:14</t>
  </si>
  <si>
    <t>15.03.2026 17:58:48</t>
  </si>
  <si>
    <t>17:17</t>
  </si>
  <si>
    <t>15.03.2026 05:42:33</t>
  </si>
  <si>
    <t>15.03.2026 18:23:04</t>
  </si>
  <si>
    <t>15.03.2026 06:30:32</t>
  </si>
  <si>
    <t>15.03.2026 22:33:40</t>
  </si>
  <si>
    <t>4559</t>
  </si>
  <si>
    <t>15.03.2026 03:55:47</t>
  </si>
  <si>
    <t>15.03.2026 16:25:32</t>
  </si>
  <si>
    <t>350713</t>
  </si>
  <si>
    <t>351349</t>
  </si>
  <si>
    <t>746</t>
  </si>
  <si>
    <t>38.4</t>
  </si>
  <si>
    <t>15.03.2026 08:02:57</t>
  </si>
  <si>
    <t>15.03.2026 19:31:18</t>
  </si>
  <si>
    <t>06:50</t>
  </si>
  <si>
    <t>146851</t>
  </si>
  <si>
    <t>146939</t>
  </si>
  <si>
    <t>30.99</t>
  </si>
  <si>
    <t>15.03.2026 17:57:02</t>
  </si>
  <si>
    <t>246555</t>
  </si>
  <si>
    <t>247084</t>
  </si>
  <si>
    <t>23.28</t>
  </si>
  <si>
    <t>15.03.2026 00:27:36</t>
  </si>
  <si>
    <t>15.03.2026 20:39:30</t>
  </si>
  <si>
    <t>13:25</t>
  </si>
  <si>
    <t>5296</t>
  </si>
  <si>
    <t>15.03.2026 17:26:44</t>
  </si>
  <si>
    <t>19:34</t>
  </si>
  <si>
    <t>4745</t>
  </si>
  <si>
    <t>15.03.2026 07:11:12</t>
  </si>
  <si>
    <t>2869</t>
  </si>
  <si>
    <t>15.03.2026 07:09:19</t>
  </si>
  <si>
    <t>15.03.2026 18:04:53</t>
  </si>
  <si>
    <t>05:31</t>
  </si>
  <si>
    <t>401776</t>
  </si>
  <si>
    <t>402133</t>
  </si>
  <si>
    <t>-234</t>
  </si>
  <si>
    <t>10.77</t>
  </si>
  <si>
    <t>15.03.2026 20:11:22</t>
  </si>
  <si>
    <t>255332</t>
  </si>
  <si>
    <t>255589</t>
  </si>
  <si>
    <t>13.48</t>
  </si>
  <si>
    <t>15.03.2026 05:57:13</t>
  </si>
  <si>
    <t>15.03.2026 17:57:40</t>
  </si>
  <si>
    <t>16:43</t>
  </si>
  <si>
    <t>6091</t>
  </si>
  <si>
    <t>15.03.2026 09:53:47</t>
  </si>
  <si>
    <t>11:01</t>
  </si>
  <si>
    <t>222562</t>
  </si>
  <si>
    <t>223426</t>
  </si>
  <si>
    <t>44.15</t>
  </si>
  <si>
    <t>15.03.2026 05:04:16</t>
  </si>
  <si>
    <t>15.03.2026 18:27:25</t>
  </si>
  <si>
    <t>288754</t>
  </si>
  <si>
    <t>289285</t>
  </si>
  <si>
    <t>37.53</t>
  </si>
  <si>
    <t>15.03.2026 17:05:42</t>
  </si>
  <si>
    <t>05:09</t>
  </si>
  <si>
    <t>304525</t>
  </si>
  <si>
    <t>304933</t>
  </si>
  <si>
    <t>27.88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</si>
</sst>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u/>
      <sz val="12"/>
      <color indexed="4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3" fillId="2" borderId="0" xfId="0" applyFont="1" applyFill="1"/>
    <xf numFmtId="0" fontId="3" fillId="0" borderId="0" xfId="0" applyFont="1"/>
    <xf numFmtId="0" fontId="1" fillId="0" borderId="0" xfId="0" applyFont="1"/>
    <xf numFmtId="0" fontId="4" fillId="0" borderId="0" xfId="0" applyFont="1"/>
    <xf numFmtId="0" fontId="0" fillId="0" borderId="1" xfId="0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6" fillId="3" borderId="2" xfId="0" applyFont="1" applyFill="1" applyBorder="1"/>
    <xf numFmtId="0" fontId="6" fillId="3" borderId="3" xfId="0" applyFont="1" applyFill="1" applyBorder="1"/>
    <xf numFmtId="0" fontId="6" fillId="3" borderId="4" xfId="0" applyFont="1" applyFill="1" applyBorder="1"/>
    <xf numFmtId="14" fontId="0" fillId="0" borderId="2" xfId="0" applyNumberFormat="1" applyBorder="1"/>
  </cellXfs>
  <cellStyles count="2">
    <cellStyle name="Обычный" xfId="0" builtinId="0"/>
    <cellStyle name="Обычный 2" xfId="1" xr:uid="{14C6D4B6-E634-4522-8371-6807603AB77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554-FC90-4BCB-BC24-35E656D0F9A8}">
  <sheetPr codeName="Лист2"/>
  <dimension ref="A1:AR732"/>
  <sheetViews>
    <sheetView tabSelected="1" topLeftCell="A712" workbookViewId="0">
      <selection activeCell="J719" sqref="J719"/>
    </sheetView>
  </sheetViews>
  <sheetFormatPr defaultRowHeight="15" x14ac:dyDescent="0.25"/>
  <cols>
    <col min="1" max="1" width="10.140625" bestFit="1" customWidth="1"/>
    <col min="2" max="2" width="30.7109375" bestFit="1" customWidth="1"/>
    <col min="3" max="3" width="16" bestFit="1" customWidth="1"/>
    <col min="4" max="4" width="18" bestFit="1" customWidth="1"/>
    <col min="5" max="5" width="13.28515625" bestFit="1" customWidth="1"/>
    <col min="6" max="6" width="17.85546875" bestFit="1" customWidth="1"/>
    <col min="7" max="7" width="20" bestFit="1" customWidth="1"/>
    <col min="8" max="8" width="23.7109375" bestFit="1" customWidth="1"/>
    <col min="9" max="9" width="21.140625" bestFit="1" customWidth="1"/>
    <col min="10" max="10" width="51.42578125" bestFit="1" customWidth="1"/>
    <col min="11" max="11" width="21.140625" bestFit="1" customWidth="1"/>
    <col min="12" max="12" width="51.42578125" bestFit="1" customWidth="1"/>
    <col min="13" max="13" width="26.42578125" bestFit="1" customWidth="1"/>
    <col min="14" max="14" width="24.140625" bestFit="1" customWidth="1"/>
    <col min="15" max="15" width="29" bestFit="1" customWidth="1"/>
    <col min="16" max="16" width="28.7109375" bestFit="1" customWidth="1"/>
    <col min="17" max="17" width="26.7109375" bestFit="1" customWidth="1"/>
    <col min="18" max="18" width="31.5703125" bestFit="1" customWidth="1"/>
    <col min="19" max="19" width="17.140625" bestFit="1" customWidth="1"/>
    <col min="20" max="20" width="16.28515625" bestFit="1" customWidth="1"/>
    <col min="21" max="21" width="22.5703125" bestFit="1" customWidth="1"/>
    <col min="22" max="22" width="26.140625" bestFit="1" customWidth="1"/>
    <col min="23" max="23" width="25.42578125" bestFit="1" customWidth="1"/>
    <col min="24" max="24" width="35.5703125" bestFit="1" customWidth="1"/>
    <col min="25" max="25" width="31.42578125" bestFit="1" customWidth="1"/>
    <col min="26" max="26" width="27.42578125" bestFit="1" customWidth="1"/>
    <col min="27" max="27" width="26.5703125" bestFit="1" customWidth="1"/>
    <col min="28" max="28" width="25" bestFit="1" customWidth="1"/>
    <col min="29" max="29" width="29.28515625" bestFit="1" customWidth="1"/>
    <col min="30" max="30" width="22.85546875" bestFit="1" customWidth="1"/>
    <col min="31" max="31" width="16" bestFit="1" customWidth="1"/>
    <col min="32" max="32" width="30.5703125" bestFit="1" customWidth="1"/>
    <col min="33" max="33" width="17.42578125" bestFit="1" customWidth="1"/>
    <col min="34" max="34" width="28" bestFit="1" customWidth="1"/>
    <col min="35" max="35" width="29.85546875" bestFit="1" customWidth="1"/>
    <col min="36" max="36" width="30.7109375" bestFit="1" customWidth="1"/>
    <col min="37" max="37" width="35.28515625" bestFit="1" customWidth="1"/>
    <col min="38" max="38" width="28.7109375" bestFit="1" customWidth="1"/>
    <col min="39" max="39" width="32.28515625" bestFit="1" customWidth="1"/>
    <col min="40" max="40" width="21.5703125" bestFit="1" customWidth="1"/>
    <col min="41" max="41" width="22" bestFit="1" customWidth="1"/>
    <col min="42" max="42" width="19.7109375" bestFit="1" customWidth="1"/>
    <col min="43" max="44" width="20" bestFit="1" customWidth="1"/>
  </cols>
  <sheetData>
    <row r="1" spans="1:44" x14ac:dyDescent="0.25">
      <c r="A1" s="7" t="s">
        <v>1667</v>
      </c>
      <c r="B1" s="8" t="s">
        <v>1666</v>
      </c>
      <c r="C1" s="8" t="s">
        <v>1665</v>
      </c>
      <c r="D1" s="8" t="s">
        <v>1664</v>
      </c>
      <c r="E1" s="8" t="s">
        <v>1663</v>
      </c>
      <c r="F1" s="8" t="s">
        <v>1662</v>
      </c>
      <c r="G1" s="8" t="s">
        <v>1661</v>
      </c>
      <c r="H1" s="8" t="s">
        <v>1660</v>
      </c>
      <c r="I1" s="8" t="s">
        <v>1659</v>
      </c>
      <c r="J1" s="8" t="s">
        <v>1658</v>
      </c>
      <c r="K1" s="8" t="s">
        <v>1657</v>
      </c>
      <c r="L1" s="8" t="s">
        <v>1656</v>
      </c>
      <c r="M1" s="8" t="s">
        <v>1655</v>
      </c>
      <c r="N1" s="8" t="s">
        <v>1654</v>
      </c>
      <c r="O1" s="8" t="s">
        <v>1653</v>
      </c>
      <c r="P1" s="8" t="s">
        <v>1652</v>
      </c>
      <c r="Q1" s="8" t="s">
        <v>1651</v>
      </c>
      <c r="R1" s="8" t="s">
        <v>1650</v>
      </c>
      <c r="S1" s="8" t="s">
        <v>1649</v>
      </c>
      <c r="T1" s="8" t="s">
        <v>1648</v>
      </c>
      <c r="U1" s="8" t="s">
        <v>1647</v>
      </c>
      <c r="V1" s="8" t="s">
        <v>1646</v>
      </c>
      <c r="W1" s="8" t="s">
        <v>1645</v>
      </c>
      <c r="X1" s="8" t="s">
        <v>1644</v>
      </c>
      <c r="Y1" s="8" t="s">
        <v>1643</v>
      </c>
      <c r="Z1" s="8" t="s">
        <v>1642</v>
      </c>
      <c r="AA1" s="8" t="s">
        <v>1641</v>
      </c>
      <c r="AB1" s="8" t="s">
        <v>1640</v>
      </c>
      <c r="AC1" s="8" t="s">
        <v>1639</v>
      </c>
      <c r="AD1" s="8" t="s">
        <v>1638</v>
      </c>
      <c r="AE1" s="8" t="s">
        <v>1637</v>
      </c>
      <c r="AF1" s="8" t="s">
        <v>1636</v>
      </c>
      <c r="AG1" s="8" t="s">
        <v>1635</v>
      </c>
      <c r="AH1" s="8" t="s">
        <v>1634</v>
      </c>
      <c r="AI1" s="8" t="s">
        <v>1633</v>
      </c>
      <c r="AJ1" s="8" t="s">
        <v>1632</v>
      </c>
      <c r="AK1" s="8" t="s">
        <v>1631</v>
      </c>
      <c r="AL1" s="8" t="s">
        <v>1630</v>
      </c>
      <c r="AM1" s="8" t="s">
        <v>1629</v>
      </c>
      <c r="AN1" s="8" t="s">
        <v>1628</v>
      </c>
      <c r="AO1" s="8" t="s">
        <v>1627</v>
      </c>
      <c r="AP1" s="8" t="s">
        <v>1626</v>
      </c>
      <c r="AQ1" s="8" t="s">
        <v>1625</v>
      </c>
      <c r="AR1" s="9" t="s">
        <v>1624</v>
      </c>
    </row>
    <row r="2" spans="1:44" ht="31.5" x14ac:dyDescent="0.25">
      <c r="A2" s="10">
        <v>46096</v>
      </c>
      <c r="B2" s="5" t="s">
        <v>1341</v>
      </c>
      <c r="C2" s="5" t="s">
        <v>1908</v>
      </c>
      <c r="D2" s="5" t="s">
        <v>11</v>
      </c>
      <c r="E2" s="5" t="s">
        <v>6</v>
      </c>
      <c r="F2" s="5" t="s">
        <v>6</v>
      </c>
      <c r="G2" s="5" t="s">
        <v>3096</v>
      </c>
      <c r="H2" s="5" t="s">
        <v>3097</v>
      </c>
      <c r="I2" s="6" t="str">
        <f>HYPERLINK("http://maps.yandex.ru/?ll=43.888317,48.67625&amp;spn=0.011598,0.004531&amp;z=17&amp;l=map&amp;pt=43.888317,48.67625", "48.676254//43.888317")</f>
        <v>48.676254//43.888317</v>
      </c>
      <c r="J2" s="5" t="s">
        <v>95</v>
      </c>
      <c r="K2" s="6" t="str">
        <f>HYPERLINK("http://maps.yandex.ru/?ll=39.950546,47.3467&amp;spn=0.011598,0.004531&amp;z=17&amp;l=map&amp;pt=39.950546,47.3467", "47.34676//39.950546")</f>
        <v>47.34676//39.950546</v>
      </c>
      <c r="L2" s="5" t="s">
        <v>64</v>
      </c>
      <c r="M2" s="5" t="s">
        <v>3098</v>
      </c>
      <c r="N2" s="5" t="s">
        <v>907</v>
      </c>
      <c r="O2" s="5" t="s">
        <v>1308</v>
      </c>
      <c r="P2" s="5">
        <v>23</v>
      </c>
      <c r="Q2" s="5">
        <v>54</v>
      </c>
      <c r="R2" s="5">
        <v>23</v>
      </c>
      <c r="S2" s="5">
        <v>363.76900000000001</v>
      </c>
      <c r="T2" s="5" t="s">
        <v>12</v>
      </c>
      <c r="U2" s="5" t="s">
        <v>12</v>
      </c>
      <c r="V2" s="5" t="s">
        <v>12</v>
      </c>
      <c r="W2" s="5">
        <v>15.16</v>
      </c>
      <c r="X2" s="5">
        <v>66.17</v>
      </c>
      <c r="Y2" s="5">
        <v>99</v>
      </c>
      <c r="Z2" s="5" t="s">
        <v>1669</v>
      </c>
      <c r="AA2" s="5" t="s">
        <v>1774</v>
      </c>
      <c r="AB2" s="5" t="s">
        <v>19</v>
      </c>
      <c r="AC2" s="5" t="s">
        <v>19</v>
      </c>
      <c r="AD2" s="5" t="s">
        <v>19</v>
      </c>
      <c r="AE2" s="5" t="s">
        <v>1673</v>
      </c>
      <c r="AF2" s="5" t="s">
        <v>12</v>
      </c>
      <c r="AG2" s="5"/>
      <c r="AH2" s="5"/>
      <c r="AI2" s="5"/>
      <c r="AJ2" s="5"/>
      <c r="AK2" s="5"/>
      <c r="AL2" s="5" t="s">
        <v>12</v>
      </c>
      <c r="AM2" s="5" t="s">
        <v>12</v>
      </c>
      <c r="AN2" s="5" t="s">
        <v>12</v>
      </c>
      <c r="AO2" s="5" t="s">
        <v>69</v>
      </c>
      <c r="AP2" s="5" t="s">
        <v>68</v>
      </c>
      <c r="AQ2" s="5" t="s">
        <v>99</v>
      </c>
      <c r="AR2" s="5" t="s">
        <v>98</v>
      </c>
    </row>
    <row r="3" spans="1:44" ht="15.75" x14ac:dyDescent="0.25">
      <c r="A3" s="10">
        <v>46096</v>
      </c>
      <c r="B3" s="5" t="s">
        <v>1339</v>
      </c>
      <c r="C3" s="5" t="s">
        <v>1909</v>
      </c>
      <c r="D3" s="5" t="s">
        <v>11</v>
      </c>
      <c r="E3" s="5" t="s">
        <v>4</v>
      </c>
      <c r="F3" s="5" t="s">
        <v>4</v>
      </c>
      <c r="G3" s="5" t="s">
        <v>11</v>
      </c>
      <c r="H3" s="5" t="s">
        <v>11</v>
      </c>
      <c r="I3" s="6" t="str">
        <f>HYPERLINK("http://maps.yandex.ru/?ll=,&amp;spn=0.011598,0.004531&amp;z=17&amp;l=map&amp;pt=,", "")</f>
        <v/>
      </c>
      <c r="J3" s="5" t="s">
        <v>84</v>
      </c>
      <c r="K3" s="6" t="str">
        <f>HYPERLINK("http://maps.yandex.ru/?ll=,&amp;spn=0.011598,0.004531&amp;z=17&amp;l=map&amp;pt=,", "")</f>
        <v/>
      </c>
      <c r="L3" s="5" t="s">
        <v>84</v>
      </c>
      <c r="M3" s="5" t="s">
        <v>13</v>
      </c>
      <c r="N3" s="5" t="s">
        <v>13</v>
      </c>
      <c r="O3" s="5" t="s">
        <v>58</v>
      </c>
      <c r="P3" s="5">
        <v>0</v>
      </c>
      <c r="Q3" s="5">
        <v>0</v>
      </c>
      <c r="R3" s="5">
        <v>100</v>
      </c>
      <c r="S3" s="5">
        <v>0</v>
      </c>
      <c r="T3" s="5" t="s">
        <v>12</v>
      </c>
      <c r="U3" s="5" t="s">
        <v>12</v>
      </c>
      <c r="V3" s="5" t="s">
        <v>12</v>
      </c>
      <c r="W3" s="5">
        <v>0</v>
      </c>
      <c r="X3" s="5">
        <v>0</v>
      </c>
      <c r="Y3" s="5">
        <v>0</v>
      </c>
      <c r="Z3" s="5" t="s">
        <v>12</v>
      </c>
      <c r="AA3" s="5" t="s">
        <v>12</v>
      </c>
      <c r="AB3" s="5" t="s">
        <v>19</v>
      </c>
      <c r="AC3" s="5" t="s">
        <v>19</v>
      </c>
      <c r="AD3" s="5" t="s">
        <v>19</v>
      </c>
      <c r="AE3" s="5" t="s">
        <v>12</v>
      </c>
      <c r="AF3" s="5" t="s">
        <v>12</v>
      </c>
      <c r="AG3" s="5"/>
      <c r="AH3" s="5"/>
      <c r="AI3" s="5"/>
      <c r="AJ3" s="5"/>
      <c r="AK3" s="5"/>
      <c r="AL3" s="5" t="s">
        <v>12</v>
      </c>
      <c r="AM3" s="5" t="s">
        <v>12</v>
      </c>
      <c r="AN3" s="5" t="s">
        <v>12</v>
      </c>
      <c r="AO3" s="5" t="s">
        <v>69</v>
      </c>
      <c r="AP3" s="5" t="s">
        <v>68</v>
      </c>
      <c r="AQ3" s="5" t="s">
        <v>99</v>
      </c>
      <c r="AR3" s="5" t="s">
        <v>98</v>
      </c>
    </row>
    <row r="4" spans="1:44" ht="15.75" x14ac:dyDescent="0.25">
      <c r="A4" s="10">
        <v>46096</v>
      </c>
      <c r="B4" s="5" t="s">
        <v>1338</v>
      </c>
      <c r="C4" s="5" t="s">
        <v>1911</v>
      </c>
      <c r="D4" s="5" t="s">
        <v>11</v>
      </c>
      <c r="E4" s="5" t="s">
        <v>8</v>
      </c>
      <c r="F4" s="5" t="s">
        <v>8</v>
      </c>
      <c r="G4" s="5" t="s">
        <v>11</v>
      </c>
      <c r="H4" s="5" t="s">
        <v>11</v>
      </c>
      <c r="I4" s="6" t="str">
        <f>HYPERLINK("http://maps.yandex.ru/?ll=,&amp;spn=0.011598,0.004531&amp;z=17&amp;l=map&amp;pt=,", "")</f>
        <v/>
      </c>
      <c r="J4" s="5" t="s">
        <v>84</v>
      </c>
      <c r="K4" s="6" t="str">
        <f>HYPERLINK("http://maps.yandex.ru/?ll=,&amp;spn=0.011598,0.004531&amp;z=17&amp;l=map&amp;pt=,", "")</f>
        <v/>
      </c>
      <c r="L4" s="5" t="s">
        <v>84</v>
      </c>
      <c r="M4" s="5" t="s">
        <v>13</v>
      </c>
      <c r="N4" s="5" t="s">
        <v>58</v>
      </c>
      <c r="O4" s="5" t="s">
        <v>13</v>
      </c>
      <c r="P4" s="5">
        <v>0</v>
      </c>
      <c r="Q4" s="5">
        <v>100</v>
      </c>
      <c r="R4" s="5">
        <v>0</v>
      </c>
      <c r="S4" s="5">
        <v>0</v>
      </c>
      <c r="T4" s="5" t="s">
        <v>12</v>
      </c>
      <c r="U4" s="5" t="s">
        <v>12</v>
      </c>
      <c r="V4" s="5" t="s">
        <v>12</v>
      </c>
      <c r="W4" s="5">
        <v>0</v>
      </c>
      <c r="X4" s="5">
        <v>0</v>
      </c>
      <c r="Y4" s="5">
        <v>0</v>
      </c>
      <c r="Z4" s="5" t="s">
        <v>1912</v>
      </c>
      <c r="AA4" s="5" t="s">
        <v>2391</v>
      </c>
      <c r="AB4" s="5" t="s">
        <v>19</v>
      </c>
      <c r="AC4" s="5" t="s">
        <v>19</v>
      </c>
      <c r="AD4" s="5" t="s">
        <v>19</v>
      </c>
      <c r="AE4" s="5" t="s">
        <v>1935</v>
      </c>
      <c r="AF4" s="5" t="s">
        <v>12</v>
      </c>
      <c r="AG4" s="5"/>
      <c r="AH4" s="5"/>
      <c r="AI4" s="5"/>
      <c r="AJ4" s="5"/>
      <c r="AK4" s="5"/>
      <c r="AL4" s="5" t="s">
        <v>1913</v>
      </c>
      <c r="AM4" s="5" t="s">
        <v>3099</v>
      </c>
      <c r="AN4" s="5" t="s">
        <v>1756</v>
      </c>
      <c r="AO4" s="5" t="s">
        <v>115</v>
      </c>
      <c r="AP4" s="5" t="s">
        <v>114</v>
      </c>
      <c r="AQ4" s="5" t="s">
        <v>99</v>
      </c>
      <c r="AR4" s="5" t="s">
        <v>98</v>
      </c>
    </row>
    <row r="5" spans="1:44" ht="31.5" x14ac:dyDescent="0.25">
      <c r="A5" s="10">
        <v>46096</v>
      </c>
      <c r="B5" s="5" t="s">
        <v>1337</v>
      </c>
      <c r="C5" s="5" t="s">
        <v>1914</v>
      </c>
      <c r="D5" s="5" t="s">
        <v>11</v>
      </c>
      <c r="E5" s="5" t="s">
        <v>8</v>
      </c>
      <c r="F5" s="5" t="s">
        <v>8</v>
      </c>
      <c r="G5" s="5" t="s">
        <v>3100</v>
      </c>
      <c r="H5" s="5" t="s">
        <v>3101</v>
      </c>
      <c r="I5" s="6" t="str">
        <f>HYPERLINK("http://maps.yandex.ru/?ll=38.18368,56.36256&amp;spn=0.011598,0.004531&amp;z=17&amp;l=map&amp;pt=38.18368,56.36256", "56.362568//38.18368")</f>
        <v>56.362568//38.18368</v>
      </c>
      <c r="J5" s="5" t="s">
        <v>56</v>
      </c>
      <c r="K5" s="6" t="str">
        <f>HYPERLINK("http://maps.yandex.ru/?ll=40.115368,56.05778&amp;spn=0.011598,0.004531&amp;z=17&amp;l=map&amp;pt=40.115368,56.05778", "56.057785//40.115368")</f>
        <v>56.057785//40.115368</v>
      </c>
      <c r="L5" s="5" t="s">
        <v>49</v>
      </c>
      <c r="M5" s="5" t="s">
        <v>914</v>
      </c>
      <c r="N5" s="5" t="s">
        <v>3102</v>
      </c>
      <c r="O5" s="5" t="s">
        <v>13</v>
      </c>
      <c r="P5" s="5">
        <v>9</v>
      </c>
      <c r="Q5" s="5">
        <v>91</v>
      </c>
      <c r="R5" s="5">
        <v>0</v>
      </c>
      <c r="S5" s="5">
        <v>155.256</v>
      </c>
      <c r="T5" s="5" t="s">
        <v>12</v>
      </c>
      <c r="U5" s="5" t="s">
        <v>12</v>
      </c>
      <c r="V5" s="5" t="s">
        <v>12</v>
      </c>
      <c r="W5" s="5">
        <v>6.47</v>
      </c>
      <c r="X5" s="5">
        <v>71.569999999999993</v>
      </c>
      <c r="Y5" s="5">
        <v>109</v>
      </c>
      <c r="Z5" s="5" t="s">
        <v>1670</v>
      </c>
      <c r="AA5" s="5" t="s">
        <v>1670</v>
      </c>
      <c r="AB5" s="5" t="s">
        <v>19</v>
      </c>
      <c r="AC5" s="5" t="s">
        <v>19</v>
      </c>
      <c r="AD5" s="5" t="s">
        <v>19</v>
      </c>
      <c r="AE5" s="5" t="s">
        <v>19</v>
      </c>
      <c r="AF5" s="5" t="s">
        <v>12</v>
      </c>
      <c r="AG5" s="5"/>
      <c r="AH5" s="5"/>
      <c r="AI5" s="5"/>
      <c r="AJ5" s="5"/>
      <c r="AK5" s="5"/>
      <c r="AL5" s="5" t="s">
        <v>12</v>
      </c>
      <c r="AM5" s="5" t="s">
        <v>12</v>
      </c>
      <c r="AN5" s="5" t="s">
        <v>12</v>
      </c>
      <c r="AO5" s="5" t="s">
        <v>115</v>
      </c>
      <c r="AP5" s="5" t="s">
        <v>114</v>
      </c>
      <c r="AQ5" s="5" t="s">
        <v>99</v>
      </c>
      <c r="AR5" s="5" t="s">
        <v>98</v>
      </c>
    </row>
    <row r="6" spans="1:44" ht="31.5" x14ac:dyDescent="0.25">
      <c r="A6" s="10">
        <v>46096</v>
      </c>
      <c r="B6" s="5" t="s">
        <v>1336</v>
      </c>
      <c r="C6" s="5" t="s">
        <v>1915</v>
      </c>
      <c r="D6" s="5" t="s">
        <v>11</v>
      </c>
      <c r="E6" s="5" t="s">
        <v>8</v>
      </c>
      <c r="F6" s="5" t="s">
        <v>8</v>
      </c>
      <c r="G6" s="5" t="s">
        <v>3103</v>
      </c>
      <c r="H6" s="5" t="s">
        <v>3104</v>
      </c>
      <c r="I6" s="6" t="str">
        <f>HYPERLINK("http://maps.yandex.ru/?ll=38.267815,55.59750&amp;spn=0.011598,0.004531&amp;z=17&amp;l=map&amp;pt=38.267815,55.59750", "55.597507//38.267815")</f>
        <v>55.597507//38.267815</v>
      </c>
      <c r="J6" s="5" t="s">
        <v>56</v>
      </c>
      <c r="K6" s="6" t="str">
        <f>HYPERLINK("http://maps.yandex.ru/?ll=38.32744,55.91053&amp;spn=0.011598,0.004531&amp;z=17&amp;l=map&amp;pt=38.32744,55.91053", "55.910534//38.32744")</f>
        <v>55.910534//38.32744</v>
      </c>
      <c r="L6" s="5" t="s">
        <v>56</v>
      </c>
      <c r="M6" s="5" t="s">
        <v>1085</v>
      </c>
      <c r="N6" s="5" t="s">
        <v>13</v>
      </c>
      <c r="O6" s="5" t="s">
        <v>3105</v>
      </c>
      <c r="P6" s="5">
        <v>19</v>
      </c>
      <c r="Q6" s="5">
        <v>0</v>
      </c>
      <c r="R6" s="5">
        <v>81</v>
      </c>
      <c r="S6" s="5">
        <v>879.72799999999995</v>
      </c>
      <c r="T6" s="5" t="s">
        <v>12</v>
      </c>
      <c r="U6" s="5" t="s">
        <v>12</v>
      </c>
      <c r="V6" s="5" t="s">
        <v>12</v>
      </c>
      <c r="W6" s="5">
        <v>36.659999999999997</v>
      </c>
      <c r="X6" s="5">
        <v>191.12</v>
      </c>
      <c r="Y6" s="5">
        <v>99</v>
      </c>
      <c r="Z6" s="5" t="s">
        <v>1559</v>
      </c>
      <c r="AA6" s="5" t="s">
        <v>2081</v>
      </c>
      <c r="AB6" s="5" t="s">
        <v>19</v>
      </c>
      <c r="AC6" s="5" t="s">
        <v>19</v>
      </c>
      <c r="AD6" s="5" t="s">
        <v>19</v>
      </c>
      <c r="AE6" s="5" t="s">
        <v>1777</v>
      </c>
      <c r="AF6" s="5" t="s">
        <v>12</v>
      </c>
      <c r="AG6" s="5"/>
      <c r="AH6" s="5"/>
      <c r="AI6" s="5"/>
      <c r="AJ6" s="5"/>
      <c r="AK6" s="5"/>
      <c r="AL6" s="5" t="s">
        <v>12</v>
      </c>
      <c r="AM6" s="5" t="s">
        <v>12</v>
      </c>
      <c r="AN6" s="5" t="s">
        <v>12</v>
      </c>
      <c r="AO6" s="5" t="s">
        <v>115</v>
      </c>
      <c r="AP6" s="5" t="s">
        <v>114</v>
      </c>
      <c r="AQ6" s="5" t="s">
        <v>99</v>
      </c>
      <c r="AR6" s="5" t="s">
        <v>98</v>
      </c>
    </row>
    <row r="7" spans="1:44" ht="31.5" x14ac:dyDescent="0.25">
      <c r="A7" s="10">
        <v>46096</v>
      </c>
      <c r="B7" s="5" t="s">
        <v>1334</v>
      </c>
      <c r="C7" s="5" t="s">
        <v>1917</v>
      </c>
      <c r="D7" s="5" t="s">
        <v>11</v>
      </c>
      <c r="E7" s="5" t="s">
        <v>6</v>
      </c>
      <c r="F7" s="5" t="s">
        <v>6</v>
      </c>
      <c r="G7" s="5" t="s">
        <v>3103</v>
      </c>
      <c r="H7" s="5" t="s">
        <v>3106</v>
      </c>
      <c r="I7" s="6" t="str">
        <f>HYPERLINK("http://maps.yandex.ru/?ll=46.12348,51.441&amp;spn=0.011598,0.004531&amp;z=17&amp;l=map&amp;pt=46.12348,51.441", "51.4415//46.12348")</f>
        <v>51.4415//46.12348</v>
      </c>
      <c r="J7" s="5" t="s">
        <v>213</v>
      </c>
      <c r="K7" s="6" t="str">
        <f>HYPERLINK("http://maps.yandex.ru/?ll=44.51303,48.78272&amp;spn=0.011598,0.004531&amp;z=17&amp;l=map&amp;pt=44.51303,48.78272", "48.782722//44.51303")</f>
        <v>48.782722//44.51303</v>
      </c>
      <c r="L7" s="5" t="s">
        <v>95</v>
      </c>
      <c r="M7" s="5" t="s">
        <v>3107</v>
      </c>
      <c r="N7" s="5" t="s">
        <v>124</v>
      </c>
      <c r="O7" s="5" t="s">
        <v>463</v>
      </c>
      <c r="P7" s="5">
        <v>41</v>
      </c>
      <c r="Q7" s="5">
        <v>41</v>
      </c>
      <c r="R7" s="5">
        <v>18</v>
      </c>
      <c r="S7" s="5">
        <v>522.30799999999999</v>
      </c>
      <c r="T7" s="5" t="s">
        <v>12</v>
      </c>
      <c r="U7" s="5" t="s">
        <v>12</v>
      </c>
      <c r="V7" s="5" t="s">
        <v>12</v>
      </c>
      <c r="W7" s="5">
        <v>21.76</v>
      </c>
      <c r="X7" s="5">
        <v>52.87</v>
      </c>
      <c r="Y7" s="5">
        <v>110</v>
      </c>
      <c r="Z7" s="5" t="s">
        <v>1530</v>
      </c>
      <c r="AA7" s="5" t="s">
        <v>1620</v>
      </c>
      <c r="AB7" s="5" t="s">
        <v>19</v>
      </c>
      <c r="AC7" s="5" t="s">
        <v>19</v>
      </c>
      <c r="AD7" s="5" t="s">
        <v>19</v>
      </c>
      <c r="AE7" s="5" t="s">
        <v>1671</v>
      </c>
      <c r="AF7" s="5" t="s">
        <v>12</v>
      </c>
      <c r="AG7" s="5"/>
      <c r="AH7" s="5"/>
      <c r="AI7" s="5"/>
      <c r="AJ7" s="5"/>
      <c r="AK7" s="5"/>
      <c r="AL7" s="5" t="s">
        <v>1332</v>
      </c>
      <c r="AM7" s="5" t="s">
        <v>2151</v>
      </c>
      <c r="AN7" s="5" t="s">
        <v>1673</v>
      </c>
      <c r="AO7" s="5" t="s">
        <v>115</v>
      </c>
      <c r="AP7" s="5" t="s">
        <v>114</v>
      </c>
      <c r="AQ7" s="5" t="s">
        <v>99</v>
      </c>
      <c r="AR7" s="5" t="s">
        <v>98</v>
      </c>
    </row>
    <row r="8" spans="1:44" ht="31.5" x14ac:dyDescent="0.25">
      <c r="A8" s="10">
        <v>46096</v>
      </c>
      <c r="B8" s="5" t="s">
        <v>1331</v>
      </c>
      <c r="C8" s="5" t="s">
        <v>1918</v>
      </c>
      <c r="D8" s="5" t="s">
        <v>11</v>
      </c>
      <c r="E8" s="5" t="s">
        <v>6</v>
      </c>
      <c r="F8" s="5" t="s">
        <v>6</v>
      </c>
      <c r="G8" s="5" t="s">
        <v>3103</v>
      </c>
      <c r="H8" s="5" t="s">
        <v>3108</v>
      </c>
      <c r="I8" s="6" t="str">
        <f>HYPERLINK("http://maps.yandex.ru/?ll=36.98818,56.2807&amp;spn=0.011598,0.004531&amp;z=17&amp;l=map&amp;pt=36.98818,56.2807", "56.28079//36.98818")</f>
        <v>56.28079//36.98818</v>
      </c>
      <c r="J8" s="5" t="s">
        <v>56</v>
      </c>
      <c r="K8" s="6" t="str">
        <f>HYPERLINK("http://maps.yandex.ru/?ll=32.554752,58.24551&amp;spn=0.011598,0.004531&amp;z=17&amp;l=map&amp;pt=32.554752,58.24551", "58.245518//32.554752")</f>
        <v>58.245518//32.554752</v>
      </c>
      <c r="L8" s="5" t="s">
        <v>148</v>
      </c>
      <c r="M8" s="5" t="s">
        <v>133</v>
      </c>
      <c r="N8" s="5" t="s">
        <v>3109</v>
      </c>
      <c r="O8" s="5" t="s">
        <v>3110</v>
      </c>
      <c r="P8" s="5">
        <v>29</v>
      </c>
      <c r="Q8" s="5">
        <v>47</v>
      </c>
      <c r="R8" s="5">
        <v>24</v>
      </c>
      <c r="S8" s="5">
        <v>402.214</v>
      </c>
      <c r="T8" s="5" t="s">
        <v>12</v>
      </c>
      <c r="U8" s="5" t="s">
        <v>12</v>
      </c>
      <c r="V8" s="5" t="s">
        <v>12</v>
      </c>
      <c r="W8" s="5">
        <v>16.760000000000002</v>
      </c>
      <c r="X8" s="5">
        <v>57.62</v>
      </c>
      <c r="Y8" s="5">
        <v>99</v>
      </c>
      <c r="Z8" s="5" t="s">
        <v>1610</v>
      </c>
      <c r="AA8" s="5" t="s">
        <v>2081</v>
      </c>
      <c r="AB8" s="5" t="s">
        <v>19</v>
      </c>
      <c r="AC8" s="5" t="s">
        <v>19</v>
      </c>
      <c r="AD8" s="5" t="s">
        <v>19</v>
      </c>
      <c r="AE8" s="5" t="s">
        <v>1677</v>
      </c>
      <c r="AF8" s="5" t="s">
        <v>12</v>
      </c>
      <c r="AG8" s="5"/>
      <c r="AH8" s="5"/>
      <c r="AI8" s="5"/>
      <c r="AJ8" s="5"/>
      <c r="AK8" s="5"/>
      <c r="AL8" s="5" t="s">
        <v>3111</v>
      </c>
      <c r="AM8" s="5" t="s">
        <v>3112</v>
      </c>
      <c r="AN8" s="5" t="s">
        <v>2195</v>
      </c>
      <c r="AO8" s="5" t="s">
        <v>115</v>
      </c>
      <c r="AP8" s="5" t="s">
        <v>114</v>
      </c>
      <c r="AQ8" s="5" t="s">
        <v>99</v>
      </c>
      <c r="AR8" s="5" t="s">
        <v>98</v>
      </c>
    </row>
    <row r="9" spans="1:44" ht="31.5" x14ac:dyDescent="0.25">
      <c r="A9" s="10">
        <v>46096</v>
      </c>
      <c r="B9" s="5" t="s">
        <v>1330</v>
      </c>
      <c r="C9" s="5" t="s">
        <v>1920</v>
      </c>
      <c r="D9" s="5" t="s">
        <v>11</v>
      </c>
      <c r="E9" s="5" t="s">
        <v>5</v>
      </c>
      <c r="F9" s="5" t="s">
        <v>5</v>
      </c>
      <c r="G9" s="5" t="s">
        <v>3113</v>
      </c>
      <c r="H9" s="5" t="s">
        <v>3114</v>
      </c>
      <c r="I9" s="6" t="str">
        <f>HYPERLINK("http://maps.yandex.ru/?ll=39.89102,55.9962&amp;spn=0.011598,0.004531&amp;z=17&amp;l=map&amp;pt=39.89102,55.9962", "55.99629//39.89102")</f>
        <v>55.99629//39.89102</v>
      </c>
      <c r="J9" s="5" t="s">
        <v>49</v>
      </c>
      <c r="K9" s="6" t="str">
        <f>HYPERLINK("http://maps.yandex.ru/?ll=38.319843,55.91794&amp;spn=0.011598,0.004531&amp;z=17&amp;l=map&amp;pt=38.319843,55.91794", "55.917946//38.319843")</f>
        <v>55.917946//38.319843</v>
      </c>
      <c r="L9" s="5" t="s">
        <v>56</v>
      </c>
      <c r="M9" s="5" t="s">
        <v>1085</v>
      </c>
      <c r="N9" s="5" t="s">
        <v>1364</v>
      </c>
      <c r="O9" s="5" t="s">
        <v>1356</v>
      </c>
      <c r="P9" s="5">
        <v>19</v>
      </c>
      <c r="Q9" s="5">
        <v>54</v>
      </c>
      <c r="R9" s="5">
        <v>27</v>
      </c>
      <c r="S9" s="5">
        <v>297.505</v>
      </c>
      <c r="T9" s="5" t="s">
        <v>3115</v>
      </c>
      <c r="U9" s="5" t="s">
        <v>3116</v>
      </c>
      <c r="V9" s="5" t="s">
        <v>3117</v>
      </c>
      <c r="W9" s="5">
        <v>12.4</v>
      </c>
      <c r="X9" s="5">
        <v>64.67</v>
      </c>
      <c r="Y9" s="5">
        <v>144</v>
      </c>
      <c r="Z9" s="5" t="s">
        <v>1921</v>
      </c>
      <c r="AA9" s="5" t="s">
        <v>3118</v>
      </c>
      <c r="AB9" s="5" t="s">
        <v>19</v>
      </c>
      <c r="AC9" s="5" t="s">
        <v>19</v>
      </c>
      <c r="AD9" s="5" t="s">
        <v>19</v>
      </c>
      <c r="AE9" s="5" t="s">
        <v>1973</v>
      </c>
      <c r="AF9" s="5" t="s">
        <v>3119</v>
      </c>
      <c r="AG9" s="5">
        <v>75</v>
      </c>
      <c r="AH9" s="5">
        <v>0</v>
      </c>
      <c r="AI9" s="5">
        <v>75</v>
      </c>
      <c r="AJ9" s="5">
        <v>26.69</v>
      </c>
      <c r="AK9" s="5">
        <v>26.69</v>
      </c>
      <c r="AL9" s="5" t="s">
        <v>12</v>
      </c>
      <c r="AM9" s="5" t="s">
        <v>12</v>
      </c>
      <c r="AN9" s="5" t="s">
        <v>12</v>
      </c>
      <c r="AO9" s="5" t="s">
        <v>11</v>
      </c>
      <c r="AP9" s="5" t="s">
        <v>11</v>
      </c>
      <c r="AQ9" s="5" t="s">
        <v>384</v>
      </c>
      <c r="AR9" s="5" t="s">
        <v>383</v>
      </c>
    </row>
    <row r="10" spans="1:44" ht="31.5" x14ac:dyDescent="0.25">
      <c r="A10" s="10">
        <v>46096</v>
      </c>
      <c r="B10" s="5" t="s">
        <v>1329</v>
      </c>
      <c r="C10" s="5" t="s">
        <v>1924</v>
      </c>
      <c r="D10" s="5" t="s">
        <v>11</v>
      </c>
      <c r="E10" s="5" t="s">
        <v>40</v>
      </c>
      <c r="F10" s="5" t="s">
        <v>11</v>
      </c>
      <c r="G10" s="5" t="s">
        <v>3120</v>
      </c>
      <c r="H10" s="5" t="s">
        <v>3121</v>
      </c>
      <c r="I10" s="6" t="str">
        <f>HYPERLINK("http://maps.yandex.ru/?ll=37.819565,55.3377&amp;spn=0.011598,0.004531&amp;z=17&amp;l=map&amp;pt=37.819565,55.3377", "55.33772//37.819565")</f>
        <v>55.33772//37.819565</v>
      </c>
      <c r="J10" s="5" t="s">
        <v>56</v>
      </c>
      <c r="K10" s="6" t="str">
        <f>HYPERLINK("http://maps.yandex.ru/?ll=39.93044,56.00835&amp;spn=0.011598,0.004531&amp;z=17&amp;l=map&amp;pt=39.93044,56.00835", "56.008354//39.93044")</f>
        <v>56.008354//39.93044</v>
      </c>
      <c r="L10" s="5" t="s">
        <v>49</v>
      </c>
      <c r="M10" s="5" t="s">
        <v>696</v>
      </c>
      <c r="N10" s="5" t="s">
        <v>3122</v>
      </c>
      <c r="O10" s="5" t="s">
        <v>238</v>
      </c>
      <c r="P10" s="5">
        <v>19</v>
      </c>
      <c r="Q10" s="5">
        <v>78</v>
      </c>
      <c r="R10" s="5">
        <v>3</v>
      </c>
      <c r="S10" s="5">
        <v>245.13</v>
      </c>
      <c r="T10" s="5" t="s">
        <v>1367</v>
      </c>
      <c r="U10" s="5" t="s">
        <v>3123</v>
      </c>
      <c r="V10" s="5" t="s">
        <v>3124</v>
      </c>
      <c r="W10" s="5">
        <v>10.210000000000001</v>
      </c>
      <c r="X10" s="5">
        <v>54.07</v>
      </c>
      <c r="Y10" s="5">
        <v>96</v>
      </c>
      <c r="Z10" s="5" t="s">
        <v>1925</v>
      </c>
      <c r="AA10" s="5" t="s">
        <v>3125</v>
      </c>
      <c r="AB10" s="5" t="s">
        <v>19</v>
      </c>
      <c r="AC10" s="5" t="s">
        <v>19</v>
      </c>
      <c r="AD10" s="5" t="s">
        <v>19</v>
      </c>
      <c r="AE10" s="5" t="s">
        <v>2731</v>
      </c>
      <c r="AF10" s="5" t="s">
        <v>3126</v>
      </c>
      <c r="AG10" s="5">
        <v>71</v>
      </c>
      <c r="AH10" s="5">
        <v>2</v>
      </c>
      <c r="AI10" s="5">
        <v>69</v>
      </c>
      <c r="AJ10" s="5">
        <v>24.23</v>
      </c>
      <c r="AK10" s="5">
        <v>23.55</v>
      </c>
      <c r="AL10" s="5" t="s">
        <v>12</v>
      </c>
      <c r="AM10" s="5" t="s">
        <v>12</v>
      </c>
      <c r="AN10" s="5" t="s">
        <v>12</v>
      </c>
      <c r="AO10" s="5" t="s">
        <v>11</v>
      </c>
      <c r="AP10" s="5" t="s">
        <v>11</v>
      </c>
      <c r="AQ10" s="5" t="s">
        <v>384</v>
      </c>
      <c r="AR10" s="5" t="s">
        <v>383</v>
      </c>
    </row>
    <row r="11" spans="1:44" ht="31.5" x14ac:dyDescent="0.25">
      <c r="A11" s="10">
        <v>46096</v>
      </c>
      <c r="B11" s="5" t="s">
        <v>1328</v>
      </c>
      <c r="C11" s="5" t="s">
        <v>1926</v>
      </c>
      <c r="D11" s="5" t="s">
        <v>11</v>
      </c>
      <c r="E11" s="5" t="s">
        <v>40</v>
      </c>
      <c r="F11" s="5" t="s">
        <v>11</v>
      </c>
      <c r="G11" s="5" t="s">
        <v>3103</v>
      </c>
      <c r="H11" s="5" t="s">
        <v>3121</v>
      </c>
      <c r="I11" s="6" t="str">
        <f>HYPERLINK("http://maps.yandex.ru/?ll=39.830036,47.2205&amp;spn=0.011598,0.004531&amp;z=17&amp;l=map&amp;pt=39.830036,47.2205", "47.22051//39.830036")</f>
        <v>47.22051//39.830036</v>
      </c>
      <c r="J11" s="5" t="s">
        <v>64</v>
      </c>
      <c r="K11" s="6" t="str">
        <f>HYPERLINK("http://maps.yandex.ru/?ll=45.485695,50.6367&amp;spn=0.011598,0.004531&amp;z=17&amp;l=map&amp;pt=45.485695,50.6367", "50.63679//45.485695")</f>
        <v>50.63679//45.485695</v>
      </c>
      <c r="L11" s="5" t="s">
        <v>213</v>
      </c>
      <c r="M11" s="5" t="s">
        <v>679</v>
      </c>
      <c r="N11" s="5" t="s">
        <v>1142</v>
      </c>
      <c r="O11" s="5" t="s">
        <v>1244</v>
      </c>
      <c r="P11" s="5">
        <v>41</v>
      </c>
      <c r="Q11" s="5">
        <v>28</v>
      </c>
      <c r="R11" s="5">
        <v>31</v>
      </c>
      <c r="S11" s="5">
        <v>809.12300000000005</v>
      </c>
      <c r="T11" s="5" t="s">
        <v>1834</v>
      </c>
      <c r="U11" s="5" t="s">
        <v>3127</v>
      </c>
      <c r="V11" s="5" t="s">
        <v>3128</v>
      </c>
      <c r="W11" s="5">
        <v>33.71</v>
      </c>
      <c r="X11" s="5">
        <v>81.27</v>
      </c>
      <c r="Y11" s="5">
        <v>157</v>
      </c>
      <c r="Z11" s="5" t="s">
        <v>1211</v>
      </c>
      <c r="AA11" s="5" t="s">
        <v>2380</v>
      </c>
      <c r="AB11" s="5" t="s">
        <v>1962</v>
      </c>
      <c r="AC11" s="5" t="s">
        <v>1673</v>
      </c>
      <c r="AD11" s="5" t="s">
        <v>19</v>
      </c>
      <c r="AE11" s="5" t="s">
        <v>3129</v>
      </c>
      <c r="AF11" s="5" t="s">
        <v>3130</v>
      </c>
      <c r="AG11" s="5">
        <v>259</v>
      </c>
      <c r="AH11" s="5">
        <v>0</v>
      </c>
      <c r="AI11" s="5">
        <v>259</v>
      </c>
      <c r="AJ11" s="5">
        <v>33.51</v>
      </c>
      <c r="AK11" s="5">
        <v>33.51</v>
      </c>
      <c r="AL11" s="5" t="s">
        <v>12</v>
      </c>
      <c r="AM11" s="5" t="s">
        <v>12</v>
      </c>
      <c r="AN11" s="5" t="s">
        <v>12</v>
      </c>
      <c r="AO11" s="5" t="s">
        <v>11</v>
      </c>
      <c r="AP11" s="5" t="s">
        <v>11</v>
      </c>
      <c r="AQ11" s="5" t="s">
        <v>384</v>
      </c>
      <c r="AR11" s="5" t="s">
        <v>383</v>
      </c>
    </row>
    <row r="12" spans="1:44" ht="15.75" x14ac:dyDescent="0.25">
      <c r="A12" s="10">
        <v>46096</v>
      </c>
      <c r="B12" s="5" t="s">
        <v>1326</v>
      </c>
      <c r="C12" s="5" t="s">
        <v>1930</v>
      </c>
      <c r="D12" s="5" t="s">
        <v>11</v>
      </c>
      <c r="E12" s="5" t="s">
        <v>7</v>
      </c>
      <c r="F12" s="5" t="s">
        <v>7</v>
      </c>
      <c r="G12" s="5" t="s">
        <v>11</v>
      </c>
      <c r="H12" s="5" t="s">
        <v>11</v>
      </c>
      <c r="I12" s="6" t="str">
        <f>HYPERLINK("http://maps.yandex.ru/?ll=,&amp;spn=0.011598,0.004531&amp;z=17&amp;l=map&amp;pt=,", "")</f>
        <v/>
      </c>
      <c r="J12" s="5" t="s">
        <v>84</v>
      </c>
      <c r="K12" s="6" t="str">
        <f>HYPERLINK("http://maps.yandex.ru/?ll=,&amp;spn=0.011598,0.004531&amp;z=17&amp;l=map&amp;pt=,", "")</f>
        <v/>
      </c>
      <c r="L12" s="5" t="s">
        <v>84</v>
      </c>
      <c r="M12" s="5" t="s">
        <v>13</v>
      </c>
      <c r="N12" s="5" t="s">
        <v>13</v>
      </c>
      <c r="O12" s="5" t="s">
        <v>58</v>
      </c>
      <c r="P12" s="5">
        <v>0</v>
      </c>
      <c r="Q12" s="5">
        <v>0</v>
      </c>
      <c r="R12" s="5">
        <v>100</v>
      </c>
      <c r="S12" s="5">
        <v>0</v>
      </c>
      <c r="T12" s="5" t="s">
        <v>12</v>
      </c>
      <c r="U12" s="5" t="s">
        <v>12</v>
      </c>
      <c r="V12" s="5" t="s">
        <v>12</v>
      </c>
      <c r="W12" s="5">
        <v>0</v>
      </c>
      <c r="X12" s="5">
        <v>0</v>
      </c>
      <c r="Y12" s="5">
        <v>0</v>
      </c>
      <c r="Z12" s="5" t="s">
        <v>12</v>
      </c>
      <c r="AA12" s="5" t="s">
        <v>12</v>
      </c>
      <c r="AB12" s="5" t="s">
        <v>19</v>
      </c>
      <c r="AC12" s="5" t="s">
        <v>19</v>
      </c>
      <c r="AD12" s="5" t="s">
        <v>19</v>
      </c>
      <c r="AE12" s="5" t="s">
        <v>12</v>
      </c>
      <c r="AF12" s="5" t="s">
        <v>12</v>
      </c>
      <c r="AG12" s="5"/>
      <c r="AH12" s="5">
        <v>0</v>
      </c>
      <c r="AI12" s="5"/>
      <c r="AJ12" s="5"/>
      <c r="AK12" s="5"/>
      <c r="AL12" s="5" t="s">
        <v>12</v>
      </c>
      <c r="AM12" s="5" t="s">
        <v>12</v>
      </c>
      <c r="AN12" s="5" t="s">
        <v>12</v>
      </c>
      <c r="AO12" s="5" t="s">
        <v>11</v>
      </c>
      <c r="AP12" s="5" t="s">
        <v>11</v>
      </c>
      <c r="AQ12" s="5" t="s">
        <v>123</v>
      </c>
      <c r="AR12" s="5" t="s">
        <v>122</v>
      </c>
    </row>
    <row r="13" spans="1:44" ht="15.75" x14ac:dyDescent="0.25">
      <c r="A13" s="10">
        <v>46096</v>
      </c>
      <c r="B13" s="5" t="s">
        <v>1325</v>
      </c>
      <c r="C13" s="5" t="s">
        <v>1931</v>
      </c>
      <c r="D13" s="5" t="s">
        <v>11</v>
      </c>
      <c r="E13" s="5" t="s">
        <v>6</v>
      </c>
      <c r="F13" s="5" t="s">
        <v>6</v>
      </c>
      <c r="G13" s="5" t="s">
        <v>11</v>
      </c>
      <c r="H13" s="5" t="s">
        <v>11</v>
      </c>
      <c r="I13" s="6" t="str">
        <f>HYPERLINK("http://maps.yandex.ru/?ll=,&amp;spn=0.011598,0.004531&amp;z=17&amp;l=map&amp;pt=,", "")</f>
        <v/>
      </c>
      <c r="J13" s="5" t="s">
        <v>84</v>
      </c>
      <c r="K13" s="6" t="str">
        <f>HYPERLINK("http://maps.yandex.ru/?ll=,&amp;spn=0.011598,0.004531&amp;z=17&amp;l=map&amp;pt=,", "")</f>
        <v/>
      </c>
      <c r="L13" s="5" t="s">
        <v>84</v>
      </c>
      <c r="M13" s="5" t="s">
        <v>13</v>
      </c>
      <c r="N13" s="5" t="s">
        <v>13</v>
      </c>
      <c r="O13" s="5" t="s">
        <v>58</v>
      </c>
      <c r="P13" s="5">
        <v>0</v>
      </c>
      <c r="Q13" s="5">
        <v>0</v>
      </c>
      <c r="R13" s="5">
        <v>100</v>
      </c>
      <c r="S13" s="5">
        <v>0</v>
      </c>
      <c r="T13" s="5" t="s">
        <v>12</v>
      </c>
      <c r="U13" s="5" t="s">
        <v>12</v>
      </c>
      <c r="V13" s="5" t="s">
        <v>12</v>
      </c>
      <c r="W13" s="5">
        <v>0</v>
      </c>
      <c r="X13" s="5">
        <v>0</v>
      </c>
      <c r="Y13" s="5">
        <v>0</v>
      </c>
      <c r="Z13" s="5" t="s">
        <v>12</v>
      </c>
      <c r="AA13" s="5" t="s">
        <v>12</v>
      </c>
      <c r="AB13" s="5" t="s">
        <v>19</v>
      </c>
      <c r="AC13" s="5" t="s">
        <v>19</v>
      </c>
      <c r="AD13" s="5" t="s">
        <v>19</v>
      </c>
      <c r="AE13" s="5" t="s">
        <v>12</v>
      </c>
      <c r="AF13" s="5" t="s">
        <v>12</v>
      </c>
      <c r="AG13" s="5"/>
      <c r="AH13" s="5"/>
      <c r="AI13" s="5"/>
      <c r="AJ13" s="5"/>
      <c r="AK13" s="5"/>
      <c r="AL13" s="5" t="s">
        <v>12</v>
      </c>
      <c r="AM13" s="5" t="s">
        <v>12</v>
      </c>
      <c r="AN13" s="5" t="s">
        <v>12</v>
      </c>
      <c r="AO13" s="5" t="s">
        <v>115</v>
      </c>
      <c r="AP13" s="5" t="s">
        <v>114</v>
      </c>
      <c r="AQ13" s="5" t="s">
        <v>99</v>
      </c>
      <c r="AR13" s="5" t="s">
        <v>98</v>
      </c>
    </row>
    <row r="14" spans="1:44" ht="31.5" x14ac:dyDescent="0.25">
      <c r="A14" s="10">
        <v>46096</v>
      </c>
      <c r="B14" s="5" t="s">
        <v>1324</v>
      </c>
      <c r="C14" s="5" t="s">
        <v>1932</v>
      </c>
      <c r="D14" s="5" t="s">
        <v>11</v>
      </c>
      <c r="E14" s="5" t="s">
        <v>6</v>
      </c>
      <c r="F14" s="5" t="s">
        <v>6</v>
      </c>
      <c r="G14" s="5" t="s">
        <v>3103</v>
      </c>
      <c r="H14" s="5" t="s">
        <v>3131</v>
      </c>
      <c r="I14" s="6" t="str">
        <f>HYPERLINK("http://maps.yandex.ru/?ll=39.21869,51.80469&amp;spn=0.011598,0.004531&amp;z=17&amp;l=map&amp;pt=39.21869,51.80469", "51.804695//39.21869")</f>
        <v>51.804695//39.21869</v>
      </c>
      <c r="J14" s="5" t="s">
        <v>101</v>
      </c>
      <c r="K14" s="6" t="str">
        <f>HYPERLINK("http://maps.yandex.ru/?ll=39.322636,51.6570&amp;spn=0.011598,0.004531&amp;z=17&amp;l=map&amp;pt=39.322636,51.6570", "51.65705//39.322636")</f>
        <v>51.65705//39.322636</v>
      </c>
      <c r="L14" s="5" t="s">
        <v>101</v>
      </c>
      <c r="M14" s="5" t="s">
        <v>224</v>
      </c>
      <c r="N14" s="5" t="s">
        <v>363</v>
      </c>
      <c r="O14" s="5" t="s">
        <v>1460</v>
      </c>
      <c r="P14" s="5">
        <v>7</v>
      </c>
      <c r="Q14" s="5">
        <v>15</v>
      </c>
      <c r="R14" s="5">
        <v>78</v>
      </c>
      <c r="S14" s="5">
        <v>16.995000000000001</v>
      </c>
      <c r="T14" s="5" t="s">
        <v>12</v>
      </c>
      <c r="U14" s="5" t="s">
        <v>12</v>
      </c>
      <c r="V14" s="5" t="s">
        <v>12</v>
      </c>
      <c r="W14" s="5">
        <v>0.71</v>
      </c>
      <c r="X14" s="5">
        <v>10.3</v>
      </c>
      <c r="Y14" s="5">
        <v>102</v>
      </c>
      <c r="Z14" s="5" t="s">
        <v>1670</v>
      </c>
      <c r="AA14" s="5" t="s">
        <v>1670</v>
      </c>
      <c r="AB14" s="5" t="s">
        <v>19</v>
      </c>
      <c r="AC14" s="5" t="s">
        <v>19</v>
      </c>
      <c r="AD14" s="5" t="s">
        <v>19</v>
      </c>
      <c r="AE14" s="5" t="s">
        <v>19</v>
      </c>
      <c r="AF14" s="5" t="s">
        <v>12</v>
      </c>
      <c r="AG14" s="5"/>
      <c r="AH14" s="5"/>
      <c r="AI14" s="5"/>
      <c r="AJ14" s="5"/>
      <c r="AK14" s="5"/>
      <c r="AL14" s="5" t="s">
        <v>12</v>
      </c>
      <c r="AM14" s="5" t="s">
        <v>12</v>
      </c>
      <c r="AN14" s="5" t="s">
        <v>12</v>
      </c>
      <c r="AO14" s="5" t="s">
        <v>115</v>
      </c>
      <c r="AP14" s="5" t="s">
        <v>114</v>
      </c>
      <c r="AQ14" s="5" t="s">
        <v>99</v>
      </c>
      <c r="AR14" s="5" t="s">
        <v>98</v>
      </c>
    </row>
    <row r="15" spans="1:44" ht="31.5" x14ac:dyDescent="0.25">
      <c r="A15" s="10">
        <v>46096</v>
      </c>
      <c r="B15" s="5" t="s">
        <v>1323</v>
      </c>
      <c r="C15" s="5" t="s">
        <v>1934</v>
      </c>
      <c r="D15" s="5" t="s">
        <v>11</v>
      </c>
      <c r="E15" s="5" t="s">
        <v>8</v>
      </c>
      <c r="F15" s="5" t="s">
        <v>8</v>
      </c>
      <c r="G15" s="5" t="s">
        <v>3132</v>
      </c>
      <c r="H15" s="5" t="s">
        <v>3133</v>
      </c>
      <c r="I15" s="6" t="str">
        <f>HYPERLINK("http://maps.yandex.ru/?ll=40.525105,49.8252&amp;spn=0.011598,0.004531&amp;z=17&amp;l=map&amp;pt=40.525105,49.8252", "49.82523//40.525105")</f>
        <v>49.82523//40.525105</v>
      </c>
      <c r="J15" s="5" t="s">
        <v>101</v>
      </c>
      <c r="K15" s="6" t="str">
        <f>HYPERLINK("http://maps.yandex.ru/?ll=41.09074,44.98451&amp;spn=0.011598,0.004531&amp;z=17&amp;l=map&amp;pt=41.09074,44.98451", "44.984516//41.09074")</f>
        <v>44.984516//41.09074</v>
      </c>
      <c r="L15" s="5" t="s">
        <v>88</v>
      </c>
      <c r="M15" s="5" t="s">
        <v>3134</v>
      </c>
      <c r="N15" s="5" t="s">
        <v>676</v>
      </c>
      <c r="O15" s="5" t="s">
        <v>827</v>
      </c>
      <c r="P15" s="5">
        <v>34</v>
      </c>
      <c r="Q15" s="5">
        <v>62</v>
      </c>
      <c r="R15" s="5">
        <v>4</v>
      </c>
      <c r="S15" s="5">
        <v>551.55499999999995</v>
      </c>
      <c r="T15" s="5" t="s">
        <v>12</v>
      </c>
      <c r="U15" s="5" t="s">
        <v>12</v>
      </c>
      <c r="V15" s="5" t="s">
        <v>12</v>
      </c>
      <c r="W15" s="5">
        <v>22.98</v>
      </c>
      <c r="X15" s="5">
        <v>68.489999999999995</v>
      </c>
      <c r="Y15" s="5">
        <v>105</v>
      </c>
      <c r="Z15" s="5" t="s">
        <v>1935</v>
      </c>
      <c r="AA15" s="5" t="s">
        <v>2197</v>
      </c>
      <c r="AB15" s="5" t="s">
        <v>1371</v>
      </c>
      <c r="AC15" s="5" t="s">
        <v>1671</v>
      </c>
      <c r="AD15" s="5" t="s">
        <v>19</v>
      </c>
      <c r="AE15" s="5" t="s">
        <v>2094</v>
      </c>
      <c r="AF15" s="5" t="s">
        <v>12</v>
      </c>
      <c r="AG15" s="5"/>
      <c r="AH15" s="5"/>
      <c r="AI15" s="5"/>
      <c r="AJ15" s="5"/>
      <c r="AK15" s="5"/>
      <c r="AL15" s="5" t="s">
        <v>1445</v>
      </c>
      <c r="AM15" s="5" t="s">
        <v>2835</v>
      </c>
      <c r="AN15" s="5" t="s">
        <v>1756</v>
      </c>
      <c r="AO15" s="5" t="s">
        <v>115</v>
      </c>
      <c r="AP15" s="5" t="s">
        <v>114</v>
      </c>
      <c r="AQ15" s="5" t="s">
        <v>99</v>
      </c>
      <c r="AR15" s="5" t="s">
        <v>98</v>
      </c>
    </row>
    <row r="16" spans="1:44" ht="31.5" x14ac:dyDescent="0.25">
      <c r="A16" s="10">
        <v>46096</v>
      </c>
      <c r="B16" s="5" t="s">
        <v>1322</v>
      </c>
      <c r="C16" s="5" t="s">
        <v>1937</v>
      </c>
      <c r="D16" s="5" t="s">
        <v>11</v>
      </c>
      <c r="E16" s="5" t="s">
        <v>7</v>
      </c>
      <c r="F16" s="5" t="s">
        <v>7</v>
      </c>
      <c r="G16" s="5" t="s">
        <v>3103</v>
      </c>
      <c r="H16" s="5" t="s">
        <v>3135</v>
      </c>
      <c r="I16" s="6" t="str">
        <f>HYPERLINK("http://maps.yandex.ru/?ll=40.960213,56.92988&amp;spn=0.011598,0.004531&amp;z=17&amp;l=map&amp;pt=40.960213,56.92988", "56.929886//40.960213")</f>
        <v>56.929886//40.960213</v>
      </c>
      <c r="J16" s="5" t="s">
        <v>582</v>
      </c>
      <c r="K16" s="6" t="str">
        <f>HYPERLINK("http://maps.yandex.ru/?ll=49.74112,58.61887&amp;spn=0.011598,0.004531&amp;z=17&amp;l=map&amp;pt=49.74112,58.61887", "58.618874//49.74112")</f>
        <v>58.618874//49.74112</v>
      </c>
      <c r="L16" s="5" t="s">
        <v>489</v>
      </c>
      <c r="M16" s="5" t="s">
        <v>244</v>
      </c>
      <c r="N16" s="5" t="s">
        <v>3136</v>
      </c>
      <c r="O16" s="5" t="s">
        <v>3137</v>
      </c>
      <c r="P16" s="5">
        <v>36</v>
      </c>
      <c r="Q16" s="5">
        <v>53</v>
      </c>
      <c r="R16" s="5">
        <v>11</v>
      </c>
      <c r="S16" s="5">
        <v>662.30200000000002</v>
      </c>
      <c r="T16" s="5" t="s">
        <v>12</v>
      </c>
      <c r="U16" s="5" t="s">
        <v>12</v>
      </c>
      <c r="V16" s="5" t="s">
        <v>12</v>
      </c>
      <c r="W16" s="5">
        <v>27.6</v>
      </c>
      <c r="X16" s="5">
        <v>75.81</v>
      </c>
      <c r="Y16" s="5">
        <v>109</v>
      </c>
      <c r="Z16" s="5" t="s">
        <v>1938</v>
      </c>
      <c r="AA16" s="5" t="s">
        <v>3138</v>
      </c>
      <c r="AB16" s="5" t="s">
        <v>19</v>
      </c>
      <c r="AC16" s="5" t="s">
        <v>19</v>
      </c>
      <c r="AD16" s="5" t="s">
        <v>19</v>
      </c>
      <c r="AE16" s="5" t="s">
        <v>1870</v>
      </c>
      <c r="AF16" s="5" t="s">
        <v>12</v>
      </c>
      <c r="AG16" s="5"/>
      <c r="AH16" s="5"/>
      <c r="AI16" s="5"/>
      <c r="AJ16" s="5"/>
      <c r="AK16" s="5"/>
      <c r="AL16" s="5" t="s">
        <v>12</v>
      </c>
      <c r="AM16" s="5" t="s">
        <v>12</v>
      </c>
      <c r="AN16" s="5" t="s">
        <v>12</v>
      </c>
      <c r="AO16" s="5" t="s">
        <v>115</v>
      </c>
      <c r="AP16" s="5" t="s">
        <v>114</v>
      </c>
      <c r="AQ16" s="5" t="s">
        <v>99</v>
      </c>
      <c r="AR16" s="5" t="s">
        <v>98</v>
      </c>
    </row>
    <row r="17" spans="1:44" ht="31.5" x14ac:dyDescent="0.25">
      <c r="A17" s="10">
        <v>46096</v>
      </c>
      <c r="B17" s="5" t="s">
        <v>1321</v>
      </c>
      <c r="C17" s="5" t="s">
        <v>1939</v>
      </c>
      <c r="D17" s="5" t="s">
        <v>11</v>
      </c>
      <c r="E17" s="5" t="s">
        <v>0</v>
      </c>
      <c r="F17" s="5" t="s">
        <v>0</v>
      </c>
      <c r="G17" s="5" t="s">
        <v>3139</v>
      </c>
      <c r="H17" s="5" t="s">
        <v>3140</v>
      </c>
      <c r="I17" s="6" t="str">
        <f>HYPERLINK("http://maps.yandex.ru/?ll=42.06976,44.21581&amp;spn=0.011598,0.004531&amp;z=17&amp;l=map&amp;pt=42.06976,44.21581", "44.215816//42.06976")</f>
        <v>44.215816//42.06976</v>
      </c>
      <c r="J17" s="5" t="s">
        <v>23</v>
      </c>
      <c r="K17" s="6" t="str">
        <f>HYPERLINK("http://maps.yandex.ru/?ll=42.07293,44.24131&amp;spn=0.011598,0.004531&amp;z=17&amp;l=map&amp;pt=42.07293,44.24131", "44.241318//42.07293")</f>
        <v>44.241318//42.07293</v>
      </c>
      <c r="L17" s="5" t="s">
        <v>23</v>
      </c>
      <c r="M17" s="5" t="s">
        <v>381</v>
      </c>
      <c r="N17" s="5" t="s">
        <v>3141</v>
      </c>
      <c r="O17" s="5" t="s">
        <v>13</v>
      </c>
      <c r="P17" s="5">
        <v>1</v>
      </c>
      <c r="Q17" s="5">
        <v>99</v>
      </c>
      <c r="R17" s="5">
        <v>0</v>
      </c>
      <c r="S17" s="5">
        <v>3.5870000000000002</v>
      </c>
      <c r="T17" s="5" t="s">
        <v>12</v>
      </c>
      <c r="U17" s="5" t="s">
        <v>12</v>
      </c>
      <c r="V17" s="5" t="s">
        <v>12</v>
      </c>
      <c r="W17" s="5">
        <v>0.15</v>
      </c>
      <c r="X17" s="5">
        <v>15.32</v>
      </c>
      <c r="Y17" s="5">
        <v>49</v>
      </c>
      <c r="Z17" s="5" t="s">
        <v>1764</v>
      </c>
      <c r="AA17" s="5" t="s">
        <v>1501</v>
      </c>
      <c r="AB17" s="5" t="s">
        <v>19</v>
      </c>
      <c r="AC17" s="5" t="s">
        <v>19</v>
      </c>
      <c r="AD17" s="5" t="s">
        <v>19</v>
      </c>
      <c r="AE17" s="5" t="s">
        <v>1671</v>
      </c>
      <c r="AF17" s="5" t="s">
        <v>12</v>
      </c>
      <c r="AG17" s="5"/>
      <c r="AH17" s="5"/>
      <c r="AI17" s="5"/>
      <c r="AJ17" s="5"/>
      <c r="AK17" s="5"/>
      <c r="AL17" s="5" t="s">
        <v>12</v>
      </c>
      <c r="AM17" s="5" t="s">
        <v>12</v>
      </c>
      <c r="AN17" s="5" t="s">
        <v>12</v>
      </c>
      <c r="AO17" s="5" t="s">
        <v>115</v>
      </c>
      <c r="AP17" s="5" t="s">
        <v>114</v>
      </c>
      <c r="AQ17" s="5" t="s">
        <v>99</v>
      </c>
      <c r="AR17" s="5" t="s">
        <v>98</v>
      </c>
    </row>
    <row r="18" spans="1:44" ht="31.5" x14ac:dyDescent="0.25">
      <c r="A18" s="10">
        <v>46096</v>
      </c>
      <c r="B18" s="5" t="s">
        <v>1318</v>
      </c>
      <c r="C18" s="5" t="s">
        <v>1940</v>
      </c>
      <c r="D18" s="5" t="s">
        <v>11</v>
      </c>
      <c r="E18" s="5" t="s">
        <v>0</v>
      </c>
      <c r="F18" s="5" t="s">
        <v>0</v>
      </c>
      <c r="G18" s="5" t="s">
        <v>3103</v>
      </c>
      <c r="H18" s="5" t="s">
        <v>3142</v>
      </c>
      <c r="I18" s="6" t="str">
        <f>HYPERLINK("http://maps.yandex.ru/?ll=36.23476,51.76112&amp;spn=0.011598,0.004531&amp;z=17&amp;l=map&amp;pt=36.23476,51.76112", "51.761124//36.23476")</f>
        <v>51.761124//36.23476</v>
      </c>
      <c r="J18" s="5" t="s">
        <v>176</v>
      </c>
      <c r="K18" s="6" t="str">
        <f>HYPERLINK("http://maps.yandex.ru/?ll=34.272713,53.25786&amp;spn=0.011598,0.004531&amp;z=17&amp;l=map&amp;pt=34.272713,53.25786", "53.257866//34.272713")</f>
        <v>53.257866//34.272713</v>
      </c>
      <c r="L18" s="5" t="s">
        <v>3143</v>
      </c>
      <c r="M18" s="5" t="s">
        <v>1493</v>
      </c>
      <c r="N18" s="5" t="s">
        <v>3144</v>
      </c>
      <c r="O18" s="5" t="s">
        <v>481</v>
      </c>
      <c r="P18" s="5">
        <v>16</v>
      </c>
      <c r="Q18" s="5">
        <v>40</v>
      </c>
      <c r="R18" s="5">
        <v>44</v>
      </c>
      <c r="S18" s="5">
        <v>205.63800000000001</v>
      </c>
      <c r="T18" s="5" t="s">
        <v>3018</v>
      </c>
      <c r="U18" s="5" t="s">
        <v>3145</v>
      </c>
      <c r="V18" s="5" t="s">
        <v>3146</v>
      </c>
      <c r="W18" s="5">
        <v>8.57</v>
      </c>
      <c r="X18" s="5">
        <v>54.67</v>
      </c>
      <c r="Y18" s="5">
        <v>107</v>
      </c>
      <c r="Z18" s="5" t="s">
        <v>1941</v>
      </c>
      <c r="AA18" s="5" t="s">
        <v>3147</v>
      </c>
      <c r="AB18" s="5" t="s">
        <v>1760</v>
      </c>
      <c r="AC18" s="5" t="s">
        <v>1671</v>
      </c>
      <c r="AD18" s="5" t="s">
        <v>19</v>
      </c>
      <c r="AE18" s="5" t="s">
        <v>1955</v>
      </c>
      <c r="AF18" s="5" t="s">
        <v>3148</v>
      </c>
      <c r="AG18" s="5">
        <v>99</v>
      </c>
      <c r="AH18" s="5">
        <v>3</v>
      </c>
      <c r="AI18" s="5">
        <v>96</v>
      </c>
      <c r="AJ18" s="5">
        <v>28.86</v>
      </c>
      <c r="AK18" s="5">
        <v>27.99</v>
      </c>
      <c r="AL18" s="5" t="s">
        <v>12</v>
      </c>
      <c r="AM18" s="5" t="s">
        <v>12</v>
      </c>
      <c r="AN18" s="5" t="s">
        <v>12</v>
      </c>
      <c r="AO18" s="5" t="s">
        <v>11</v>
      </c>
      <c r="AP18" s="5" t="s">
        <v>11</v>
      </c>
      <c r="AQ18" s="5" t="s">
        <v>53</v>
      </c>
      <c r="AR18" s="5" t="s">
        <v>52</v>
      </c>
    </row>
    <row r="19" spans="1:44" ht="31.5" x14ac:dyDescent="0.25">
      <c r="A19" s="10">
        <v>46096</v>
      </c>
      <c r="B19" s="5" t="s">
        <v>1316</v>
      </c>
      <c r="C19" s="5" t="s">
        <v>1942</v>
      </c>
      <c r="D19" s="5" t="s">
        <v>11</v>
      </c>
      <c r="E19" s="5" t="s">
        <v>8</v>
      </c>
      <c r="F19" s="5" t="s">
        <v>8</v>
      </c>
      <c r="G19" s="5" t="s">
        <v>3149</v>
      </c>
      <c r="H19" s="5" t="s">
        <v>3150</v>
      </c>
      <c r="I19" s="6" t="str">
        <f>HYPERLINK("http://maps.yandex.ru/?ll=45.8793,54.39790&amp;spn=0.011598,0.004531&amp;z=17&amp;l=map&amp;pt=45.8793,54.39790", "54.397903//45.8793")</f>
        <v>54.397903//45.8793</v>
      </c>
      <c r="J19" s="5" t="s">
        <v>467</v>
      </c>
      <c r="K19" s="6" t="str">
        <f>HYPERLINK("http://maps.yandex.ru/?ll=50.413208,53.48615&amp;spn=0.011598,0.004531&amp;z=17&amp;l=map&amp;pt=50.413208,53.48615", "53.486153//50.413208")</f>
        <v>53.486153//50.413208</v>
      </c>
      <c r="L19" s="5" t="s">
        <v>76</v>
      </c>
      <c r="M19" s="5" t="s">
        <v>3151</v>
      </c>
      <c r="N19" s="5" t="s">
        <v>1424</v>
      </c>
      <c r="O19" s="5" t="s">
        <v>1000</v>
      </c>
      <c r="P19" s="5">
        <v>29</v>
      </c>
      <c r="Q19" s="5">
        <v>67</v>
      </c>
      <c r="R19" s="5">
        <v>3</v>
      </c>
      <c r="S19" s="5">
        <v>433.03800000000001</v>
      </c>
      <c r="T19" s="5" t="s">
        <v>3152</v>
      </c>
      <c r="U19" s="5" t="s">
        <v>3153</v>
      </c>
      <c r="V19" s="5" t="s">
        <v>3154</v>
      </c>
      <c r="W19" s="5">
        <v>18.04</v>
      </c>
      <c r="X19" s="5">
        <v>61.58</v>
      </c>
      <c r="Y19" s="5">
        <v>150</v>
      </c>
      <c r="Z19" s="5" t="s">
        <v>1760</v>
      </c>
      <c r="AA19" s="5" t="s">
        <v>1479</v>
      </c>
      <c r="AB19" s="5" t="s">
        <v>19</v>
      </c>
      <c r="AC19" s="5" t="s">
        <v>19</v>
      </c>
      <c r="AD19" s="5" t="s">
        <v>19</v>
      </c>
      <c r="AE19" s="5" t="s">
        <v>2239</v>
      </c>
      <c r="AF19" s="5" t="s">
        <v>3155</v>
      </c>
      <c r="AG19" s="5">
        <v>143</v>
      </c>
      <c r="AH19" s="5">
        <v>1</v>
      </c>
      <c r="AI19" s="5">
        <v>142</v>
      </c>
      <c r="AJ19" s="5">
        <v>31.22</v>
      </c>
      <c r="AK19" s="5">
        <v>31</v>
      </c>
      <c r="AL19" s="5" t="s">
        <v>12</v>
      </c>
      <c r="AM19" s="5" t="s">
        <v>12</v>
      </c>
      <c r="AN19" s="5" t="s">
        <v>12</v>
      </c>
      <c r="AO19" s="5" t="s">
        <v>11</v>
      </c>
      <c r="AP19" s="5" t="s">
        <v>11</v>
      </c>
      <c r="AQ19" s="5" t="s">
        <v>53</v>
      </c>
      <c r="AR19" s="5" t="s">
        <v>52</v>
      </c>
    </row>
    <row r="20" spans="1:44" ht="31.5" x14ac:dyDescent="0.25">
      <c r="A20" s="10">
        <v>46096</v>
      </c>
      <c r="B20" s="5" t="s">
        <v>1315</v>
      </c>
      <c r="C20" s="5" t="s">
        <v>1943</v>
      </c>
      <c r="D20" s="5" t="s">
        <v>11</v>
      </c>
      <c r="E20" s="5" t="s">
        <v>1</v>
      </c>
      <c r="F20" s="5" t="s">
        <v>1</v>
      </c>
      <c r="G20" s="5" t="s">
        <v>3103</v>
      </c>
      <c r="H20" s="5" t="s">
        <v>3156</v>
      </c>
      <c r="I20" s="6" t="str">
        <f>HYPERLINK("http://maps.yandex.ru/?ll=40.07098,47.68073&amp;spn=0.011598,0.004531&amp;z=17&amp;l=map&amp;pt=40.07098,47.68073", "47.680737//40.07098")</f>
        <v>47.680737//40.07098</v>
      </c>
      <c r="J20" s="5" t="s">
        <v>64</v>
      </c>
      <c r="K20" s="6" t="str">
        <f>HYPERLINK("http://maps.yandex.ru/?ll=39.14172,45.1208&amp;spn=0.011598,0.004531&amp;z=17&amp;l=map&amp;pt=39.14172,45.1208", "45.12082//39.14172")</f>
        <v>45.12082//39.14172</v>
      </c>
      <c r="L20" s="5" t="s">
        <v>88</v>
      </c>
      <c r="M20" s="5" t="s">
        <v>1348</v>
      </c>
      <c r="N20" s="5" t="s">
        <v>3157</v>
      </c>
      <c r="O20" s="5" t="s">
        <v>541</v>
      </c>
      <c r="P20" s="5">
        <v>33</v>
      </c>
      <c r="Q20" s="5">
        <v>55</v>
      </c>
      <c r="R20" s="5">
        <v>12</v>
      </c>
      <c r="S20" s="5">
        <v>677.08500000000004</v>
      </c>
      <c r="T20" s="5" t="s">
        <v>12</v>
      </c>
      <c r="U20" s="5" t="s">
        <v>12</v>
      </c>
      <c r="V20" s="5" t="s">
        <v>12</v>
      </c>
      <c r="W20" s="5">
        <v>28.21</v>
      </c>
      <c r="X20" s="5">
        <v>84.65</v>
      </c>
      <c r="Y20" s="5">
        <v>193</v>
      </c>
      <c r="Z20" s="5" t="s">
        <v>2331</v>
      </c>
      <c r="AA20" s="5" t="s">
        <v>1927</v>
      </c>
      <c r="AB20" s="5" t="s">
        <v>19</v>
      </c>
      <c r="AC20" s="5" t="s">
        <v>19</v>
      </c>
      <c r="AD20" s="5" t="s">
        <v>19</v>
      </c>
      <c r="AE20" s="5" t="s">
        <v>3008</v>
      </c>
      <c r="AF20" s="5" t="s">
        <v>12</v>
      </c>
      <c r="AG20" s="5"/>
      <c r="AH20" s="5"/>
      <c r="AI20" s="5"/>
      <c r="AJ20" s="5"/>
      <c r="AK20" s="5"/>
      <c r="AL20" s="5" t="s">
        <v>12</v>
      </c>
      <c r="AM20" s="5" t="s">
        <v>12</v>
      </c>
      <c r="AN20" s="5" t="s">
        <v>12</v>
      </c>
      <c r="AO20" s="5" t="s">
        <v>115</v>
      </c>
      <c r="AP20" s="5" t="s">
        <v>114</v>
      </c>
      <c r="AQ20" s="5" t="s">
        <v>99</v>
      </c>
      <c r="AR20" s="5" t="s">
        <v>98</v>
      </c>
    </row>
    <row r="21" spans="1:44" ht="31.5" x14ac:dyDescent="0.25">
      <c r="A21" s="10">
        <v>46096</v>
      </c>
      <c r="B21" s="5" t="s">
        <v>1312</v>
      </c>
      <c r="C21" s="5" t="s">
        <v>1944</v>
      </c>
      <c r="D21" s="5" t="s">
        <v>11</v>
      </c>
      <c r="E21" s="5" t="s">
        <v>8</v>
      </c>
      <c r="F21" s="5" t="s">
        <v>8</v>
      </c>
      <c r="G21" s="5" t="s">
        <v>3158</v>
      </c>
      <c r="H21" s="5" t="s">
        <v>3159</v>
      </c>
      <c r="I21" s="6" t="str">
        <f>HYPERLINK("http://maps.yandex.ru/?ll=39.20264,52.1449&amp;spn=0.011598,0.004531&amp;z=17&amp;l=map&amp;pt=39.20264,52.1449", "52.14493//39.20264")</f>
        <v>52.14493//39.20264</v>
      </c>
      <c r="J21" s="5" t="s">
        <v>151</v>
      </c>
      <c r="K21" s="6" t="str">
        <f>HYPERLINK("http://maps.yandex.ru/?ll=35.300545,56.9719&amp;spn=0.011598,0.004531&amp;z=17&amp;l=map&amp;pt=35.300545,56.9719", "56.97191//35.300545")</f>
        <v>56.97191//35.300545</v>
      </c>
      <c r="L21" s="5" t="s">
        <v>50</v>
      </c>
      <c r="M21" s="5" t="s">
        <v>3160</v>
      </c>
      <c r="N21" s="5" t="s">
        <v>3161</v>
      </c>
      <c r="O21" s="5" t="s">
        <v>201</v>
      </c>
      <c r="P21" s="5">
        <v>38</v>
      </c>
      <c r="Q21" s="5">
        <v>53</v>
      </c>
      <c r="R21" s="5">
        <v>9</v>
      </c>
      <c r="S21" s="5">
        <v>575.11400000000003</v>
      </c>
      <c r="T21" s="5" t="s">
        <v>12</v>
      </c>
      <c r="U21" s="5" t="s">
        <v>12</v>
      </c>
      <c r="V21" s="5" t="s">
        <v>12</v>
      </c>
      <c r="W21" s="5">
        <v>23.96</v>
      </c>
      <c r="X21" s="5">
        <v>62.41</v>
      </c>
      <c r="Y21" s="5">
        <v>103</v>
      </c>
      <c r="Z21" s="5" t="s">
        <v>1945</v>
      </c>
      <c r="AA21" s="5" t="s">
        <v>2197</v>
      </c>
      <c r="AB21" s="5" t="s">
        <v>1754</v>
      </c>
      <c r="AC21" s="5" t="s">
        <v>1673</v>
      </c>
      <c r="AD21" s="5" t="s">
        <v>19</v>
      </c>
      <c r="AE21" s="5" t="s">
        <v>1709</v>
      </c>
      <c r="AF21" s="5" t="s">
        <v>12</v>
      </c>
      <c r="AG21" s="5"/>
      <c r="AH21" s="5"/>
      <c r="AI21" s="5"/>
      <c r="AJ21" s="5"/>
      <c r="AK21" s="5"/>
      <c r="AL21" s="5" t="s">
        <v>1946</v>
      </c>
      <c r="AM21" s="5" t="s">
        <v>3162</v>
      </c>
      <c r="AN21" s="5" t="s">
        <v>1756</v>
      </c>
      <c r="AO21" s="5" t="s">
        <v>115</v>
      </c>
      <c r="AP21" s="5" t="s">
        <v>114</v>
      </c>
      <c r="AQ21" s="5" t="s">
        <v>99</v>
      </c>
      <c r="AR21" s="5" t="s">
        <v>98</v>
      </c>
    </row>
    <row r="22" spans="1:44" ht="31.5" x14ac:dyDescent="0.25">
      <c r="A22" s="10">
        <v>46096</v>
      </c>
      <c r="B22" s="5" t="s">
        <v>296</v>
      </c>
      <c r="C22" s="5" t="s">
        <v>1947</v>
      </c>
      <c r="D22" s="5" t="s">
        <v>11</v>
      </c>
      <c r="E22" s="5" t="s">
        <v>3</v>
      </c>
      <c r="F22" s="5" t="s">
        <v>3</v>
      </c>
      <c r="G22" s="5" t="s">
        <v>3163</v>
      </c>
      <c r="H22" s="5" t="s">
        <v>3164</v>
      </c>
      <c r="I22" s="6" t="str">
        <f>HYPERLINK("http://maps.yandex.ru/?ll=44.81661,48.77627&amp;spn=0.011598,0.004531&amp;z=17&amp;l=map&amp;pt=44.81661,48.77627", "48.776276//44.81661")</f>
        <v>48.776276//44.81661</v>
      </c>
      <c r="J22" s="5" t="s">
        <v>95</v>
      </c>
      <c r="K22" s="6" t="str">
        <f>HYPERLINK("http://maps.yandex.ru/?ll=44.04821,49.0982&amp;spn=0.011598,0.004531&amp;z=17&amp;l=map&amp;pt=44.04821,49.0982", "49.09828//44.04821")</f>
        <v>49.09828//44.04821</v>
      </c>
      <c r="L22" s="5" t="s">
        <v>95</v>
      </c>
      <c r="M22" s="5" t="s">
        <v>861</v>
      </c>
      <c r="N22" s="5" t="s">
        <v>1327</v>
      </c>
      <c r="O22" s="5" t="s">
        <v>112</v>
      </c>
      <c r="P22" s="5">
        <v>7</v>
      </c>
      <c r="Q22" s="5">
        <v>59</v>
      </c>
      <c r="R22" s="5">
        <v>35</v>
      </c>
      <c r="S22" s="5">
        <v>69.585999999999999</v>
      </c>
      <c r="T22" s="5" t="s">
        <v>1959</v>
      </c>
      <c r="U22" s="5" t="s">
        <v>3165</v>
      </c>
      <c r="V22" s="5" t="s">
        <v>3166</v>
      </c>
      <c r="W22" s="5">
        <v>2.9</v>
      </c>
      <c r="X22" s="5">
        <v>44.24</v>
      </c>
      <c r="Y22" s="5">
        <v>93</v>
      </c>
      <c r="Z22" s="5" t="s">
        <v>1749</v>
      </c>
      <c r="AA22" s="5" t="s">
        <v>2215</v>
      </c>
      <c r="AB22" s="5" t="s">
        <v>19</v>
      </c>
      <c r="AC22" s="5" t="s">
        <v>19</v>
      </c>
      <c r="AD22" s="5" t="s">
        <v>19</v>
      </c>
      <c r="AE22" s="5" t="s">
        <v>2308</v>
      </c>
      <c r="AF22" s="5" t="s">
        <v>3167</v>
      </c>
      <c r="AG22" s="5">
        <v>32</v>
      </c>
      <c r="AH22" s="5">
        <v>1</v>
      </c>
      <c r="AI22" s="5">
        <v>31</v>
      </c>
      <c r="AJ22" s="5">
        <v>29.91</v>
      </c>
      <c r="AK22" s="5">
        <v>28.97</v>
      </c>
      <c r="AL22" s="5" t="s">
        <v>12</v>
      </c>
      <c r="AM22" s="5" t="s">
        <v>12</v>
      </c>
      <c r="AN22" s="5" t="s">
        <v>12</v>
      </c>
      <c r="AO22" s="5" t="s">
        <v>11</v>
      </c>
      <c r="AP22" s="5" t="s">
        <v>11</v>
      </c>
      <c r="AQ22" s="5" t="s">
        <v>53</v>
      </c>
      <c r="AR22" s="5" t="s">
        <v>52</v>
      </c>
    </row>
    <row r="23" spans="1:44" ht="31.5" x14ac:dyDescent="0.25">
      <c r="A23" s="10">
        <v>46096</v>
      </c>
      <c r="B23" s="5" t="s">
        <v>295</v>
      </c>
      <c r="C23" s="5" t="s">
        <v>1949</v>
      </c>
      <c r="D23" s="5" t="s">
        <v>11</v>
      </c>
      <c r="E23" s="5" t="s">
        <v>8</v>
      </c>
      <c r="F23" s="5" t="s">
        <v>8</v>
      </c>
      <c r="G23" s="5" t="s">
        <v>3168</v>
      </c>
      <c r="H23" s="5" t="s">
        <v>3169</v>
      </c>
      <c r="I23" s="6" t="str">
        <f>HYPERLINK("http://maps.yandex.ru/?ll=30.476778,59.8097&amp;spn=0.011598,0.004531&amp;z=17&amp;l=map&amp;pt=30.476778,59.8097", "59.80977//30.476778")</f>
        <v>59.80977//30.476778</v>
      </c>
      <c r="J23" s="5" t="s">
        <v>23</v>
      </c>
      <c r="K23" s="6" t="str">
        <f>HYPERLINK("http://maps.yandex.ru/?ll=32.535805,58.25454&amp;spn=0.011598,0.004531&amp;z=17&amp;l=map&amp;pt=32.535805,58.25454", "58.254547//32.535805")</f>
        <v>58.254547//32.535805</v>
      </c>
      <c r="L23" s="5" t="s">
        <v>148</v>
      </c>
      <c r="M23" s="5" t="s">
        <v>1184</v>
      </c>
      <c r="N23" s="5" t="s">
        <v>1365</v>
      </c>
      <c r="O23" s="5" t="s">
        <v>984</v>
      </c>
      <c r="P23" s="5">
        <v>20</v>
      </c>
      <c r="Q23" s="5">
        <v>42</v>
      </c>
      <c r="R23" s="5">
        <v>38</v>
      </c>
      <c r="S23" s="5">
        <v>285.91699999999997</v>
      </c>
      <c r="T23" s="5" t="s">
        <v>2272</v>
      </c>
      <c r="U23" s="5" t="s">
        <v>3170</v>
      </c>
      <c r="V23" s="5" t="s">
        <v>3171</v>
      </c>
      <c r="W23" s="5">
        <v>11.91</v>
      </c>
      <c r="X23" s="5">
        <v>59.14</v>
      </c>
      <c r="Y23" s="5">
        <v>97</v>
      </c>
      <c r="Z23" s="5" t="s">
        <v>1601</v>
      </c>
      <c r="AA23" s="5" t="s">
        <v>1991</v>
      </c>
      <c r="AB23" s="5" t="s">
        <v>1769</v>
      </c>
      <c r="AC23" s="5" t="s">
        <v>1673</v>
      </c>
      <c r="AD23" s="5" t="s">
        <v>19</v>
      </c>
      <c r="AE23" s="5" t="s">
        <v>1959</v>
      </c>
      <c r="AF23" s="5" t="s">
        <v>3172</v>
      </c>
      <c r="AG23" s="5">
        <v>99</v>
      </c>
      <c r="AH23" s="5">
        <v>1</v>
      </c>
      <c r="AI23" s="5">
        <v>98</v>
      </c>
      <c r="AJ23" s="5">
        <v>34.26</v>
      </c>
      <c r="AK23" s="5">
        <v>33.909999999999997</v>
      </c>
      <c r="AL23" s="5" t="s">
        <v>12</v>
      </c>
      <c r="AM23" s="5" t="s">
        <v>12</v>
      </c>
      <c r="AN23" s="5" t="s">
        <v>12</v>
      </c>
      <c r="AO23" s="5" t="s">
        <v>11</v>
      </c>
      <c r="AP23" s="5" t="s">
        <v>11</v>
      </c>
      <c r="AQ23" s="5" t="s">
        <v>53</v>
      </c>
      <c r="AR23" s="5" t="s">
        <v>52</v>
      </c>
    </row>
    <row r="24" spans="1:44" ht="15.75" x14ac:dyDescent="0.25">
      <c r="A24" s="10">
        <v>46096</v>
      </c>
      <c r="B24" s="5" t="s">
        <v>293</v>
      </c>
      <c r="C24" s="5" t="s">
        <v>1951</v>
      </c>
      <c r="D24" s="5" t="s">
        <v>11</v>
      </c>
      <c r="E24" s="5" t="s">
        <v>1</v>
      </c>
      <c r="F24" s="5" t="s">
        <v>1</v>
      </c>
      <c r="G24" s="5" t="s">
        <v>11</v>
      </c>
      <c r="H24" s="5" t="s">
        <v>11</v>
      </c>
      <c r="I24" s="6" t="str">
        <f>HYPERLINK("http://maps.yandex.ru/?ll=,&amp;spn=0.011598,0.004531&amp;z=17&amp;l=map&amp;pt=,", "")</f>
        <v/>
      </c>
      <c r="J24" s="5" t="s">
        <v>84</v>
      </c>
      <c r="K24" s="6" t="str">
        <f>HYPERLINK("http://maps.yandex.ru/?ll=,&amp;spn=0.011598,0.004531&amp;z=17&amp;l=map&amp;pt=,", "")</f>
        <v/>
      </c>
      <c r="L24" s="5" t="s">
        <v>84</v>
      </c>
      <c r="M24" s="5" t="s">
        <v>13</v>
      </c>
      <c r="N24" s="5" t="s">
        <v>58</v>
      </c>
      <c r="O24" s="5" t="s">
        <v>13</v>
      </c>
      <c r="P24" s="5">
        <v>0</v>
      </c>
      <c r="Q24" s="5">
        <v>100</v>
      </c>
      <c r="R24" s="5">
        <v>0</v>
      </c>
      <c r="S24" s="5">
        <v>0</v>
      </c>
      <c r="T24" s="5" t="s">
        <v>1673</v>
      </c>
      <c r="U24" s="5" t="s">
        <v>3173</v>
      </c>
      <c r="V24" s="5" t="s">
        <v>1953</v>
      </c>
      <c r="W24" s="5">
        <v>0</v>
      </c>
      <c r="X24" s="5">
        <v>0</v>
      </c>
      <c r="Y24" s="5">
        <v>0</v>
      </c>
      <c r="Z24" s="5" t="s">
        <v>1211</v>
      </c>
      <c r="AA24" s="5" t="s">
        <v>2132</v>
      </c>
      <c r="AB24" s="5" t="s">
        <v>19</v>
      </c>
      <c r="AC24" s="5" t="s">
        <v>19</v>
      </c>
      <c r="AD24" s="5" t="s">
        <v>19</v>
      </c>
      <c r="AE24" s="5" t="s">
        <v>1807</v>
      </c>
      <c r="AF24" s="5" t="s">
        <v>12</v>
      </c>
      <c r="AG24" s="5">
        <v>1</v>
      </c>
      <c r="AH24" s="5">
        <v>1</v>
      </c>
      <c r="AI24" s="5">
        <v>0</v>
      </c>
      <c r="AJ24" s="5">
        <v>100</v>
      </c>
      <c r="AK24" s="5">
        <v>0</v>
      </c>
      <c r="AL24" s="5" t="s">
        <v>12</v>
      </c>
      <c r="AM24" s="5" t="s">
        <v>12</v>
      </c>
      <c r="AN24" s="5" t="s">
        <v>12</v>
      </c>
      <c r="AO24" s="5" t="s">
        <v>11</v>
      </c>
      <c r="AP24" s="5" t="s">
        <v>11</v>
      </c>
      <c r="AQ24" s="5" t="s">
        <v>53</v>
      </c>
      <c r="AR24" s="5" t="s">
        <v>52</v>
      </c>
    </row>
    <row r="25" spans="1:44" ht="31.5" x14ac:dyDescent="0.25">
      <c r="A25" s="10">
        <v>46096</v>
      </c>
      <c r="B25" s="5" t="s">
        <v>291</v>
      </c>
      <c r="C25" s="5" t="s">
        <v>1956</v>
      </c>
      <c r="D25" s="5" t="s">
        <v>11</v>
      </c>
      <c r="E25" s="5" t="s">
        <v>0</v>
      </c>
      <c r="F25" s="5" t="s">
        <v>0</v>
      </c>
      <c r="G25" s="5" t="s">
        <v>3103</v>
      </c>
      <c r="H25" s="5" t="s">
        <v>3174</v>
      </c>
      <c r="I25" s="6" t="str">
        <f>HYPERLINK("http://maps.yandex.ru/?ll=37.7296,44.76596&amp;spn=0.011598,0.004531&amp;z=17&amp;l=map&amp;pt=37.7296,44.76596", "44.765965//37.7296")</f>
        <v>44.765965//37.7296</v>
      </c>
      <c r="J25" s="5" t="s">
        <v>88</v>
      </c>
      <c r="K25" s="6" t="str">
        <f>HYPERLINK("http://maps.yandex.ru/?ll=39.65149,46.59549&amp;spn=0.011598,0.004531&amp;z=17&amp;l=map&amp;pt=39.65149,46.59549", "46.595493//39.65149")</f>
        <v>46.595493//39.65149</v>
      </c>
      <c r="L25" s="5" t="s">
        <v>88</v>
      </c>
      <c r="M25" s="5" t="s">
        <v>3160</v>
      </c>
      <c r="N25" s="5" t="s">
        <v>698</v>
      </c>
      <c r="O25" s="5" t="s">
        <v>783</v>
      </c>
      <c r="P25" s="5">
        <v>38</v>
      </c>
      <c r="Q25" s="5">
        <v>30</v>
      </c>
      <c r="R25" s="5">
        <v>32</v>
      </c>
      <c r="S25" s="5">
        <v>438.673</v>
      </c>
      <c r="T25" s="5" t="s">
        <v>2024</v>
      </c>
      <c r="U25" s="5" t="s">
        <v>1957</v>
      </c>
      <c r="V25" s="5" t="s">
        <v>3175</v>
      </c>
      <c r="W25" s="5">
        <v>18.28</v>
      </c>
      <c r="X25" s="5">
        <v>47.67</v>
      </c>
      <c r="Y25" s="5">
        <v>226</v>
      </c>
      <c r="Z25" s="5" t="s">
        <v>1958</v>
      </c>
      <c r="AA25" s="5" t="s">
        <v>3176</v>
      </c>
      <c r="AB25" s="5" t="s">
        <v>19</v>
      </c>
      <c r="AC25" s="5" t="s">
        <v>19</v>
      </c>
      <c r="AD25" s="5" t="s">
        <v>19</v>
      </c>
      <c r="AE25" s="5" t="s">
        <v>1933</v>
      </c>
      <c r="AF25" s="5" t="s">
        <v>3177</v>
      </c>
      <c r="AG25" s="5">
        <v>132</v>
      </c>
      <c r="AH25" s="5">
        <v>4</v>
      </c>
      <c r="AI25" s="5">
        <v>128</v>
      </c>
      <c r="AJ25" s="5">
        <v>36.57</v>
      </c>
      <c r="AK25" s="5">
        <v>35.46</v>
      </c>
      <c r="AL25" s="5" t="s">
        <v>12</v>
      </c>
      <c r="AM25" s="5" t="s">
        <v>12</v>
      </c>
      <c r="AN25" s="5" t="s">
        <v>12</v>
      </c>
      <c r="AO25" s="5" t="s">
        <v>11</v>
      </c>
      <c r="AP25" s="5" t="s">
        <v>11</v>
      </c>
      <c r="AQ25" s="5" t="s">
        <v>53</v>
      </c>
      <c r="AR25" s="5" t="s">
        <v>52</v>
      </c>
    </row>
    <row r="26" spans="1:44" ht="31.5" x14ac:dyDescent="0.25">
      <c r="A26" s="10">
        <v>46096</v>
      </c>
      <c r="B26" s="5" t="s">
        <v>289</v>
      </c>
      <c r="C26" s="5" t="s">
        <v>1960</v>
      </c>
      <c r="D26" s="5" t="s">
        <v>11</v>
      </c>
      <c r="E26" s="5" t="s">
        <v>7</v>
      </c>
      <c r="F26" s="5" t="s">
        <v>7</v>
      </c>
      <c r="G26" s="5" t="s">
        <v>3178</v>
      </c>
      <c r="H26" s="5" t="s">
        <v>3179</v>
      </c>
      <c r="I26" s="6" t="str">
        <f>HYPERLINK("http://maps.yandex.ru/?ll=79.59668,55.3214&amp;spn=0.011598,0.004531&amp;z=17&amp;l=map&amp;pt=79.59668,55.3214", "55.32146//79.59668")</f>
        <v>55.32146//79.59668</v>
      </c>
      <c r="J26" s="5" t="s">
        <v>39</v>
      </c>
      <c r="K26" s="6" t="str">
        <f>HYPERLINK("http://maps.yandex.ru/?ll=72.90205,55.22951&amp;spn=0.011598,0.004531&amp;z=17&amp;l=map&amp;pt=72.90205,55.22951", "55.229515//72.90205")</f>
        <v>55.229515//72.90205</v>
      </c>
      <c r="L26" s="5" t="s">
        <v>190</v>
      </c>
      <c r="M26" s="5" t="s">
        <v>1009</v>
      </c>
      <c r="N26" s="5" t="s">
        <v>1504</v>
      </c>
      <c r="O26" s="5" t="s">
        <v>13</v>
      </c>
      <c r="P26" s="5">
        <v>29</v>
      </c>
      <c r="Q26" s="5">
        <v>71</v>
      </c>
      <c r="R26" s="5">
        <v>0</v>
      </c>
      <c r="S26" s="5">
        <v>489.34800000000001</v>
      </c>
      <c r="T26" s="5" t="s">
        <v>3180</v>
      </c>
      <c r="U26" s="5" t="s">
        <v>3181</v>
      </c>
      <c r="V26" s="5" t="s">
        <v>3182</v>
      </c>
      <c r="W26" s="5">
        <v>20.39</v>
      </c>
      <c r="X26" s="5">
        <v>70.650000000000006</v>
      </c>
      <c r="Y26" s="5">
        <v>99</v>
      </c>
      <c r="Z26" s="5" t="s">
        <v>1963</v>
      </c>
      <c r="AA26" s="5" t="s">
        <v>2417</v>
      </c>
      <c r="AB26" s="5" t="s">
        <v>19</v>
      </c>
      <c r="AC26" s="5" t="s">
        <v>19</v>
      </c>
      <c r="AD26" s="5" t="s">
        <v>19</v>
      </c>
      <c r="AE26" s="5" t="s">
        <v>2069</v>
      </c>
      <c r="AF26" s="5" t="s">
        <v>3183</v>
      </c>
      <c r="AG26" s="5">
        <v>188</v>
      </c>
      <c r="AH26" s="5">
        <v>30</v>
      </c>
      <c r="AI26" s="5">
        <v>158</v>
      </c>
      <c r="AJ26" s="5">
        <v>37.9</v>
      </c>
      <c r="AK26" s="5">
        <v>31.85</v>
      </c>
      <c r="AL26" s="5" t="s">
        <v>12</v>
      </c>
      <c r="AM26" s="5" t="s">
        <v>12</v>
      </c>
      <c r="AN26" s="5" t="s">
        <v>12</v>
      </c>
      <c r="AO26" s="5" t="s">
        <v>11</v>
      </c>
      <c r="AP26" s="5" t="s">
        <v>11</v>
      </c>
      <c r="AQ26" s="5" t="s">
        <v>53</v>
      </c>
      <c r="AR26" s="5" t="s">
        <v>52</v>
      </c>
    </row>
    <row r="27" spans="1:44" ht="31.5" x14ac:dyDescent="0.25">
      <c r="A27" s="10">
        <v>46096</v>
      </c>
      <c r="B27" s="5" t="s">
        <v>287</v>
      </c>
      <c r="C27" s="5" t="s">
        <v>1965</v>
      </c>
      <c r="D27" s="5" t="s">
        <v>11</v>
      </c>
      <c r="E27" s="5" t="s">
        <v>6</v>
      </c>
      <c r="F27" s="5" t="s">
        <v>6</v>
      </c>
      <c r="G27" s="5" t="s">
        <v>3103</v>
      </c>
      <c r="H27" s="5" t="s">
        <v>3184</v>
      </c>
      <c r="I27" s="6" t="str">
        <f>HYPERLINK("http://maps.yandex.ru/?ll=45.991207,51.74109&amp;spn=0.011598,0.004531&amp;z=17&amp;l=map&amp;pt=45.991207,51.74109", "51.741096//45.991207")</f>
        <v>51.741096//45.991207</v>
      </c>
      <c r="J27" s="5" t="s">
        <v>213</v>
      </c>
      <c r="K27" s="6" t="str">
        <f>HYPERLINK("http://maps.yandex.ru/?ll=50.15365,53.0835&amp;spn=0.011598,0.004531&amp;z=17&amp;l=map&amp;pt=50.15365,53.0835", "53.08354//50.15365")</f>
        <v>53.08354//50.15365</v>
      </c>
      <c r="L27" s="5" t="s">
        <v>76</v>
      </c>
      <c r="M27" s="5" t="s">
        <v>226</v>
      </c>
      <c r="N27" s="5" t="s">
        <v>1204</v>
      </c>
      <c r="O27" s="5" t="s">
        <v>159</v>
      </c>
      <c r="P27" s="5">
        <v>19</v>
      </c>
      <c r="Q27" s="5">
        <v>50</v>
      </c>
      <c r="R27" s="5">
        <v>31</v>
      </c>
      <c r="S27" s="5">
        <v>245.542</v>
      </c>
      <c r="T27" s="5" t="s">
        <v>1614</v>
      </c>
      <c r="U27" s="5" t="s">
        <v>3185</v>
      </c>
      <c r="V27" s="5" t="s">
        <v>3186</v>
      </c>
      <c r="W27" s="5">
        <v>10.23</v>
      </c>
      <c r="X27" s="5">
        <v>52.97</v>
      </c>
      <c r="Y27" s="5">
        <v>114</v>
      </c>
      <c r="Z27" s="5" t="s">
        <v>1967</v>
      </c>
      <c r="AA27" s="5" t="s">
        <v>3187</v>
      </c>
      <c r="AB27" s="5" t="s">
        <v>19</v>
      </c>
      <c r="AC27" s="5" t="s">
        <v>19</v>
      </c>
      <c r="AD27" s="5" t="s">
        <v>19</v>
      </c>
      <c r="AE27" s="5" t="s">
        <v>2038</v>
      </c>
      <c r="AF27" s="5" t="s">
        <v>3188</v>
      </c>
      <c r="AG27" s="5">
        <v>106</v>
      </c>
      <c r="AH27" s="5">
        <v>45</v>
      </c>
      <c r="AI27" s="5">
        <v>61</v>
      </c>
      <c r="AJ27" s="5">
        <v>25.48</v>
      </c>
      <c r="AK27" s="5">
        <v>14.66</v>
      </c>
      <c r="AL27" s="5" t="s">
        <v>12</v>
      </c>
      <c r="AM27" s="5" t="s">
        <v>12</v>
      </c>
      <c r="AN27" s="5" t="s">
        <v>12</v>
      </c>
      <c r="AO27" s="5" t="s">
        <v>11</v>
      </c>
      <c r="AP27" s="5" t="s">
        <v>11</v>
      </c>
      <c r="AQ27" s="5" t="s">
        <v>53</v>
      </c>
      <c r="AR27" s="5" t="s">
        <v>52</v>
      </c>
    </row>
    <row r="28" spans="1:44" ht="31.5" x14ac:dyDescent="0.25">
      <c r="A28" s="10">
        <v>46096</v>
      </c>
      <c r="B28" s="5" t="s">
        <v>285</v>
      </c>
      <c r="C28" s="5" t="s">
        <v>1968</v>
      </c>
      <c r="D28" s="5" t="s">
        <v>11</v>
      </c>
      <c r="E28" s="5" t="s">
        <v>5</v>
      </c>
      <c r="F28" s="5" t="s">
        <v>5</v>
      </c>
      <c r="G28" s="5" t="s">
        <v>3189</v>
      </c>
      <c r="H28" s="5" t="s">
        <v>3190</v>
      </c>
      <c r="I28" s="6" t="str">
        <f>HYPERLINK("http://maps.yandex.ru/?ll=44.826897,48.77282&amp;spn=0.011598,0.004531&amp;z=17&amp;l=map&amp;pt=44.826897,48.77282", "48.772823//44.826897")</f>
        <v>48.772823//44.826897</v>
      </c>
      <c r="J28" s="5" t="s">
        <v>95</v>
      </c>
      <c r="K28" s="6" t="str">
        <f>HYPERLINK("http://maps.yandex.ru/?ll=42.924267,48.64233&amp;spn=0.011598,0.004531&amp;z=17&amp;l=map&amp;pt=42.924267,48.64233", "48.642338//42.924267")</f>
        <v>48.642338//42.924267</v>
      </c>
      <c r="L28" s="5" t="s">
        <v>95</v>
      </c>
      <c r="M28" s="5" t="s">
        <v>1537</v>
      </c>
      <c r="N28" s="5" t="s">
        <v>1497</v>
      </c>
      <c r="O28" s="5" t="s">
        <v>247</v>
      </c>
      <c r="P28" s="5">
        <v>14</v>
      </c>
      <c r="Q28" s="5">
        <v>48</v>
      </c>
      <c r="R28" s="5">
        <v>37</v>
      </c>
      <c r="S28" s="5">
        <v>176.691</v>
      </c>
      <c r="T28" s="5" t="s">
        <v>12</v>
      </c>
      <c r="U28" s="5" t="s">
        <v>12</v>
      </c>
      <c r="V28" s="5" t="s">
        <v>12</v>
      </c>
      <c r="W28" s="5">
        <v>7.36</v>
      </c>
      <c r="X28" s="5">
        <v>51.72</v>
      </c>
      <c r="Y28" s="5">
        <v>95</v>
      </c>
      <c r="Z28" s="5" t="s">
        <v>1894</v>
      </c>
      <c r="AA28" s="5" t="s">
        <v>2041</v>
      </c>
      <c r="AB28" s="5" t="s">
        <v>19</v>
      </c>
      <c r="AC28" s="5" t="s">
        <v>19</v>
      </c>
      <c r="AD28" s="5" t="s">
        <v>19</v>
      </c>
      <c r="AE28" s="5" t="s">
        <v>1673</v>
      </c>
      <c r="AF28" s="5" t="s">
        <v>12</v>
      </c>
      <c r="AG28" s="5"/>
      <c r="AH28" s="5"/>
      <c r="AI28" s="5"/>
      <c r="AJ28" s="5"/>
      <c r="AK28" s="5"/>
      <c r="AL28" s="5" t="s">
        <v>12</v>
      </c>
      <c r="AM28" s="5" t="s">
        <v>12</v>
      </c>
      <c r="AN28" s="5" t="s">
        <v>12</v>
      </c>
      <c r="AO28" s="5" t="s">
        <v>115</v>
      </c>
      <c r="AP28" s="5" t="s">
        <v>114</v>
      </c>
      <c r="AQ28" s="5" t="s">
        <v>99</v>
      </c>
      <c r="AR28" s="5" t="s">
        <v>98</v>
      </c>
    </row>
    <row r="29" spans="1:44" ht="31.5" x14ac:dyDescent="0.25">
      <c r="A29" s="10">
        <v>46096</v>
      </c>
      <c r="B29" s="5" t="s">
        <v>282</v>
      </c>
      <c r="C29" s="5" t="s">
        <v>1969</v>
      </c>
      <c r="D29" s="5" t="s">
        <v>11</v>
      </c>
      <c r="E29" s="5" t="s">
        <v>3</v>
      </c>
      <c r="F29" s="5" t="s">
        <v>3</v>
      </c>
      <c r="G29" s="5" t="s">
        <v>3191</v>
      </c>
      <c r="H29" s="5" t="s">
        <v>3192</v>
      </c>
      <c r="I29" s="6" t="str">
        <f>HYPERLINK("http://maps.yandex.ru/?ll=37.888195,56.02353&amp;spn=0.011598,0.004531&amp;z=17&amp;l=map&amp;pt=37.888195,56.02353", "56.023533//37.888195")</f>
        <v>56.023533//37.888195</v>
      </c>
      <c r="J29" s="5" t="s">
        <v>56</v>
      </c>
      <c r="K29" s="6" t="str">
        <f>HYPERLINK("http://maps.yandex.ru/?ll=38.243652,55.82768&amp;spn=0.011598,0.004531&amp;z=17&amp;l=map&amp;pt=38.243652,55.82768", "55.827682//38.243652")</f>
        <v>55.827682//38.243652</v>
      </c>
      <c r="L29" s="5" t="s">
        <v>56</v>
      </c>
      <c r="M29" s="5" t="s">
        <v>861</v>
      </c>
      <c r="N29" s="5" t="s">
        <v>3193</v>
      </c>
      <c r="O29" s="5" t="s">
        <v>3194</v>
      </c>
      <c r="P29" s="5">
        <v>7</v>
      </c>
      <c r="Q29" s="5">
        <v>80</v>
      </c>
      <c r="R29" s="5">
        <v>13</v>
      </c>
      <c r="S29" s="5">
        <v>78.47</v>
      </c>
      <c r="T29" s="5" t="s">
        <v>1568</v>
      </c>
      <c r="U29" s="5" t="s">
        <v>3195</v>
      </c>
      <c r="V29" s="5" t="s">
        <v>3196</v>
      </c>
      <c r="W29" s="5">
        <v>3.27</v>
      </c>
      <c r="X29" s="5">
        <v>49.87</v>
      </c>
      <c r="Y29" s="5">
        <v>87</v>
      </c>
      <c r="Z29" s="5" t="s">
        <v>1476</v>
      </c>
      <c r="AA29" s="5" t="s">
        <v>2443</v>
      </c>
      <c r="AB29" s="5" t="s">
        <v>19</v>
      </c>
      <c r="AC29" s="5" t="s">
        <v>19</v>
      </c>
      <c r="AD29" s="5" t="s">
        <v>19</v>
      </c>
      <c r="AE29" s="5" t="s">
        <v>2337</v>
      </c>
      <c r="AF29" s="5" t="s">
        <v>3197</v>
      </c>
      <c r="AG29" s="5">
        <v>26</v>
      </c>
      <c r="AH29" s="5">
        <v>2</v>
      </c>
      <c r="AI29" s="5">
        <v>24</v>
      </c>
      <c r="AJ29" s="5">
        <v>32.1</v>
      </c>
      <c r="AK29" s="5">
        <v>29.63</v>
      </c>
      <c r="AL29" s="5" t="s">
        <v>12</v>
      </c>
      <c r="AM29" s="5" t="s">
        <v>12</v>
      </c>
      <c r="AN29" s="5" t="s">
        <v>12</v>
      </c>
      <c r="AO29" s="5" t="s">
        <v>11</v>
      </c>
      <c r="AP29" s="5" t="s">
        <v>11</v>
      </c>
      <c r="AQ29" s="5" t="s">
        <v>53</v>
      </c>
      <c r="AR29" s="5" t="s">
        <v>52</v>
      </c>
    </row>
    <row r="30" spans="1:44" ht="31.5" x14ac:dyDescent="0.25">
      <c r="A30" s="10">
        <v>46096</v>
      </c>
      <c r="B30" s="5" t="s">
        <v>281</v>
      </c>
      <c r="C30" s="5" t="s">
        <v>1972</v>
      </c>
      <c r="D30" s="5" t="s">
        <v>11</v>
      </c>
      <c r="E30" s="5" t="s">
        <v>0</v>
      </c>
      <c r="F30" s="5" t="s">
        <v>0</v>
      </c>
      <c r="G30" s="5" t="s">
        <v>3198</v>
      </c>
      <c r="H30" s="5" t="s">
        <v>3199</v>
      </c>
      <c r="I30" s="6" t="str">
        <f>HYPERLINK("http://maps.yandex.ru/?ll=39.986637,50.8543&amp;spn=0.011598,0.004531&amp;z=17&amp;l=map&amp;pt=39.986637,50.8543", "50.85431//39.986637")</f>
        <v>50.85431//39.986637</v>
      </c>
      <c r="J30" s="5" t="s">
        <v>101</v>
      </c>
      <c r="K30" s="6" t="str">
        <f>HYPERLINK("http://maps.yandex.ru/?ll=38.283024,55.40649&amp;spn=0.011598,0.004531&amp;z=17&amp;l=map&amp;pt=38.283024,55.40649", "55.406494//38.283024")</f>
        <v>55.406494//38.283024</v>
      </c>
      <c r="L30" s="5" t="s">
        <v>56</v>
      </c>
      <c r="M30" s="5" t="s">
        <v>339</v>
      </c>
      <c r="N30" s="5" t="s">
        <v>716</v>
      </c>
      <c r="O30" s="5" t="s">
        <v>861</v>
      </c>
      <c r="P30" s="5">
        <v>31</v>
      </c>
      <c r="Q30" s="5">
        <v>62</v>
      </c>
      <c r="R30" s="5">
        <v>7</v>
      </c>
      <c r="S30" s="5">
        <v>560.36800000000005</v>
      </c>
      <c r="T30" s="5" t="s">
        <v>12</v>
      </c>
      <c r="U30" s="5" t="s">
        <v>12</v>
      </c>
      <c r="V30" s="5" t="s">
        <v>12</v>
      </c>
      <c r="W30" s="5">
        <v>23.35</v>
      </c>
      <c r="X30" s="5">
        <v>74.63</v>
      </c>
      <c r="Y30" s="5">
        <v>109</v>
      </c>
      <c r="Z30" s="5" t="s">
        <v>1974</v>
      </c>
      <c r="AA30" s="5" t="s">
        <v>2015</v>
      </c>
      <c r="AB30" s="5" t="s">
        <v>1670</v>
      </c>
      <c r="AC30" s="5" t="s">
        <v>1671</v>
      </c>
      <c r="AD30" s="5" t="s">
        <v>19</v>
      </c>
      <c r="AE30" s="5" t="s">
        <v>1910</v>
      </c>
      <c r="AF30" s="5" t="s">
        <v>12</v>
      </c>
      <c r="AG30" s="5"/>
      <c r="AH30" s="5"/>
      <c r="AI30" s="5"/>
      <c r="AJ30" s="5"/>
      <c r="AK30" s="5"/>
      <c r="AL30" s="5" t="s">
        <v>1508</v>
      </c>
      <c r="AM30" s="5" t="s">
        <v>3200</v>
      </c>
      <c r="AN30" s="5" t="s">
        <v>2049</v>
      </c>
      <c r="AO30" s="5" t="s">
        <v>115</v>
      </c>
      <c r="AP30" s="5" t="s">
        <v>114</v>
      </c>
      <c r="AQ30" s="5" t="s">
        <v>99</v>
      </c>
      <c r="AR30" s="5" t="s">
        <v>98</v>
      </c>
    </row>
    <row r="31" spans="1:44" ht="31.5" x14ac:dyDescent="0.25">
      <c r="A31" s="10">
        <v>46096</v>
      </c>
      <c r="B31" s="5" t="s">
        <v>278</v>
      </c>
      <c r="C31" s="5" t="s">
        <v>1975</v>
      </c>
      <c r="D31" s="5" t="s">
        <v>11</v>
      </c>
      <c r="E31" s="5" t="s">
        <v>1</v>
      </c>
      <c r="F31" s="5" t="s">
        <v>1</v>
      </c>
      <c r="G31" s="5" t="s">
        <v>3103</v>
      </c>
      <c r="H31" s="5" t="s">
        <v>3201</v>
      </c>
      <c r="I31" s="6" t="str">
        <f>HYPERLINK("http://maps.yandex.ru/?ll=39.205235,51.81760&amp;spn=0.011598,0.004531&amp;z=17&amp;l=map&amp;pt=39.205235,51.81760", "51.817604//39.205235")</f>
        <v>51.817604//39.205235</v>
      </c>
      <c r="J31" s="5" t="s">
        <v>101</v>
      </c>
      <c r="K31" s="6" t="str">
        <f>HYPERLINK("http://maps.yandex.ru/?ll=40.625137,49.20009&amp;spn=0.011598,0.004531&amp;z=17&amp;l=map&amp;pt=40.625137,49.20009", "49.200096//40.625137")</f>
        <v>49.200096//40.625137</v>
      </c>
      <c r="L31" s="5" t="s">
        <v>64</v>
      </c>
      <c r="M31" s="5" t="s">
        <v>124</v>
      </c>
      <c r="N31" s="5" t="s">
        <v>1053</v>
      </c>
      <c r="O31" s="5" t="s">
        <v>170</v>
      </c>
      <c r="P31" s="5">
        <v>41</v>
      </c>
      <c r="Q31" s="5">
        <v>49</v>
      </c>
      <c r="R31" s="5">
        <v>10</v>
      </c>
      <c r="S31" s="5">
        <v>649.03</v>
      </c>
      <c r="T31" s="5" t="s">
        <v>12</v>
      </c>
      <c r="U31" s="5" t="s">
        <v>12</v>
      </c>
      <c r="V31" s="5" t="s">
        <v>12</v>
      </c>
      <c r="W31" s="5">
        <v>27.04</v>
      </c>
      <c r="X31" s="5">
        <v>66.010000000000005</v>
      </c>
      <c r="Y31" s="5">
        <v>105</v>
      </c>
      <c r="Z31" s="5" t="s">
        <v>12</v>
      </c>
      <c r="AA31" s="5" t="s">
        <v>12</v>
      </c>
      <c r="AB31" s="5" t="s">
        <v>19</v>
      </c>
      <c r="AC31" s="5" t="s">
        <v>19</v>
      </c>
      <c r="AD31" s="5" t="s">
        <v>19</v>
      </c>
      <c r="AE31" s="5" t="s">
        <v>12</v>
      </c>
      <c r="AF31" s="5" t="s">
        <v>12</v>
      </c>
      <c r="AG31" s="5"/>
      <c r="AH31" s="5"/>
      <c r="AI31" s="5"/>
      <c r="AJ31" s="5"/>
      <c r="AK31" s="5"/>
      <c r="AL31" s="5" t="s">
        <v>1822</v>
      </c>
      <c r="AM31" s="5" t="s">
        <v>2175</v>
      </c>
      <c r="AN31" s="5" t="s">
        <v>1746</v>
      </c>
      <c r="AO31" s="5" t="s">
        <v>115</v>
      </c>
      <c r="AP31" s="5" t="s">
        <v>114</v>
      </c>
      <c r="AQ31" s="5" t="s">
        <v>99</v>
      </c>
      <c r="AR31" s="5" t="s">
        <v>275</v>
      </c>
    </row>
    <row r="32" spans="1:44" ht="15.75" x14ac:dyDescent="0.25">
      <c r="A32" s="10">
        <v>46096</v>
      </c>
      <c r="B32" s="5" t="s">
        <v>274</v>
      </c>
      <c r="C32" s="5" t="s">
        <v>1977</v>
      </c>
      <c r="D32" s="5" t="s">
        <v>11</v>
      </c>
      <c r="E32" s="5" t="s">
        <v>8</v>
      </c>
      <c r="F32" s="5" t="s">
        <v>8</v>
      </c>
      <c r="G32" s="5" t="s">
        <v>3202</v>
      </c>
      <c r="H32" s="5" t="s">
        <v>3203</v>
      </c>
      <c r="I32" s="6" t="str">
        <f>HYPERLINK("http://maps.yandex.ru/?ll=43.45779,56.2983&amp;spn=0.011598,0.004531&amp;z=17&amp;l=map&amp;pt=43.45779,56.2983", "56.29832//43.45779")</f>
        <v>56.29832//43.45779</v>
      </c>
      <c r="J32" s="5" t="s">
        <v>15</v>
      </c>
      <c r="K32" s="6" t="str">
        <f>HYPERLINK("http://maps.yandex.ru/?ll=34.70878,57.4652&amp;spn=0.011598,0.004531&amp;z=17&amp;l=map&amp;pt=34.70878,57.4652", "57.46528//34.70878")</f>
        <v>57.46528//34.70878</v>
      </c>
      <c r="L32" s="5" t="s">
        <v>50</v>
      </c>
      <c r="M32" s="5" t="s">
        <v>1365</v>
      </c>
      <c r="N32" s="5" t="s">
        <v>1351</v>
      </c>
      <c r="O32" s="5" t="s">
        <v>45</v>
      </c>
      <c r="P32" s="5">
        <v>42</v>
      </c>
      <c r="Q32" s="5">
        <v>56</v>
      </c>
      <c r="R32" s="5">
        <v>1</v>
      </c>
      <c r="S32" s="5">
        <v>660.34799999999996</v>
      </c>
      <c r="T32" s="5" t="s">
        <v>12</v>
      </c>
      <c r="U32" s="5" t="s">
        <v>12</v>
      </c>
      <c r="V32" s="5" t="s">
        <v>12</v>
      </c>
      <c r="W32" s="5">
        <v>27.51</v>
      </c>
      <c r="X32" s="5">
        <v>65</v>
      </c>
      <c r="Y32" s="5">
        <v>97</v>
      </c>
      <c r="Z32" s="5" t="s">
        <v>1610</v>
      </c>
      <c r="AA32" s="5" t="s">
        <v>2321</v>
      </c>
      <c r="AB32" s="5" t="s">
        <v>19</v>
      </c>
      <c r="AC32" s="5" t="s">
        <v>19</v>
      </c>
      <c r="AD32" s="5" t="s">
        <v>19</v>
      </c>
      <c r="AE32" s="5" t="s">
        <v>1671</v>
      </c>
      <c r="AF32" s="5" t="s">
        <v>12</v>
      </c>
      <c r="AG32" s="5"/>
      <c r="AH32" s="5"/>
      <c r="AI32" s="5"/>
      <c r="AJ32" s="5"/>
      <c r="AK32" s="5"/>
      <c r="AL32" s="5" t="s">
        <v>1978</v>
      </c>
      <c r="AM32" s="5" t="s">
        <v>1978</v>
      </c>
      <c r="AN32" s="5" t="s">
        <v>19</v>
      </c>
      <c r="AO32" s="5" t="s">
        <v>115</v>
      </c>
      <c r="AP32" s="5" t="s">
        <v>114</v>
      </c>
      <c r="AQ32" s="5" t="s">
        <v>99</v>
      </c>
      <c r="AR32" s="5" t="s">
        <v>98</v>
      </c>
    </row>
    <row r="33" spans="1:44" ht="31.5" x14ac:dyDescent="0.25">
      <c r="A33" s="10">
        <v>46096</v>
      </c>
      <c r="B33" s="5" t="s">
        <v>271</v>
      </c>
      <c r="C33" s="5" t="s">
        <v>1979</v>
      </c>
      <c r="D33" s="5" t="s">
        <v>11</v>
      </c>
      <c r="E33" s="5" t="s">
        <v>4</v>
      </c>
      <c r="F33" s="5" t="s">
        <v>4</v>
      </c>
      <c r="G33" s="5" t="s">
        <v>3204</v>
      </c>
      <c r="H33" s="5" t="s">
        <v>3121</v>
      </c>
      <c r="I33" s="6" t="str">
        <f>HYPERLINK("http://maps.yandex.ru/?ll=38.99305,45.086&amp;spn=0.011598,0.004531&amp;z=17&amp;l=map&amp;pt=38.99305,45.086", "45.0868//38.99305")</f>
        <v>45.0868//38.99305</v>
      </c>
      <c r="J33" s="5" t="s">
        <v>88</v>
      </c>
      <c r="K33" s="6" t="str">
        <f>HYPERLINK("http://maps.yandex.ru/?ll=39.621696,45.7172&amp;spn=0.011598,0.004531&amp;z=17&amp;l=map&amp;pt=39.621696,45.7172", "45.71729//39.621696")</f>
        <v>45.71729//39.621696</v>
      </c>
      <c r="L33" s="5" t="s">
        <v>88</v>
      </c>
      <c r="M33" s="5" t="s">
        <v>1439</v>
      </c>
      <c r="N33" s="5" t="s">
        <v>3205</v>
      </c>
      <c r="O33" s="5" t="s">
        <v>1288</v>
      </c>
      <c r="P33" s="5">
        <v>25</v>
      </c>
      <c r="Q33" s="5">
        <v>72</v>
      </c>
      <c r="R33" s="5">
        <v>3</v>
      </c>
      <c r="S33" s="5">
        <v>323.57900000000001</v>
      </c>
      <c r="T33" s="5" t="s">
        <v>12</v>
      </c>
      <c r="U33" s="5" t="s">
        <v>12</v>
      </c>
      <c r="V33" s="5" t="s">
        <v>12</v>
      </c>
      <c r="W33" s="5">
        <v>13.48</v>
      </c>
      <c r="X33" s="5">
        <v>53.53</v>
      </c>
      <c r="Y33" s="5">
        <v>147</v>
      </c>
      <c r="Z33" s="5" t="s">
        <v>1670</v>
      </c>
      <c r="AA33" s="5" t="s">
        <v>2317</v>
      </c>
      <c r="AB33" s="5" t="s">
        <v>2054</v>
      </c>
      <c r="AC33" s="5" t="s">
        <v>1673</v>
      </c>
      <c r="AD33" s="5" t="s">
        <v>19</v>
      </c>
      <c r="AE33" s="5" t="s">
        <v>1698</v>
      </c>
      <c r="AF33" s="5" t="s">
        <v>12</v>
      </c>
      <c r="AG33" s="5"/>
      <c r="AH33" s="5"/>
      <c r="AI33" s="5"/>
      <c r="AJ33" s="5"/>
      <c r="AK33" s="5"/>
      <c r="AL33" s="5" t="s">
        <v>3206</v>
      </c>
      <c r="AM33" s="5" t="s">
        <v>3207</v>
      </c>
      <c r="AN33" s="5" t="s">
        <v>1870</v>
      </c>
      <c r="AO33" s="5" t="s">
        <v>115</v>
      </c>
      <c r="AP33" s="5" t="s">
        <v>114</v>
      </c>
      <c r="AQ33" s="5" t="s">
        <v>99</v>
      </c>
      <c r="AR33" s="5" t="s">
        <v>98</v>
      </c>
    </row>
    <row r="34" spans="1:44" ht="31.5" x14ac:dyDescent="0.25">
      <c r="A34" s="10">
        <v>46096</v>
      </c>
      <c r="B34" s="5" t="s">
        <v>268</v>
      </c>
      <c r="C34" s="5" t="s">
        <v>1980</v>
      </c>
      <c r="D34" s="5" t="s">
        <v>11</v>
      </c>
      <c r="E34" s="5" t="s">
        <v>8</v>
      </c>
      <c r="F34" s="5" t="s">
        <v>8</v>
      </c>
      <c r="G34" s="5" t="s">
        <v>3208</v>
      </c>
      <c r="H34" s="5" t="s">
        <v>3209</v>
      </c>
      <c r="I34" s="6" t="str">
        <f>HYPERLINK("http://maps.yandex.ru/?ll=42.073578,44.2404&amp;spn=0.011598,0.004531&amp;z=17&amp;l=map&amp;pt=42.073578,44.2404", "44.24046//42.073578")</f>
        <v>44.24046//42.073578</v>
      </c>
      <c r="J34" s="5" t="s">
        <v>23</v>
      </c>
      <c r="K34" s="6" t="str">
        <f>HYPERLINK("http://maps.yandex.ru/?ll=41.579353,44.7697&amp;spn=0.011598,0.004531&amp;z=17&amp;l=map&amp;pt=41.579353,44.7697", "44.76979//41.579353")</f>
        <v>44.76979//41.579353</v>
      </c>
      <c r="L34" s="5" t="s">
        <v>88</v>
      </c>
      <c r="M34" s="5" t="s">
        <v>283</v>
      </c>
      <c r="N34" s="5" t="s">
        <v>3210</v>
      </c>
      <c r="O34" s="5" t="s">
        <v>314</v>
      </c>
      <c r="P34" s="5">
        <v>9</v>
      </c>
      <c r="Q34" s="5">
        <v>55</v>
      </c>
      <c r="R34" s="5">
        <v>35</v>
      </c>
      <c r="S34" s="5">
        <v>123.565</v>
      </c>
      <c r="T34" s="5" t="s">
        <v>2769</v>
      </c>
      <c r="U34" s="5" t="s">
        <v>3211</v>
      </c>
      <c r="V34" s="5" t="s">
        <v>3212</v>
      </c>
      <c r="W34" s="5">
        <v>5.15</v>
      </c>
      <c r="X34" s="5">
        <v>54.37</v>
      </c>
      <c r="Y34" s="5">
        <v>136</v>
      </c>
      <c r="Z34" s="5" t="s">
        <v>1906</v>
      </c>
      <c r="AA34" s="5" t="s">
        <v>1704</v>
      </c>
      <c r="AB34" s="5" t="s">
        <v>19</v>
      </c>
      <c r="AC34" s="5" t="s">
        <v>19</v>
      </c>
      <c r="AD34" s="5" t="s">
        <v>19</v>
      </c>
      <c r="AE34" s="5" t="s">
        <v>2802</v>
      </c>
      <c r="AF34" s="5" t="s">
        <v>3213</v>
      </c>
      <c r="AG34" s="5">
        <v>28</v>
      </c>
      <c r="AH34" s="5">
        <v>1</v>
      </c>
      <c r="AI34" s="5">
        <v>27</v>
      </c>
      <c r="AJ34" s="5">
        <v>31.82</v>
      </c>
      <c r="AK34" s="5">
        <v>30.68</v>
      </c>
      <c r="AL34" s="5" t="s">
        <v>12</v>
      </c>
      <c r="AM34" s="5" t="s">
        <v>12</v>
      </c>
      <c r="AN34" s="5" t="s">
        <v>12</v>
      </c>
      <c r="AO34" s="5" t="s">
        <v>11</v>
      </c>
      <c r="AP34" s="5" t="s">
        <v>11</v>
      </c>
      <c r="AQ34" s="5" t="s">
        <v>123</v>
      </c>
      <c r="AR34" s="5" t="s">
        <v>122</v>
      </c>
    </row>
    <row r="35" spans="1:44" ht="15.75" x14ac:dyDescent="0.25">
      <c r="A35" s="10">
        <v>46096</v>
      </c>
      <c r="B35" s="5" t="s">
        <v>266</v>
      </c>
      <c r="C35" s="5" t="s">
        <v>1982</v>
      </c>
      <c r="D35" s="5" t="s">
        <v>11</v>
      </c>
      <c r="E35" s="5" t="s">
        <v>8</v>
      </c>
      <c r="F35" s="5" t="s">
        <v>8</v>
      </c>
      <c r="G35" s="5" t="s">
        <v>11</v>
      </c>
      <c r="H35" s="5" t="s">
        <v>11</v>
      </c>
      <c r="I35" s="6" t="str">
        <f>HYPERLINK("http://maps.yandex.ru/?ll=,&amp;spn=0.011598,0.004531&amp;z=17&amp;l=map&amp;pt=,", "")</f>
        <v/>
      </c>
      <c r="J35" s="5" t="s">
        <v>84</v>
      </c>
      <c r="K35" s="6" t="str">
        <f>HYPERLINK("http://maps.yandex.ru/?ll=,&amp;spn=0.011598,0.004531&amp;z=17&amp;l=map&amp;pt=,", "")</f>
        <v/>
      </c>
      <c r="L35" s="5" t="s">
        <v>84</v>
      </c>
      <c r="M35" s="5" t="s">
        <v>13</v>
      </c>
      <c r="N35" s="5" t="s">
        <v>13</v>
      </c>
      <c r="O35" s="5" t="s">
        <v>58</v>
      </c>
      <c r="P35" s="5">
        <v>0</v>
      </c>
      <c r="Q35" s="5">
        <v>0</v>
      </c>
      <c r="R35" s="5">
        <v>100</v>
      </c>
      <c r="S35" s="5">
        <v>0</v>
      </c>
      <c r="T35" s="5" t="s">
        <v>12</v>
      </c>
      <c r="U35" s="5" t="s">
        <v>12</v>
      </c>
      <c r="V35" s="5" t="s">
        <v>12</v>
      </c>
      <c r="W35" s="5">
        <v>0</v>
      </c>
      <c r="X35" s="5">
        <v>0</v>
      </c>
      <c r="Y35" s="5">
        <v>0</v>
      </c>
      <c r="Z35" s="5" t="s">
        <v>12</v>
      </c>
      <c r="AA35" s="5" t="s">
        <v>12</v>
      </c>
      <c r="AB35" s="5" t="s">
        <v>19</v>
      </c>
      <c r="AC35" s="5" t="s">
        <v>19</v>
      </c>
      <c r="AD35" s="5" t="s">
        <v>19</v>
      </c>
      <c r="AE35" s="5" t="s">
        <v>12</v>
      </c>
      <c r="AF35" s="5" t="s">
        <v>12</v>
      </c>
      <c r="AG35" s="5"/>
      <c r="AH35" s="5">
        <v>0</v>
      </c>
      <c r="AI35" s="5"/>
      <c r="AJ35" s="5"/>
      <c r="AK35" s="5"/>
      <c r="AL35" s="5" t="s">
        <v>12</v>
      </c>
      <c r="AM35" s="5" t="s">
        <v>12</v>
      </c>
      <c r="AN35" s="5" t="s">
        <v>12</v>
      </c>
      <c r="AO35" s="5" t="s">
        <v>11</v>
      </c>
      <c r="AP35" s="5" t="s">
        <v>11</v>
      </c>
      <c r="AQ35" s="5" t="s">
        <v>123</v>
      </c>
      <c r="AR35" s="5" t="s">
        <v>122</v>
      </c>
    </row>
    <row r="36" spans="1:44" ht="31.5" x14ac:dyDescent="0.25">
      <c r="A36" s="10">
        <v>46096</v>
      </c>
      <c r="B36" s="5" t="s">
        <v>265</v>
      </c>
      <c r="C36" s="5" t="s">
        <v>1983</v>
      </c>
      <c r="D36" s="5" t="s">
        <v>11</v>
      </c>
      <c r="E36" s="5" t="s">
        <v>1</v>
      </c>
      <c r="F36" s="5" t="s">
        <v>1</v>
      </c>
      <c r="G36" s="5" t="s">
        <v>3214</v>
      </c>
      <c r="H36" s="5" t="s">
        <v>3215</v>
      </c>
      <c r="I36" s="6" t="str">
        <f>HYPERLINK("http://maps.yandex.ru/?ll=62.167915,55.21944&amp;spn=0.011598,0.004531&amp;z=17&amp;l=map&amp;pt=62.167915,55.21944", "55.219448//62.167915")</f>
        <v>55.219448//62.167915</v>
      </c>
      <c r="J36" s="5" t="s">
        <v>361</v>
      </c>
      <c r="K36" s="6" t="str">
        <f>HYPERLINK("http://maps.yandex.ru/?ll=71.37427,56.0383&amp;spn=0.011598,0.004531&amp;z=17&amp;l=map&amp;pt=71.37427,56.0383", "56.03832//71.37427")</f>
        <v>56.03832//71.37427</v>
      </c>
      <c r="L36" s="5" t="s">
        <v>190</v>
      </c>
      <c r="M36" s="5" t="s">
        <v>3216</v>
      </c>
      <c r="N36" s="5" t="s">
        <v>1386</v>
      </c>
      <c r="O36" s="5" t="s">
        <v>13</v>
      </c>
      <c r="P36" s="5">
        <v>38</v>
      </c>
      <c r="Q36" s="5">
        <v>62</v>
      </c>
      <c r="R36" s="5">
        <v>0</v>
      </c>
      <c r="S36" s="5">
        <v>663.44799999999998</v>
      </c>
      <c r="T36" s="5" t="s">
        <v>2821</v>
      </c>
      <c r="U36" s="5" t="s">
        <v>3217</v>
      </c>
      <c r="V36" s="5" t="s">
        <v>3218</v>
      </c>
      <c r="W36" s="5">
        <v>27.64</v>
      </c>
      <c r="X36" s="5">
        <v>73.38</v>
      </c>
      <c r="Y36" s="5">
        <v>96</v>
      </c>
      <c r="Z36" s="5" t="s">
        <v>1985</v>
      </c>
      <c r="AA36" s="5" t="s">
        <v>3219</v>
      </c>
      <c r="AB36" s="5" t="s">
        <v>3220</v>
      </c>
      <c r="AC36" s="5" t="s">
        <v>1673</v>
      </c>
      <c r="AD36" s="5" t="s">
        <v>19</v>
      </c>
      <c r="AE36" s="5" t="s">
        <v>2197</v>
      </c>
      <c r="AF36" s="5" t="s">
        <v>3221</v>
      </c>
      <c r="AG36" s="5">
        <v>195</v>
      </c>
      <c r="AH36" s="5">
        <v>4</v>
      </c>
      <c r="AI36" s="5">
        <v>191</v>
      </c>
      <c r="AJ36" s="5">
        <v>27.9</v>
      </c>
      <c r="AK36" s="5">
        <v>27.32</v>
      </c>
      <c r="AL36" s="5" t="s">
        <v>12</v>
      </c>
      <c r="AM36" s="5" t="s">
        <v>12</v>
      </c>
      <c r="AN36" s="5" t="s">
        <v>12</v>
      </c>
      <c r="AO36" s="5" t="s">
        <v>11</v>
      </c>
      <c r="AP36" s="5" t="s">
        <v>11</v>
      </c>
      <c r="AQ36" s="5" t="s">
        <v>18</v>
      </c>
      <c r="AR36" s="5" t="s">
        <v>17</v>
      </c>
    </row>
    <row r="37" spans="1:44" ht="31.5" x14ac:dyDescent="0.25">
      <c r="A37" s="10">
        <v>46096</v>
      </c>
      <c r="B37" s="5" t="s">
        <v>264</v>
      </c>
      <c r="C37" s="5" t="s">
        <v>1899</v>
      </c>
      <c r="D37" s="5" t="s">
        <v>11</v>
      </c>
      <c r="E37" s="5" t="s">
        <v>0</v>
      </c>
      <c r="F37" s="5" t="s">
        <v>0</v>
      </c>
      <c r="G37" s="5" t="s">
        <v>3222</v>
      </c>
      <c r="H37" s="5" t="s">
        <v>3223</v>
      </c>
      <c r="I37" s="6" t="str">
        <f>HYPERLINK("http://maps.yandex.ru/?ll=30.646744,59.66802&amp;spn=0.011598,0.004531&amp;z=17&amp;l=map&amp;pt=30.646744,59.66802", "59.668022//30.646744")</f>
        <v>59.668022//30.646744</v>
      </c>
      <c r="J37" s="5" t="s">
        <v>22</v>
      </c>
      <c r="K37" s="6" t="str">
        <f>HYPERLINK("http://maps.yandex.ru/?ll=35.685223,56.88239&amp;spn=0.011598,0.004531&amp;z=17&amp;l=map&amp;pt=35.685223,56.88239", "56.882393//35.685223")</f>
        <v>56.882393//35.685223</v>
      </c>
      <c r="L37" s="5" t="s">
        <v>50</v>
      </c>
      <c r="M37" s="5" t="s">
        <v>161</v>
      </c>
      <c r="N37" s="5" t="s">
        <v>3224</v>
      </c>
      <c r="O37" s="5" t="s">
        <v>487</v>
      </c>
      <c r="P37" s="5">
        <v>36</v>
      </c>
      <c r="Q37" s="5">
        <v>47</v>
      </c>
      <c r="R37" s="5">
        <v>17</v>
      </c>
      <c r="S37" s="5">
        <v>562.37099999999998</v>
      </c>
      <c r="T37" s="5" t="s">
        <v>1749</v>
      </c>
      <c r="U37" s="5" t="s">
        <v>3225</v>
      </c>
      <c r="V37" s="5" t="s">
        <v>3226</v>
      </c>
      <c r="W37" s="5">
        <v>23.43</v>
      </c>
      <c r="X37" s="5">
        <v>65.12</v>
      </c>
      <c r="Y37" s="5">
        <v>106</v>
      </c>
      <c r="Z37" s="5" t="s">
        <v>1900</v>
      </c>
      <c r="AA37" s="5" t="s">
        <v>2630</v>
      </c>
      <c r="AB37" s="5" t="s">
        <v>19</v>
      </c>
      <c r="AC37" s="5" t="s">
        <v>19</v>
      </c>
      <c r="AD37" s="5" t="s">
        <v>19</v>
      </c>
      <c r="AE37" s="5" t="s">
        <v>1545</v>
      </c>
      <c r="AF37" s="5" t="s">
        <v>3227</v>
      </c>
      <c r="AG37" s="5">
        <v>175</v>
      </c>
      <c r="AH37" s="5">
        <v>2</v>
      </c>
      <c r="AI37" s="5">
        <v>173</v>
      </c>
      <c r="AJ37" s="5">
        <v>29.31</v>
      </c>
      <c r="AK37" s="5">
        <v>28.98</v>
      </c>
      <c r="AL37" s="5" t="s">
        <v>12</v>
      </c>
      <c r="AM37" s="5" t="s">
        <v>12</v>
      </c>
      <c r="AN37" s="5" t="s">
        <v>12</v>
      </c>
      <c r="AO37" s="5" t="s">
        <v>11</v>
      </c>
      <c r="AP37" s="5" t="s">
        <v>11</v>
      </c>
      <c r="AQ37" s="5" t="s">
        <v>53</v>
      </c>
      <c r="AR37" s="5" t="s">
        <v>52</v>
      </c>
    </row>
    <row r="38" spans="1:44" ht="31.5" x14ac:dyDescent="0.25">
      <c r="A38" s="10">
        <v>46096</v>
      </c>
      <c r="B38" s="5" t="s">
        <v>261</v>
      </c>
      <c r="C38" s="5" t="s">
        <v>1902</v>
      </c>
      <c r="D38" s="5" t="s">
        <v>11</v>
      </c>
      <c r="E38" s="5" t="s">
        <v>0</v>
      </c>
      <c r="F38" s="5" t="s">
        <v>0</v>
      </c>
      <c r="G38" s="5" t="s">
        <v>3228</v>
      </c>
      <c r="H38" s="5" t="s">
        <v>3229</v>
      </c>
      <c r="I38" s="6" t="str">
        <f>HYPERLINK("http://maps.yandex.ru/?ll=37.548264,56.0461&amp;spn=0.011598,0.004531&amp;z=17&amp;l=map&amp;pt=37.548264,56.0461", "56.04613//37.548264")</f>
        <v>56.04613//37.548264</v>
      </c>
      <c r="J38" s="5" t="s">
        <v>56</v>
      </c>
      <c r="K38" s="6" t="str">
        <f>HYPERLINK("http://maps.yandex.ru/?ll=37.51783,56.0666&amp;spn=0.011598,0.004531&amp;z=17&amp;l=map&amp;pt=37.51783,56.0666", "56.06667//37.51783")</f>
        <v>56.06667//37.51783</v>
      </c>
      <c r="L38" s="5" t="s">
        <v>56</v>
      </c>
      <c r="M38" s="5" t="s">
        <v>688</v>
      </c>
      <c r="N38" s="5" t="s">
        <v>3230</v>
      </c>
      <c r="O38" s="5" t="s">
        <v>3231</v>
      </c>
      <c r="P38" s="5">
        <v>2</v>
      </c>
      <c r="Q38" s="5">
        <v>71</v>
      </c>
      <c r="R38" s="5">
        <v>27</v>
      </c>
      <c r="S38" s="5">
        <v>4.04</v>
      </c>
      <c r="T38" s="5" t="s">
        <v>1517</v>
      </c>
      <c r="U38" s="5" t="s">
        <v>3232</v>
      </c>
      <c r="V38" s="5" t="s">
        <v>3233</v>
      </c>
      <c r="W38" s="5">
        <v>0.17</v>
      </c>
      <c r="X38" s="5">
        <v>9.64</v>
      </c>
      <c r="Y38" s="5">
        <v>73</v>
      </c>
      <c r="Z38" s="5" t="s">
        <v>1905</v>
      </c>
      <c r="AA38" s="5" t="s">
        <v>1991</v>
      </c>
      <c r="AB38" s="5" t="s">
        <v>19</v>
      </c>
      <c r="AC38" s="5" t="s">
        <v>19</v>
      </c>
      <c r="AD38" s="5" t="s">
        <v>19</v>
      </c>
      <c r="AE38" s="5" t="s">
        <v>1621</v>
      </c>
      <c r="AF38" s="5" t="s">
        <v>3234</v>
      </c>
      <c r="AG38" s="5">
        <v>82</v>
      </c>
      <c r="AH38" s="5">
        <v>0</v>
      </c>
      <c r="AI38" s="5">
        <v>82</v>
      </c>
      <c r="AJ38" s="5">
        <v>26.2</v>
      </c>
      <c r="AK38" s="5">
        <v>26.2</v>
      </c>
      <c r="AL38" s="5" t="s">
        <v>12</v>
      </c>
      <c r="AM38" s="5" t="s">
        <v>12</v>
      </c>
      <c r="AN38" s="5" t="s">
        <v>12</v>
      </c>
      <c r="AO38" s="5" t="s">
        <v>11</v>
      </c>
      <c r="AP38" s="5" t="s">
        <v>11</v>
      </c>
      <c r="AQ38" s="5" t="s">
        <v>53</v>
      </c>
      <c r="AR38" s="5" t="s">
        <v>52</v>
      </c>
    </row>
    <row r="39" spans="1:44" ht="15.75" x14ac:dyDescent="0.25">
      <c r="A39" s="10">
        <v>46096</v>
      </c>
      <c r="B39" s="5" t="s">
        <v>259</v>
      </c>
      <c r="C39" s="5" t="s">
        <v>1987</v>
      </c>
      <c r="D39" s="5" t="s">
        <v>11</v>
      </c>
      <c r="E39" s="5" t="s">
        <v>6</v>
      </c>
      <c r="F39" s="5" t="s">
        <v>6</v>
      </c>
      <c r="G39" s="5" t="s">
        <v>11</v>
      </c>
      <c r="H39" s="5" t="s">
        <v>11</v>
      </c>
      <c r="I39" s="6" t="str">
        <f>HYPERLINK("http://maps.yandex.ru/?ll=,&amp;spn=0.011598,0.004531&amp;z=17&amp;l=map&amp;pt=,", "")</f>
        <v/>
      </c>
      <c r="J39" s="5" t="s">
        <v>84</v>
      </c>
      <c r="K39" s="6" t="str">
        <f>HYPERLINK("http://maps.yandex.ru/?ll=,&amp;spn=0.011598,0.004531&amp;z=17&amp;l=map&amp;pt=,", "")</f>
        <v/>
      </c>
      <c r="L39" s="5" t="s">
        <v>84</v>
      </c>
      <c r="M39" s="5" t="s">
        <v>13</v>
      </c>
      <c r="N39" s="5" t="s">
        <v>58</v>
      </c>
      <c r="O39" s="5" t="s">
        <v>13</v>
      </c>
      <c r="P39" s="5">
        <v>0</v>
      </c>
      <c r="Q39" s="5">
        <v>100</v>
      </c>
      <c r="R39" s="5">
        <v>0</v>
      </c>
      <c r="S39" s="5">
        <v>0</v>
      </c>
      <c r="T39" s="5" t="s">
        <v>12</v>
      </c>
      <c r="U39" s="5" t="s">
        <v>12</v>
      </c>
      <c r="V39" s="5" t="s">
        <v>12</v>
      </c>
      <c r="W39" s="5">
        <v>0</v>
      </c>
      <c r="X39" s="5">
        <v>0</v>
      </c>
      <c r="Y39" s="5">
        <v>0</v>
      </c>
      <c r="Z39" s="5" t="s">
        <v>1988</v>
      </c>
      <c r="AA39" s="5" t="s">
        <v>2726</v>
      </c>
      <c r="AB39" s="5" t="s">
        <v>19</v>
      </c>
      <c r="AC39" s="5" t="s">
        <v>19</v>
      </c>
      <c r="AD39" s="5" t="s">
        <v>19</v>
      </c>
      <c r="AE39" s="5" t="s">
        <v>1673</v>
      </c>
      <c r="AF39" s="5" t="s">
        <v>12</v>
      </c>
      <c r="AG39" s="5"/>
      <c r="AH39" s="5"/>
      <c r="AI39" s="5"/>
      <c r="AJ39" s="5"/>
      <c r="AK39" s="5"/>
      <c r="AL39" s="5" t="s">
        <v>12</v>
      </c>
      <c r="AM39" s="5" t="s">
        <v>12</v>
      </c>
      <c r="AN39" s="5" t="s">
        <v>12</v>
      </c>
      <c r="AO39" s="5" t="s">
        <v>115</v>
      </c>
      <c r="AP39" s="5" t="s">
        <v>114</v>
      </c>
      <c r="AQ39" s="5" t="s">
        <v>99</v>
      </c>
      <c r="AR39" s="5" t="s">
        <v>98</v>
      </c>
    </row>
    <row r="40" spans="1:44" ht="15.75" x14ac:dyDescent="0.25">
      <c r="A40" s="10">
        <v>46096</v>
      </c>
      <c r="B40" s="5" t="s">
        <v>145</v>
      </c>
      <c r="C40" s="5" t="s">
        <v>1989</v>
      </c>
      <c r="D40" s="5" t="s">
        <v>11</v>
      </c>
      <c r="E40" s="5" t="s">
        <v>8</v>
      </c>
      <c r="F40" s="5" t="s">
        <v>8</v>
      </c>
      <c r="G40" s="5" t="s">
        <v>11</v>
      </c>
      <c r="H40" s="5" t="s">
        <v>11</v>
      </c>
      <c r="I40" s="6" t="str">
        <f>HYPERLINK("http://maps.yandex.ru/?ll=,&amp;spn=0.011598,0.004531&amp;z=17&amp;l=map&amp;pt=,", "")</f>
        <v/>
      </c>
      <c r="J40" s="5" t="s">
        <v>84</v>
      </c>
      <c r="K40" s="6" t="str">
        <f>HYPERLINK("http://maps.yandex.ru/?ll=,&amp;spn=0.011598,0.004531&amp;z=17&amp;l=map&amp;pt=,", "")</f>
        <v/>
      </c>
      <c r="L40" s="5" t="s">
        <v>84</v>
      </c>
      <c r="M40" s="5" t="s">
        <v>13</v>
      </c>
      <c r="N40" s="5" t="s">
        <v>13</v>
      </c>
      <c r="O40" s="5" t="s">
        <v>58</v>
      </c>
      <c r="P40" s="5">
        <v>0</v>
      </c>
      <c r="Q40" s="5">
        <v>0</v>
      </c>
      <c r="R40" s="5">
        <v>100</v>
      </c>
      <c r="S40" s="5">
        <v>0</v>
      </c>
      <c r="T40" s="5" t="s">
        <v>12</v>
      </c>
      <c r="U40" s="5" t="s">
        <v>12</v>
      </c>
      <c r="V40" s="5" t="s">
        <v>12</v>
      </c>
      <c r="W40" s="5">
        <v>0</v>
      </c>
      <c r="X40" s="5">
        <v>0</v>
      </c>
      <c r="Y40" s="5">
        <v>0</v>
      </c>
      <c r="Z40" s="5" t="s">
        <v>12</v>
      </c>
      <c r="AA40" s="5" t="s">
        <v>12</v>
      </c>
      <c r="AB40" s="5" t="s">
        <v>19</v>
      </c>
      <c r="AC40" s="5" t="s">
        <v>19</v>
      </c>
      <c r="AD40" s="5" t="s">
        <v>19</v>
      </c>
      <c r="AE40" s="5" t="s">
        <v>12</v>
      </c>
      <c r="AF40" s="5" t="s">
        <v>12</v>
      </c>
      <c r="AG40" s="5"/>
      <c r="AH40" s="5"/>
      <c r="AI40" s="5"/>
      <c r="AJ40" s="5"/>
      <c r="AK40" s="5"/>
      <c r="AL40" s="5" t="s">
        <v>12</v>
      </c>
      <c r="AM40" s="5" t="s">
        <v>12</v>
      </c>
      <c r="AN40" s="5" t="s">
        <v>12</v>
      </c>
      <c r="AO40" s="5" t="s">
        <v>115</v>
      </c>
      <c r="AP40" s="5" t="s">
        <v>114</v>
      </c>
      <c r="AQ40" s="5" t="s">
        <v>99</v>
      </c>
      <c r="AR40" s="5" t="s">
        <v>98</v>
      </c>
    </row>
    <row r="41" spans="1:44" ht="31.5" x14ac:dyDescent="0.25">
      <c r="A41" s="10">
        <v>46096</v>
      </c>
      <c r="B41" s="5" t="s">
        <v>144</v>
      </c>
      <c r="C41" s="5" t="s">
        <v>1990</v>
      </c>
      <c r="D41" s="5" t="s">
        <v>11</v>
      </c>
      <c r="E41" s="5" t="s">
        <v>6</v>
      </c>
      <c r="F41" s="5" t="s">
        <v>6</v>
      </c>
      <c r="G41" s="5" t="s">
        <v>3235</v>
      </c>
      <c r="H41" s="5" t="s">
        <v>3236</v>
      </c>
      <c r="I41" s="6" t="str">
        <f>HYPERLINK("http://maps.yandex.ru/?ll=135.17853,48.3962&amp;spn=0.011598,0.004531&amp;z=17&amp;l=map&amp;pt=135.17853,48.3962", "48.39627//135.17853")</f>
        <v>48.39627//135.17853</v>
      </c>
      <c r="J41" s="5" t="s">
        <v>109</v>
      </c>
      <c r="K41" s="6" t="str">
        <f>HYPERLINK("http://maps.yandex.ru/?ll=132.04613,43.36889&amp;spn=0.011598,0.004531&amp;z=17&amp;l=map&amp;pt=132.04613,43.36889", "43.368893//132.04613")</f>
        <v>43.368893//132.04613</v>
      </c>
      <c r="L41" s="5" t="s">
        <v>108</v>
      </c>
      <c r="M41" s="5" t="s">
        <v>1350</v>
      </c>
      <c r="N41" s="5" t="s">
        <v>3237</v>
      </c>
      <c r="O41" s="5" t="s">
        <v>13</v>
      </c>
      <c r="P41" s="5">
        <v>46</v>
      </c>
      <c r="Q41" s="5">
        <v>54</v>
      </c>
      <c r="R41" s="5">
        <v>0</v>
      </c>
      <c r="S41" s="5">
        <v>719.68799999999999</v>
      </c>
      <c r="T41" s="5" t="s">
        <v>2990</v>
      </c>
      <c r="U41" s="5" t="s">
        <v>3238</v>
      </c>
      <c r="V41" s="5" t="s">
        <v>3239</v>
      </c>
      <c r="W41" s="5">
        <v>29.99</v>
      </c>
      <c r="X41" s="5">
        <v>64.97</v>
      </c>
      <c r="Y41" s="5">
        <v>96</v>
      </c>
      <c r="Z41" s="5" t="s">
        <v>1735</v>
      </c>
      <c r="AA41" s="5" t="s">
        <v>2544</v>
      </c>
      <c r="AB41" s="5" t="s">
        <v>19</v>
      </c>
      <c r="AC41" s="5" t="s">
        <v>19</v>
      </c>
      <c r="AD41" s="5" t="s">
        <v>19</v>
      </c>
      <c r="AE41" s="5" t="s">
        <v>1489</v>
      </c>
      <c r="AF41" s="5" t="s">
        <v>3240</v>
      </c>
      <c r="AG41" s="5">
        <v>204</v>
      </c>
      <c r="AH41" s="5">
        <v>1</v>
      </c>
      <c r="AI41" s="5">
        <v>203</v>
      </c>
      <c r="AJ41" s="5">
        <v>27.16</v>
      </c>
      <c r="AK41" s="5">
        <v>27.03</v>
      </c>
      <c r="AL41" s="5" t="s">
        <v>12</v>
      </c>
      <c r="AM41" s="5" t="s">
        <v>12</v>
      </c>
      <c r="AN41" s="5" t="s">
        <v>12</v>
      </c>
      <c r="AO41" s="5" t="s">
        <v>11</v>
      </c>
      <c r="AP41" s="5" t="s">
        <v>11</v>
      </c>
      <c r="AQ41" s="5" t="s">
        <v>18</v>
      </c>
      <c r="AR41" s="5" t="s">
        <v>17</v>
      </c>
    </row>
    <row r="42" spans="1:44" ht="31.5" x14ac:dyDescent="0.25">
      <c r="A42" s="10">
        <v>46096</v>
      </c>
      <c r="B42" s="5" t="s">
        <v>140</v>
      </c>
      <c r="C42" s="5" t="s">
        <v>1992</v>
      </c>
      <c r="D42" s="5" t="s">
        <v>11</v>
      </c>
      <c r="E42" s="5" t="s">
        <v>5</v>
      </c>
      <c r="F42" s="5" t="s">
        <v>5</v>
      </c>
      <c r="G42" s="5" t="s">
        <v>3241</v>
      </c>
      <c r="H42" s="5" t="s">
        <v>3242</v>
      </c>
      <c r="I42" s="6" t="str">
        <f>HYPERLINK("http://maps.yandex.ru/?ll=43.351418,53.7681&amp;spn=0.011598,0.004531&amp;z=17&amp;l=map&amp;pt=43.351418,53.7681", "53.76815//43.351418")</f>
        <v>53.76815//43.351418</v>
      </c>
      <c r="J42" s="5" t="s">
        <v>94</v>
      </c>
      <c r="K42" s="6" t="str">
        <f>HYPERLINK("http://maps.yandex.ru/?ll=37.9751,56.12249&amp;spn=0.011598,0.004531&amp;z=17&amp;l=map&amp;pt=37.9751,56.12249", "56.122494//37.9751")</f>
        <v>56.122494//37.9751</v>
      </c>
      <c r="L42" s="5" t="s">
        <v>56</v>
      </c>
      <c r="M42" s="5" t="s">
        <v>994</v>
      </c>
      <c r="N42" s="5" t="s">
        <v>103</v>
      </c>
      <c r="O42" s="5" t="s">
        <v>633</v>
      </c>
      <c r="P42" s="5">
        <v>37</v>
      </c>
      <c r="Q42" s="5">
        <v>38</v>
      </c>
      <c r="R42" s="5">
        <v>25</v>
      </c>
      <c r="S42" s="5">
        <v>567.49900000000002</v>
      </c>
      <c r="T42" s="5" t="s">
        <v>12</v>
      </c>
      <c r="U42" s="5" t="s">
        <v>12</v>
      </c>
      <c r="V42" s="5" t="s">
        <v>12</v>
      </c>
      <c r="W42" s="5">
        <v>23.65</v>
      </c>
      <c r="X42" s="5">
        <v>64.099999999999994</v>
      </c>
      <c r="Y42" s="5">
        <v>99</v>
      </c>
      <c r="Z42" s="5" t="s">
        <v>1568</v>
      </c>
      <c r="AA42" s="5" t="s">
        <v>1568</v>
      </c>
      <c r="AB42" s="5" t="s">
        <v>19</v>
      </c>
      <c r="AC42" s="5" t="s">
        <v>19</v>
      </c>
      <c r="AD42" s="5" t="s">
        <v>19</v>
      </c>
      <c r="AE42" s="5" t="s">
        <v>19</v>
      </c>
      <c r="AF42" s="5" t="s">
        <v>12</v>
      </c>
      <c r="AG42" s="5"/>
      <c r="AH42" s="5"/>
      <c r="AI42" s="5"/>
      <c r="AJ42" s="5"/>
      <c r="AK42" s="5"/>
      <c r="AL42" s="5" t="s">
        <v>12</v>
      </c>
      <c r="AM42" s="5" t="s">
        <v>12</v>
      </c>
      <c r="AN42" s="5" t="s">
        <v>12</v>
      </c>
      <c r="AO42" s="5" t="s">
        <v>115</v>
      </c>
      <c r="AP42" s="5" t="s">
        <v>114</v>
      </c>
      <c r="AQ42" s="5" t="s">
        <v>99</v>
      </c>
      <c r="AR42" s="5" t="s">
        <v>98</v>
      </c>
    </row>
    <row r="43" spans="1:44" ht="31.5" x14ac:dyDescent="0.25">
      <c r="A43" s="10">
        <v>46096</v>
      </c>
      <c r="B43" s="5" t="s">
        <v>137</v>
      </c>
      <c r="C43" s="5" t="s">
        <v>1994</v>
      </c>
      <c r="D43" s="5" t="s">
        <v>11</v>
      </c>
      <c r="E43" s="5" t="s">
        <v>8</v>
      </c>
      <c r="F43" s="5" t="s">
        <v>8</v>
      </c>
      <c r="G43" s="5" t="s">
        <v>3243</v>
      </c>
      <c r="H43" s="5" t="s">
        <v>3244</v>
      </c>
      <c r="I43" s="6" t="str">
        <f>HYPERLINK("http://maps.yandex.ru/?ll=60.77567,56.9140&amp;spn=0.011598,0.004531&amp;z=17&amp;l=map&amp;pt=60.77567,56.9140", "56.91403//60.77567")</f>
        <v>56.91403//60.77567</v>
      </c>
      <c r="J43" s="5" t="s">
        <v>77</v>
      </c>
      <c r="K43" s="6" t="str">
        <f>HYPERLINK("http://maps.yandex.ru/?ll=61.323154,54.9670&amp;spn=0.011598,0.004531&amp;z=17&amp;l=map&amp;pt=61.323154,54.9670", "54.96707//61.323154")</f>
        <v>54.96707//61.323154</v>
      </c>
      <c r="L43" s="5" t="s">
        <v>227</v>
      </c>
      <c r="M43" s="5" t="s">
        <v>1493</v>
      </c>
      <c r="N43" s="5" t="s">
        <v>3245</v>
      </c>
      <c r="O43" s="5" t="s">
        <v>13</v>
      </c>
      <c r="P43" s="5">
        <v>16</v>
      </c>
      <c r="Q43" s="5">
        <v>84</v>
      </c>
      <c r="R43" s="5">
        <v>0</v>
      </c>
      <c r="S43" s="5">
        <v>254.928</v>
      </c>
      <c r="T43" s="5" t="s">
        <v>1257</v>
      </c>
      <c r="U43" s="5" t="s">
        <v>3246</v>
      </c>
      <c r="V43" s="5" t="s">
        <v>3247</v>
      </c>
      <c r="W43" s="5">
        <v>10.62</v>
      </c>
      <c r="X43" s="5">
        <v>67.87</v>
      </c>
      <c r="Y43" s="5">
        <v>105</v>
      </c>
      <c r="Z43" s="5" t="s">
        <v>1996</v>
      </c>
      <c r="AA43" s="5" t="s">
        <v>1815</v>
      </c>
      <c r="AB43" s="5" t="s">
        <v>19</v>
      </c>
      <c r="AC43" s="5" t="s">
        <v>19</v>
      </c>
      <c r="AD43" s="5" t="s">
        <v>19</v>
      </c>
      <c r="AE43" s="5" t="s">
        <v>2355</v>
      </c>
      <c r="AF43" s="5" t="s">
        <v>3248</v>
      </c>
      <c r="AG43" s="5">
        <v>66</v>
      </c>
      <c r="AH43" s="5">
        <v>2</v>
      </c>
      <c r="AI43" s="5">
        <v>64</v>
      </c>
      <c r="AJ43" s="5">
        <v>24.91</v>
      </c>
      <c r="AK43" s="5">
        <v>24.15</v>
      </c>
      <c r="AL43" s="5" t="s">
        <v>12</v>
      </c>
      <c r="AM43" s="5" t="s">
        <v>12</v>
      </c>
      <c r="AN43" s="5" t="s">
        <v>12</v>
      </c>
      <c r="AO43" s="5" t="s">
        <v>11</v>
      </c>
      <c r="AP43" s="5" t="s">
        <v>11</v>
      </c>
      <c r="AQ43" s="5" t="s">
        <v>18</v>
      </c>
      <c r="AR43" s="5" t="s">
        <v>17</v>
      </c>
    </row>
    <row r="44" spans="1:44" ht="15.75" x14ac:dyDescent="0.25">
      <c r="A44" s="10">
        <v>46096</v>
      </c>
      <c r="B44" s="5" t="s">
        <v>135</v>
      </c>
      <c r="C44" s="5" t="s">
        <v>1998</v>
      </c>
      <c r="D44" s="5" t="s">
        <v>11</v>
      </c>
      <c r="E44" s="5" t="s">
        <v>0</v>
      </c>
      <c r="F44" s="5" t="s">
        <v>0</v>
      </c>
      <c r="G44" s="5" t="s">
        <v>11</v>
      </c>
      <c r="H44" s="5" t="s">
        <v>11</v>
      </c>
      <c r="I44" s="6" t="str">
        <f>HYPERLINK("http://maps.yandex.ru/?ll=,&amp;spn=0.011598,0.004531&amp;z=17&amp;l=map&amp;pt=,", "")</f>
        <v/>
      </c>
      <c r="J44" s="5" t="s">
        <v>84</v>
      </c>
      <c r="K44" s="6" t="str">
        <f>HYPERLINK("http://maps.yandex.ru/?ll=,&amp;spn=0.011598,0.004531&amp;z=17&amp;l=map&amp;pt=,", "")</f>
        <v/>
      </c>
      <c r="L44" s="5" t="s">
        <v>84</v>
      </c>
      <c r="M44" s="5" t="s">
        <v>13</v>
      </c>
      <c r="N44" s="5" t="s">
        <v>58</v>
      </c>
      <c r="O44" s="5" t="s">
        <v>13</v>
      </c>
      <c r="P44" s="5">
        <v>0</v>
      </c>
      <c r="Q44" s="5">
        <v>100</v>
      </c>
      <c r="R44" s="5">
        <v>0</v>
      </c>
      <c r="S44" s="5">
        <v>0</v>
      </c>
      <c r="T44" s="5" t="s">
        <v>12</v>
      </c>
      <c r="U44" s="5" t="s">
        <v>12</v>
      </c>
      <c r="V44" s="5" t="s">
        <v>12</v>
      </c>
      <c r="W44" s="5">
        <v>0</v>
      </c>
      <c r="X44" s="5">
        <v>0</v>
      </c>
      <c r="Y44" s="5">
        <v>0</v>
      </c>
      <c r="Z44" s="5" t="s">
        <v>1877</v>
      </c>
      <c r="AA44" s="5" t="s">
        <v>1948</v>
      </c>
      <c r="AB44" s="5" t="s">
        <v>19</v>
      </c>
      <c r="AC44" s="5" t="s">
        <v>19</v>
      </c>
      <c r="AD44" s="5" t="s">
        <v>19</v>
      </c>
      <c r="AE44" s="5" t="s">
        <v>1777</v>
      </c>
      <c r="AF44" s="5" t="s">
        <v>12</v>
      </c>
      <c r="AG44" s="5"/>
      <c r="AH44" s="5"/>
      <c r="AI44" s="5"/>
      <c r="AJ44" s="5"/>
      <c r="AK44" s="5"/>
      <c r="AL44" s="5" t="s">
        <v>12</v>
      </c>
      <c r="AM44" s="5" t="s">
        <v>12</v>
      </c>
      <c r="AN44" s="5" t="s">
        <v>12</v>
      </c>
      <c r="AO44" s="5" t="s">
        <v>115</v>
      </c>
      <c r="AP44" s="5" t="s">
        <v>114</v>
      </c>
      <c r="AQ44" s="5" t="s">
        <v>99</v>
      </c>
      <c r="AR44" s="5" t="s">
        <v>98</v>
      </c>
    </row>
    <row r="45" spans="1:44" ht="31.5" x14ac:dyDescent="0.25">
      <c r="A45" s="10">
        <v>46096</v>
      </c>
      <c r="B45" s="5" t="s">
        <v>134</v>
      </c>
      <c r="C45" s="5" t="s">
        <v>1999</v>
      </c>
      <c r="D45" s="5" t="s">
        <v>11</v>
      </c>
      <c r="E45" s="5" t="s">
        <v>6</v>
      </c>
      <c r="F45" s="5" t="s">
        <v>6</v>
      </c>
      <c r="G45" s="5" t="s">
        <v>3249</v>
      </c>
      <c r="H45" s="5" t="s">
        <v>3250</v>
      </c>
      <c r="I45" s="6" t="str">
        <f>HYPERLINK("http://maps.yandex.ru/?ll=40.43727,50.13740&amp;spn=0.011598,0.004531&amp;z=17&amp;l=map&amp;pt=40.43727,50.13740", "50.137405//40.43727")</f>
        <v>50.137405//40.43727</v>
      </c>
      <c r="J45" s="5" t="s">
        <v>101</v>
      </c>
      <c r="K45" s="6" t="str">
        <f>HYPERLINK("http://maps.yandex.ru/?ll=36.677055,56.27760&amp;spn=0.011598,0.004531&amp;z=17&amp;l=map&amp;pt=36.677055,56.27760", "56.277607//36.677055")</f>
        <v>56.277607//36.677055</v>
      </c>
      <c r="L45" s="5" t="s">
        <v>56</v>
      </c>
      <c r="M45" s="5" t="s">
        <v>235</v>
      </c>
      <c r="N45" s="5" t="s">
        <v>3251</v>
      </c>
      <c r="O45" s="5" t="s">
        <v>3252</v>
      </c>
      <c r="P45" s="5">
        <v>36</v>
      </c>
      <c r="Q45" s="5">
        <v>44</v>
      </c>
      <c r="R45" s="5">
        <v>21</v>
      </c>
      <c r="S45" s="5">
        <v>613.87199999999996</v>
      </c>
      <c r="T45" s="5" t="s">
        <v>3253</v>
      </c>
      <c r="U45" s="5" t="s">
        <v>2001</v>
      </c>
      <c r="V45" s="5" t="s">
        <v>3254</v>
      </c>
      <c r="W45" s="5">
        <v>25.58</v>
      </c>
      <c r="X45" s="5">
        <v>71.8</v>
      </c>
      <c r="Y45" s="5">
        <v>113</v>
      </c>
      <c r="Z45" s="5" t="s">
        <v>2002</v>
      </c>
      <c r="AA45" s="5" t="s">
        <v>1805</v>
      </c>
      <c r="AB45" s="5" t="s">
        <v>19</v>
      </c>
      <c r="AC45" s="5" t="s">
        <v>19</v>
      </c>
      <c r="AD45" s="5" t="s">
        <v>19</v>
      </c>
      <c r="AE45" s="5" t="s">
        <v>3255</v>
      </c>
      <c r="AF45" s="5" t="s">
        <v>3256</v>
      </c>
      <c r="AG45" s="5">
        <v>254</v>
      </c>
      <c r="AH45" s="5">
        <v>0</v>
      </c>
      <c r="AI45" s="5">
        <v>254</v>
      </c>
      <c r="AJ45" s="5">
        <v>30.06</v>
      </c>
      <c r="AK45" s="5">
        <v>30.06</v>
      </c>
      <c r="AL45" s="5" t="s">
        <v>12</v>
      </c>
      <c r="AM45" s="5" t="s">
        <v>12</v>
      </c>
      <c r="AN45" s="5" t="s">
        <v>12</v>
      </c>
      <c r="AO45" s="5" t="s">
        <v>11</v>
      </c>
      <c r="AP45" s="5" t="s">
        <v>11</v>
      </c>
      <c r="AQ45" s="5" t="s">
        <v>123</v>
      </c>
      <c r="AR45" s="5" t="s">
        <v>122</v>
      </c>
    </row>
    <row r="46" spans="1:44" ht="31.5" x14ac:dyDescent="0.25">
      <c r="A46" s="10">
        <v>46096</v>
      </c>
      <c r="B46" s="5" t="s">
        <v>131</v>
      </c>
      <c r="C46" s="5" t="s">
        <v>2003</v>
      </c>
      <c r="D46" s="5" t="s">
        <v>11</v>
      </c>
      <c r="E46" s="5" t="s">
        <v>6</v>
      </c>
      <c r="F46" s="5" t="s">
        <v>6</v>
      </c>
      <c r="G46" s="5" t="s">
        <v>3103</v>
      </c>
      <c r="H46" s="5" t="s">
        <v>3121</v>
      </c>
      <c r="I46" s="6" t="str">
        <f>HYPERLINK("http://maps.yandex.ru/?ll=38.884476,45.3693&amp;spn=0.011598,0.004531&amp;z=17&amp;l=map&amp;pt=38.884476,45.3693", "45.36931//38.884476")</f>
        <v>45.36931//38.884476</v>
      </c>
      <c r="J46" s="5" t="s">
        <v>88</v>
      </c>
      <c r="K46" s="6" t="str">
        <f>HYPERLINK("http://maps.yandex.ru/?ll=39.623375,45.72153&amp;spn=0.011598,0.004531&amp;z=17&amp;l=map&amp;pt=39.623375,45.72153", "45.721535//39.623375")</f>
        <v>45.721535//39.623375</v>
      </c>
      <c r="L46" s="5" t="s">
        <v>88</v>
      </c>
      <c r="M46" s="5" t="s">
        <v>1298</v>
      </c>
      <c r="N46" s="5" t="s">
        <v>112</v>
      </c>
      <c r="O46" s="5" t="s">
        <v>430</v>
      </c>
      <c r="P46" s="5">
        <v>27</v>
      </c>
      <c r="Q46" s="5">
        <v>35</v>
      </c>
      <c r="R46" s="5">
        <v>38</v>
      </c>
      <c r="S46" s="5">
        <v>383.54899999999998</v>
      </c>
      <c r="T46" s="5" t="s">
        <v>1976</v>
      </c>
      <c r="U46" s="5" t="s">
        <v>3257</v>
      </c>
      <c r="V46" s="5" t="s">
        <v>3258</v>
      </c>
      <c r="W46" s="5">
        <v>15.98</v>
      </c>
      <c r="X46" s="5">
        <v>58.12</v>
      </c>
      <c r="Y46" s="5">
        <v>145</v>
      </c>
      <c r="Z46" s="5" t="s">
        <v>1597</v>
      </c>
      <c r="AA46" s="5" t="s">
        <v>2592</v>
      </c>
      <c r="AB46" s="5" t="s">
        <v>3259</v>
      </c>
      <c r="AC46" s="5" t="s">
        <v>1673</v>
      </c>
      <c r="AD46" s="5" t="s">
        <v>19</v>
      </c>
      <c r="AE46" s="5" t="s">
        <v>1332</v>
      </c>
      <c r="AF46" s="5" t="s">
        <v>3260</v>
      </c>
      <c r="AG46" s="5">
        <v>155</v>
      </c>
      <c r="AH46" s="5">
        <v>1</v>
      </c>
      <c r="AI46" s="5">
        <v>154</v>
      </c>
      <c r="AJ46" s="5">
        <v>29.03</v>
      </c>
      <c r="AK46" s="5">
        <v>28.84</v>
      </c>
      <c r="AL46" s="5" t="s">
        <v>12</v>
      </c>
      <c r="AM46" s="5" t="s">
        <v>12</v>
      </c>
      <c r="AN46" s="5" t="s">
        <v>12</v>
      </c>
      <c r="AO46" s="5" t="s">
        <v>11</v>
      </c>
      <c r="AP46" s="5" t="s">
        <v>11</v>
      </c>
      <c r="AQ46" s="5" t="s">
        <v>123</v>
      </c>
      <c r="AR46" s="5" t="s">
        <v>122</v>
      </c>
    </row>
    <row r="47" spans="1:44" ht="31.5" x14ac:dyDescent="0.25">
      <c r="A47" s="10">
        <v>46096</v>
      </c>
      <c r="B47" s="5" t="s">
        <v>129</v>
      </c>
      <c r="C47" s="5" t="s">
        <v>2007</v>
      </c>
      <c r="D47" s="5" t="s">
        <v>11</v>
      </c>
      <c r="E47" s="5" t="s">
        <v>8</v>
      </c>
      <c r="F47" s="5" t="s">
        <v>8</v>
      </c>
      <c r="G47" s="5" t="s">
        <v>3261</v>
      </c>
      <c r="H47" s="5" t="s">
        <v>3262</v>
      </c>
      <c r="I47" s="6" t="str">
        <f>HYPERLINK("http://maps.yandex.ru/?ll=40.432007,50.09541&amp;spn=0.011598,0.004531&amp;z=17&amp;l=map&amp;pt=40.432007,50.09541", "50.095417//40.432007")</f>
        <v>50.095417//40.432007</v>
      </c>
      <c r="J47" s="5" t="s">
        <v>101</v>
      </c>
      <c r="K47" s="6" t="str">
        <f>HYPERLINK("http://maps.yandex.ru/?ll=39.23592,45.307&amp;spn=0.011598,0.004531&amp;z=17&amp;l=map&amp;pt=39.23592,45.307", "45.3077//39.23592")</f>
        <v>45.3077//39.23592</v>
      </c>
      <c r="L47" s="5" t="s">
        <v>88</v>
      </c>
      <c r="M47" s="5" t="s">
        <v>434</v>
      </c>
      <c r="N47" s="5" t="s">
        <v>870</v>
      </c>
      <c r="O47" s="5" t="s">
        <v>930</v>
      </c>
      <c r="P47" s="5">
        <v>40</v>
      </c>
      <c r="Q47" s="5">
        <v>24</v>
      </c>
      <c r="R47" s="5">
        <v>36</v>
      </c>
      <c r="S47" s="5">
        <v>630.45500000000004</v>
      </c>
      <c r="T47" s="5" t="s">
        <v>3263</v>
      </c>
      <c r="U47" s="5" t="s">
        <v>3264</v>
      </c>
      <c r="V47" s="5" t="s">
        <v>3265</v>
      </c>
      <c r="W47" s="5">
        <v>26.27</v>
      </c>
      <c r="X47" s="5">
        <v>65.989999999999995</v>
      </c>
      <c r="Y47" s="5">
        <v>170</v>
      </c>
      <c r="Z47" s="5" t="s">
        <v>1830</v>
      </c>
      <c r="AA47" s="5" t="s">
        <v>2000</v>
      </c>
      <c r="AB47" s="5" t="s">
        <v>19</v>
      </c>
      <c r="AC47" s="5" t="s">
        <v>19</v>
      </c>
      <c r="AD47" s="5" t="s">
        <v>3266</v>
      </c>
      <c r="AE47" s="5" t="s">
        <v>2521</v>
      </c>
      <c r="AF47" s="5" t="s">
        <v>3267</v>
      </c>
      <c r="AG47" s="5">
        <v>217</v>
      </c>
      <c r="AH47" s="5">
        <v>0</v>
      </c>
      <c r="AI47" s="5">
        <v>217</v>
      </c>
      <c r="AJ47" s="5">
        <v>32.29</v>
      </c>
      <c r="AK47" s="5">
        <v>32.29</v>
      </c>
      <c r="AL47" s="5" t="s">
        <v>12</v>
      </c>
      <c r="AM47" s="5" t="s">
        <v>12</v>
      </c>
      <c r="AN47" s="5" t="s">
        <v>12</v>
      </c>
      <c r="AO47" s="5" t="s">
        <v>11</v>
      </c>
      <c r="AP47" s="5" t="s">
        <v>11</v>
      </c>
      <c r="AQ47" s="5" t="s">
        <v>123</v>
      </c>
      <c r="AR47" s="5" t="s">
        <v>122</v>
      </c>
    </row>
    <row r="48" spans="1:44" ht="15.75" x14ac:dyDescent="0.25">
      <c r="A48" s="10">
        <v>46096</v>
      </c>
      <c r="B48" s="5" t="s">
        <v>127</v>
      </c>
      <c r="C48" s="5" t="s">
        <v>2009</v>
      </c>
      <c r="D48" s="5" t="s">
        <v>11</v>
      </c>
      <c r="E48" s="5" t="s">
        <v>6</v>
      </c>
      <c r="F48" s="5" t="s">
        <v>6</v>
      </c>
      <c r="G48" s="5" t="s">
        <v>11</v>
      </c>
      <c r="H48" s="5" t="s">
        <v>11</v>
      </c>
      <c r="I48" s="6" t="str">
        <f>HYPERLINK("http://maps.yandex.ru/?ll=,&amp;spn=0.011598,0.004531&amp;z=17&amp;l=map&amp;pt=,", "")</f>
        <v/>
      </c>
      <c r="J48" s="5" t="s">
        <v>84</v>
      </c>
      <c r="K48" s="6" t="str">
        <f>HYPERLINK("http://maps.yandex.ru/?ll=,&amp;spn=0.011598,0.004531&amp;z=17&amp;l=map&amp;pt=,", "")</f>
        <v/>
      </c>
      <c r="L48" s="5" t="s">
        <v>84</v>
      </c>
      <c r="M48" s="5" t="s">
        <v>13</v>
      </c>
      <c r="N48" s="5" t="s">
        <v>13</v>
      </c>
      <c r="O48" s="5" t="s">
        <v>58</v>
      </c>
      <c r="P48" s="5">
        <v>0</v>
      </c>
      <c r="Q48" s="5">
        <v>0</v>
      </c>
      <c r="R48" s="5">
        <v>100</v>
      </c>
      <c r="S48" s="5">
        <v>0</v>
      </c>
      <c r="T48" s="5" t="s">
        <v>12</v>
      </c>
      <c r="U48" s="5" t="s">
        <v>12</v>
      </c>
      <c r="V48" s="5" t="s">
        <v>12</v>
      </c>
      <c r="W48" s="5">
        <v>0</v>
      </c>
      <c r="X48" s="5">
        <v>0</v>
      </c>
      <c r="Y48" s="5">
        <v>0</v>
      </c>
      <c r="Z48" s="5" t="s">
        <v>12</v>
      </c>
      <c r="AA48" s="5" t="s">
        <v>12</v>
      </c>
      <c r="AB48" s="5" t="s">
        <v>19</v>
      </c>
      <c r="AC48" s="5" t="s">
        <v>19</v>
      </c>
      <c r="AD48" s="5" t="s">
        <v>19</v>
      </c>
      <c r="AE48" s="5" t="s">
        <v>12</v>
      </c>
      <c r="AF48" s="5" t="s">
        <v>12</v>
      </c>
      <c r="AG48" s="5"/>
      <c r="AH48" s="5">
        <v>0</v>
      </c>
      <c r="AI48" s="5"/>
      <c r="AJ48" s="5"/>
      <c r="AK48" s="5"/>
      <c r="AL48" s="5" t="s">
        <v>12</v>
      </c>
      <c r="AM48" s="5" t="s">
        <v>12</v>
      </c>
      <c r="AN48" s="5" t="s">
        <v>12</v>
      </c>
      <c r="AO48" s="5" t="s">
        <v>11</v>
      </c>
      <c r="AP48" s="5" t="s">
        <v>11</v>
      </c>
      <c r="AQ48" s="5" t="s">
        <v>123</v>
      </c>
      <c r="AR48" s="5" t="s">
        <v>122</v>
      </c>
    </row>
    <row r="49" spans="1:44" ht="31.5" x14ac:dyDescent="0.25">
      <c r="A49" s="10">
        <v>46096</v>
      </c>
      <c r="B49" s="5" t="s">
        <v>125</v>
      </c>
      <c r="C49" s="5" t="s">
        <v>2010</v>
      </c>
      <c r="D49" s="5" t="s">
        <v>11</v>
      </c>
      <c r="E49" s="5" t="s">
        <v>0</v>
      </c>
      <c r="F49" s="5" t="s">
        <v>0</v>
      </c>
      <c r="G49" s="5" t="s">
        <v>3268</v>
      </c>
      <c r="H49" s="5" t="s">
        <v>3121</v>
      </c>
      <c r="I49" s="6" t="str">
        <f>HYPERLINK("http://maps.yandex.ru/?ll=39.506226,45.57861&amp;spn=0.011598,0.004531&amp;z=17&amp;l=map&amp;pt=39.506226,45.57861", "45.578613//39.506226")</f>
        <v>45.578613//39.506226</v>
      </c>
      <c r="J49" s="5" t="s">
        <v>88</v>
      </c>
      <c r="K49" s="6" t="str">
        <f>HYPERLINK("http://maps.yandex.ru/?ll=37.727257,44.7662&amp;spn=0.011598,0.004531&amp;z=17&amp;l=map&amp;pt=37.727257,44.7662", "44.76627//37.727257")</f>
        <v>44.76627//37.727257</v>
      </c>
      <c r="L49" s="5" t="s">
        <v>88</v>
      </c>
      <c r="M49" s="5" t="s">
        <v>1446</v>
      </c>
      <c r="N49" s="5" t="s">
        <v>3269</v>
      </c>
      <c r="O49" s="5" t="s">
        <v>1244</v>
      </c>
      <c r="P49" s="5">
        <v>27</v>
      </c>
      <c r="Q49" s="5">
        <v>42</v>
      </c>
      <c r="R49" s="5">
        <v>31</v>
      </c>
      <c r="S49" s="5">
        <v>448.28699999999998</v>
      </c>
      <c r="T49" s="5" t="s">
        <v>2274</v>
      </c>
      <c r="U49" s="5" t="s">
        <v>2012</v>
      </c>
      <c r="V49" s="5" t="s">
        <v>3270</v>
      </c>
      <c r="W49" s="5">
        <v>18.68</v>
      </c>
      <c r="X49" s="5">
        <v>68.459999999999994</v>
      </c>
      <c r="Y49" s="5">
        <v>145</v>
      </c>
      <c r="Z49" s="5" t="s">
        <v>2013</v>
      </c>
      <c r="AA49" s="5" t="s">
        <v>2066</v>
      </c>
      <c r="AB49" s="5" t="s">
        <v>19</v>
      </c>
      <c r="AC49" s="5" t="s">
        <v>19</v>
      </c>
      <c r="AD49" s="5" t="s">
        <v>19</v>
      </c>
      <c r="AE49" s="5" t="s">
        <v>1777</v>
      </c>
      <c r="AF49" s="5" t="s">
        <v>3271</v>
      </c>
      <c r="AG49" s="5">
        <v>80</v>
      </c>
      <c r="AH49" s="5">
        <v>11</v>
      </c>
      <c r="AI49" s="5">
        <v>69</v>
      </c>
      <c r="AJ49" s="5">
        <v>31.37</v>
      </c>
      <c r="AK49" s="5">
        <v>27.06</v>
      </c>
      <c r="AL49" s="5" t="s">
        <v>12</v>
      </c>
      <c r="AM49" s="5" t="s">
        <v>12</v>
      </c>
      <c r="AN49" s="5" t="s">
        <v>12</v>
      </c>
      <c r="AO49" s="5" t="s">
        <v>11</v>
      </c>
      <c r="AP49" s="5" t="s">
        <v>11</v>
      </c>
      <c r="AQ49" s="5" t="s">
        <v>123</v>
      </c>
      <c r="AR49" s="5" t="s">
        <v>122</v>
      </c>
    </row>
    <row r="50" spans="1:44" ht="31.5" x14ac:dyDescent="0.25">
      <c r="A50" s="10">
        <v>46096</v>
      </c>
      <c r="B50" s="5" t="s">
        <v>121</v>
      </c>
      <c r="C50" s="5" t="s">
        <v>2014</v>
      </c>
      <c r="D50" s="5" t="s">
        <v>11</v>
      </c>
      <c r="E50" s="5" t="s">
        <v>6</v>
      </c>
      <c r="F50" s="5" t="s">
        <v>6</v>
      </c>
      <c r="G50" s="5" t="s">
        <v>3103</v>
      </c>
      <c r="H50" s="5" t="s">
        <v>3272</v>
      </c>
      <c r="I50" s="6" t="str">
        <f>HYPERLINK("http://maps.yandex.ru/?ll=39.310394,51.72298&amp;spn=0.011598,0.004531&amp;z=17&amp;l=map&amp;pt=39.310394,51.72298", "51.722984//39.310394")</f>
        <v>51.722984//39.310394</v>
      </c>
      <c r="J50" s="5" t="s">
        <v>101</v>
      </c>
      <c r="K50" s="6" t="str">
        <f>HYPERLINK("http://maps.yandex.ru/?ll=38.155884,54.34081&amp;spn=0.011598,0.004531&amp;z=17&amp;l=map&amp;pt=38.155884,54.34081", "54.340813//38.155884")</f>
        <v>54.340813//38.155884</v>
      </c>
      <c r="L50" s="5" t="s">
        <v>168</v>
      </c>
      <c r="M50" s="5" t="s">
        <v>534</v>
      </c>
      <c r="N50" s="5" t="s">
        <v>231</v>
      </c>
      <c r="O50" s="5" t="s">
        <v>1427</v>
      </c>
      <c r="P50" s="5">
        <v>12</v>
      </c>
      <c r="Q50" s="5">
        <v>6</v>
      </c>
      <c r="R50" s="5">
        <v>81</v>
      </c>
      <c r="S50" s="5">
        <v>183.15700000000001</v>
      </c>
      <c r="T50" s="5" t="s">
        <v>12</v>
      </c>
      <c r="U50" s="5" t="s">
        <v>12</v>
      </c>
      <c r="V50" s="5" t="s">
        <v>12</v>
      </c>
      <c r="W50" s="5">
        <v>7.63</v>
      </c>
      <c r="X50" s="5">
        <v>61.56</v>
      </c>
      <c r="Y50" s="5">
        <v>143</v>
      </c>
      <c r="Z50" s="5" t="s">
        <v>2015</v>
      </c>
      <c r="AA50" s="5" t="s">
        <v>2330</v>
      </c>
      <c r="AB50" s="5" t="s">
        <v>19</v>
      </c>
      <c r="AC50" s="5" t="s">
        <v>19</v>
      </c>
      <c r="AD50" s="5" t="s">
        <v>19</v>
      </c>
      <c r="AE50" s="5" t="s">
        <v>1709</v>
      </c>
      <c r="AF50" s="5" t="s">
        <v>12</v>
      </c>
      <c r="AG50" s="5"/>
      <c r="AH50" s="5"/>
      <c r="AI50" s="5"/>
      <c r="AJ50" s="5"/>
      <c r="AK50" s="5"/>
      <c r="AL50" s="5" t="s">
        <v>2017</v>
      </c>
      <c r="AM50" s="5" t="s">
        <v>3273</v>
      </c>
      <c r="AN50" s="5" t="s">
        <v>1718</v>
      </c>
      <c r="AO50" s="5" t="s">
        <v>115</v>
      </c>
      <c r="AP50" s="5" t="s">
        <v>114</v>
      </c>
      <c r="AQ50" s="5" t="s">
        <v>99</v>
      </c>
      <c r="AR50" s="5" t="s">
        <v>98</v>
      </c>
    </row>
    <row r="51" spans="1:44" ht="31.5" x14ac:dyDescent="0.25">
      <c r="A51" s="10">
        <v>46096</v>
      </c>
      <c r="B51" s="5" t="s">
        <v>119</v>
      </c>
      <c r="C51" s="5" t="s">
        <v>2018</v>
      </c>
      <c r="D51" s="5" t="s">
        <v>11</v>
      </c>
      <c r="E51" s="5" t="s">
        <v>8</v>
      </c>
      <c r="F51" s="5" t="s">
        <v>8</v>
      </c>
      <c r="G51" s="5" t="s">
        <v>3274</v>
      </c>
      <c r="H51" s="5" t="s">
        <v>3275</v>
      </c>
      <c r="I51" s="6" t="str">
        <f>HYPERLINK("http://maps.yandex.ru/?ll=50.15672,53.08485&amp;spn=0.011598,0.004531&amp;z=17&amp;l=map&amp;pt=50.15672,53.08485", "53.084854//50.15672")</f>
        <v>53.084854//50.15672</v>
      </c>
      <c r="J51" s="5" t="s">
        <v>76</v>
      </c>
      <c r="K51" s="6" t="str">
        <f>HYPERLINK("http://maps.yandex.ru/?ll=45.814644,51.6398&amp;spn=0.011598,0.004531&amp;z=17&amp;l=map&amp;pt=45.814644,51.6398", "51.63981//45.814644")</f>
        <v>51.63981//45.814644</v>
      </c>
      <c r="L51" s="5" t="s">
        <v>213</v>
      </c>
      <c r="M51" s="5" t="s">
        <v>646</v>
      </c>
      <c r="N51" s="5" t="s">
        <v>1351</v>
      </c>
      <c r="O51" s="5" t="s">
        <v>181</v>
      </c>
      <c r="P51" s="5">
        <v>41</v>
      </c>
      <c r="Q51" s="5">
        <v>56</v>
      </c>
      <c r="R51" s="5">
        <v>2</v>
      </c>
      <c r="S51" s="5">
        <v>608.9</v>
      </c>
      <c r="T51" s="5" t="s">
        <v>12</v>
      </c>
      <c r="U51" s="5" t="s">
        <v>12</v>
      </c>
      <c r="V51" s="5" t="s">
        <v>12</v>
      </c>
      <c r="W51" s="5">
        <v>25.37</v>
      </c>
      <c r="X51" s="5">
        <v>61.37</v>
      </c>
      <c r="Y51" s="5">
        <v>150</v>
      </c>
      <c r="Z51" s="5" t="s">
        <v>1606</v>
      </c>
      <c r="AA51" s="5" t="s">
        <v>2317</v>
      </c>
      <c r="AB51" s="5" t="s">
        <v>1796</v>
      </c>
      <c r="AC51" s="5" t="s">
        <v>1673</v>
      </c>
      <c r="AD51" s="5" t="s">
        <v>19</v>
      </c>
      <c r="AE51" s="5" t="s">
        <v>1755</v>
      </c>
      <c r="AF51" s="5" t="s">
        <v>12</v>
      </c>
      <c r="AG51" s="5"/>
      <c r="AH51" s="5"/>
      <c r="AI51" s="5"/>
      <c r="AJ51" s="5"/>
      <c r="AK51" s="5"/>
      <c r="AL51" s="5" t="s">
        <v>2019</v>
      </c>
      <c r="AM51" s="5" t="s">
        <v>3276</v>
      </c>
      <c r="AN51" s="5" t="s">
        <v>1927</v>
      </c>
      <c r="AO51" s="5" t="s">
        <v>115</v>
      </c>
      <c r="AP51" s="5" t="s">
        <v>114</v>
      </c>
      <c r="AQ51" s="5" t="s">
        <v>99</v>
      </c>
      <c r="AR51" s="5" t="s">
        <v>98</v>
      </c>
    </row>
    <row r="52" spans="1:44" ht="31.5" x14ac:dyDescent="0.25">
      <c r="A52" s="10">
        <v>46096</v>
      </c>
      <c r="B52" s="5" t="s">
        <v>113</v>
      </c>
      <c r="C52" s="5" t="s">
        <v>2020</v>
      </c>
      <c r="D52" s="5" t="s">
        <v>11</v>
      </c>
      <c r="E52" s="5" t="s">
        <v>0</v>
      </c>
      <c r="F52" s="5" t="s">
        <v>0</v>
      </c>
      <c r="G52" s="5" t="s">
        <v>3277</v>
      </c>
      <c r="H52" s="5" t="s">
        <v>3278</v>
      </c>
      <c r="I52" s="6" t="str">
        <f>HYPERLINK("http://maps.yandex.ru/?ll=49.491844,55.71800&amp;spn=0.011598,0.004531&amp;z=17&amp;l=map&amp;pt=49.491844,55.71800", "55.718006//49.491844")</f>
        <v>55.718006//49.491844</v>
      </c>
      <c r="J52" s="5" t="s">
        <v>28</v>
      </c>
      <c r="K52" s="6" t="str">
        <f>HYPERLINK("http://maps.yandex.ru/?ll=57.41413,54.921&amp;spn=0.011598,0.004531&amp;z=17&amp;l=map&amp;pt=57.41413,54.921", "54.9216//57.41413")</f>
        <v>54.9216//57.41413</v>
      </c>
      <c r="L52" s="5" t="s">
        <v>227</v>
      </c>
      <c r="M52" s="5" t="s">
        <v>3279</v>
      </c>
      <c r="N52" s="5" t="s">
        <v>3280</v>
      </c>
      <c r="O52" s="5" t="s">
        <v>13</v>
      </c>
      <c r="P52" s="5">
        <v>41</v>
      </c>
      <c r="Q52" s="5">
        <v>59</v>
      </c>
      <c r="R52" s="5">
        <v>0</v>
      </c>
      <c r="S52" s="5">
        <v>636.40099999999995</v>
      </c>
      <c r="T52" s="5" t="s">
        <v>3281</v>
      </c>
      <c r="U52" s="5" t="s">
        <v>3282</v>
      </c>
      <c r="V52" s="5" t="s">
        <v>3283</v>
      </c>
      <c r="W52" s="5">
        <v>26.52</v>
      </c>
      <c r="X52" s="5">
        <v>63.97</v>
      </c>
      <c r="Y52" s="5">
        <v>96</v>
      </c>
      <c r="Z52" s="5" t="s">
        <v>12</v>
      </c>
      <c r="AA52" s="5" t="s">
        <v>12</v>
      </c>
      <c r="AB52" s="5" t="s">
        <v>19</v>
      </c>
      <c r="AC52" s="5" t="s">
        <v>19</v>
      </c>
      <c r="AD52" s="5" t="s">
        <v>19</v>
      </c>
      <c r="AE52" s="5" t="s">
        <v>12</v>
      </c>
      <c r="AF52" s="5" t="s">
        <v>12</v>
      </c>
      <c r="AG52" s="5">
        <v>181</v>
      </c>
      <c r="AH52" s="5">
        <v>0</v>
      </c>
      <c r="AI52" s="5">
        <v>181</v>
      </c>
      <c r="AJ52" s="5">
        <v>28.24</v>
      </c>
      <c r="AK52" s="5">
        <v>28.24</v>
      </c>
      <c r="AL52" s="5" t="s">
        <v>12</v>
      </c>
      <c r="AM52" s="5" t="s">
        <v>12</v>
      </c>
      <c r="AN52" s="5" t="s">
        <v>12</v>
      </c>
      <c r="AO52" s="5" t="s">
        <v>11</v>
      </c>
      <c r="AP52" s="5" t="s">
        <v>11</v>
      </c>
      <c r="AQ52" s="5" t="s">
        <v>53</v>
      </c>
      <c r="AR52" s="5" t="s">
        <v>52</v>
      </c>
    </row>
    <row r="53" spans="1:44" ht="31.5" x14ac:dyDescent="0.25">
      <c r="A53" s="10">
        <v>46096</v>
      </c>
      <c r="B53" s="5" t="s">
        <v>110</v>
      </c>
      <c r="C53" s="5" t="s">
        <v>2022</v>
      </c>
      <c r="D53" s="5" t="s">
        <v>11</v>
      </c>
      <c r="E53" s="5" t="s">
        <v>6</v>
      </c>
      <c r="F53" s="5" t="s">
        <v>6</v>
      </c>
      <c r="G53" s="5" t="s">
        <v>3284</v>
      </c>
      <c r="H53" s="5" t="s">
        <v>3285</v>
      </c>
      <c r="I53" s="6" t="str">
        <f>HYPERLINK("http://maps.yandex.ru/?ll=132.08224,43.32614&amp;spn=0.011598,0.004531&amp;z=17&amp;l=map&amp;pt=132.08224,43.32614", "43.326145//132.08224")</f>
        <v>43.326145//132.08224</v>
      </c>
      <c r="J53" s="5" t="s">
        <v>108</v>
      </c>
      <c r="K53" s="6" t="str">
        <f>HYPERLINK("http://maps.yandex.ru/?ll=132.08224,43.32614&amp;spn=0.011598,0.004531&amp;z=17&amp;l=map&amp;pt=132.08224,43.32614", "43.326145//132.08224")</f>
        <v>43.326145//132.08224</v>
      </c>
      <c r="L53" s="5" t="s">
        <v>108</v>
      </c>
      <c r="M53" s="5" t="s">
        <v>13</v>
      </c>
      <c r="N53" s="5" t="s">
        <v>58</v>
      </c>
      <c r="O53" s="5" t="s">
        <v>13</v>
      </c>
      <c r="P53" s="5">
        <v>0</v>
      </c>
      <c r="Q53" s="5">
        <v>100</v>
      </c>
      <c r="R53" s="5">
        <v>0</v>
      </c>
      <c r="S53" s="5">
        <v>0</v>
      </c>
      <c r="T53" s="5" t="s">
        <v>12</v>
      </c>
      <c r="U53" s="5" t="s">
        <v>12</v>
      </c>
      <c r="V53" s="5" t="s">
        <v>12</v>
      </c>
      <c r="W53" s="5">
        <v>0</v>
      </c>
      <c r="X53" s="5">
        <v>0</v>
      </c>
      <c r="Y53" s="5">
        <v>4</v>
      </c>
      <c r="Z53" s="5" t="s">
        <v>1736</v>
      </c>
      <c r="AA53" s="5" t="s">
        <v>1888</v>
      </c>
      <c r="AB53" s="5" t="s">
        <v>19</v>
      </c>
      <c r="AC53" s="5" t="s">
        <v>19</v>
      </c>
      <c r="AD53" s="5" t="s">
        <v>19</v>
      </c>
      <c r="AE53" s="5" t="s">
        <v>1615</v>
      </c>
      <c r="AF53" s="5" t="s">
        <v>12</v>
      </c>
      <c r="AG53" s="5"/>
      <c r="AH53" s="5"/>
      <c r="AI53" s="5"/>
      <c r="AJ53" s="5"/>
      <c r="AK53" s="5"/>
      <c r="AL53" s="5" t="s">
        <v>3286</v>
      </c>
      <c r="AM53" s="5" t="s">
        <v>3287</v>
      </c>
      <c r="AN53" s="5" t="s">
        <v>1807</v>
      </c>
      <c r="AO53" s="5" t="s">
        <v>83</v>
      </c>
      <c r="AP53" s="5" t="s">
        <v>82</v>
      </c>
      <c r="AQ53" s="5" t="s">
        <v>106</v>
      </c>
      <c r="AR53" s="5" t="s">
        <v>105</v>
      </c>
    </row>
    <row r="54" spans="1:44" ht="31.5" x14ac:dyDescent="0.25">
      <c r="A54" s="10">
        <v>46096</v>
      </c>
      <c r="B54" s="5" t="s">
        <v>104</v>
      </c>
      <c r="C54" s="5" t="s">
        <v>2023</v>
      </c>
      <c r="D54" s="5" t="s">
        <v>11</v>
      </c>
      <c r="E54" s="5" t="s">
        <v>6</v>
      </c>
      <c r="F54" s="5" t="s">
        <v>6</v>
      </c>
      <c r="G54" s="5" t="s">
        <v>3288</v>
      </c>
      <c r="H54" s="5" t="s">
        <v>3289</v>
      </c>
      <c r="I54" s="6" t="str">
        <f>HYPERLINK("http://maps.yandex.ru/?ll=36.14989,52.91891&amp;spn=0.011598,0.004531&amp;z=17&amp;l=map&amp;pt=36.14989,52.91891", "52.918915//36.14989")</f>
        <v>52.918915//36.14989</v>
      </c>
      <c r="J54" s="5" t="s">
        <v>575</v>
      </c>
      <c r="K54" s="6" t="str">
        <f>HYPERLINK("http://maps.yandex.ru/?ll=39.795784,51.0903&amp;spn=0.011598,0.004531&amp;z=17&amp;l=map&amp;pt=39.795784,51.0903", "51.09038//39.795784")</f>
        <v>51.09038//39.795784</v>
      </c>
      <c r="L54" s="5" t="s">
        <v>101</v>
      </c>
      <c r="M54" s="5" t="s">
        <v>940</v>
      </c>
      <c r="N54" s="5" t="s">
        <v>3151</v>
      </c>
      <c r="O54" s="5" t="s">
        <v>581</v>
      </c>
      <c r="P54" s="5">
        <v>19</v>
      </c>
      <c r="Q54" s="5">
        <v>29</v>
      </c>
      <c r="R54" s="5">
        <v>52</v>
      </c>
      <c r="S54" s="5">
        <v>289.17200000000003</v>
      </c>
      <c r="T54" s="5" t="s">
        <v>2289</v>
      </c>
      <c r="U54" s="5" t="s">
        <v>3290</v>
      </c>
      <c r="V54" s="5" t="s">
        <v>3291</v>
      </c>
      <c r="W54" s="5">
        <v>12.05</v>
      </c>
      <c r="X54" s="5">
        <v>64.69</v>
      </c>
      <c r="Y54" s="5">
        <v>111</v>
      </c>
      <c r="Z54" s="5" t="s">
        <v>2025</v>
      </c>
      <c r="AA54" s="5" t="s">
        <v>3292</v>
      </c>
      <c r="AB54" s="5" t="s">
        <v>1971</v>
      </c>
      <c r="AC54" s="5" t="s">
        <v>1673</v>
      </c>
      <c r="AD54" s="5" t="s">
        <v>19</v>
      </c>
      <c r="AE54" s="5" t="s">
        <v>1501</v>
      </c>
      <c r="AF54" s="5" t="s">
        <v>3293</v>
      </c>
      <c r="AG54" s="5">
        <v>160</v>
      </c>
      <c r="AH54" s="5">
        <v>2</v>
      </c>
      <c r="AI54" s="5">
        <v>158</v>
      </c>
      <c r="AJ54" s="5">
        <v>36.04</v>
      </c>
      <c r="AK54" s="5">
        <v>35.590000000000003</v>
      </c>
      <c r="AL54" s="5" t="s">
        <v>12</v>
      </c>
      <c r="AM54" s="5" t="s">
        <v>12</v>
      </c>
      <c r="AN54" s="5" t="s">
        <v>12</v>
      </c>
      <c r="AO54" s="5" t="s">
        <v>11</v>
      </c>
      <c r="AP54" s="5" t="s">
        <v>11</v>
      </c>
      <c r="AQ54" s="5" t="s">
        <v>18</v>
      </c>
      <c r="AR54" s="5" t="s">
        <v>17</v>
      </c>
    </row>
    <row r="55" spans="1:44" ht="31.5" x14ac:dyDescent="0.25">
      <c r="A55" s="10">
        <v>46096</v>
      </c>
      <c r="B55" s="5" t="s">
        <v>102</v>
      </c>
      <c r="C55" s="5" t="s">
        <v>2028</v>
      </c>
      <c r="D55" s="5" t="s">
        <v>11</v>
      </c>
      <c r="E55" s="5" t="s">
        <v>8</v>
      </c>
      <c r="F55" s="5" t="s">
        <v>8</v>
      </c>
      <c r="G55" s="5" t="s">
        <v>3294</v>
      </c>
      <c r="H55" s="5" t="s">
        <v>3295</v>
      </c>
      <c r="I55" s="6" t="str">
        <f>HYPERLINK("http://maps.yandex.ru/?ll=42.073776,44.23965&amp;spn=0.011598,0.004531&amp;z=17&amp;l=map&amp;pt=42.073776,44.23965", "44.239655//42.073776")</f>
        <v>44.239655//42.073776</v>
      </c>
      <c r="J55" s="5" t="s">
        <v>23</v>
      </c>
      <c r="K55" s="6" t="str">
        <f>HYPERLINK("http://maps.yandex.ru/?ll=42.071243,44.24014&amp;spn=0.011598,0.004531&amp;z=17&amp;l=map&amp;pt=42.071243,44.24014", "44.240147//42.071243")</f>
        <v>44.240147//42.071243</v>
      </c>
      <c r="L55" s="5" t="s">
        <v>23</v>
      </c>
      <c r="M55" s="5" t="s">
        <v>216</v>
      </c>
      <c r="N55" s="5" t="s">
        <v>215</v>
      </c>
      <c r="O55" s="5" t="s">
        <v>13</v>
      </c>
      <c r="P55" s="5">
        <v>0</v>
      </c>
      <c r="Q55" s="5">
        <v>100</v>
      </c>
      <c r="R55" s="5">
        <v>0</v>
      </c>
      <c r="S55" s="5">
        <v>0.38700000000000001</v>
      </c>
      <c r="T55" s="5" t="s">
        <v>12</v>
      </c>
      <c r="U55" s="5" t="s">
        <v>12</v>
      </c>
      <c r="V55" s="5" t="s">
        <v>12</v>
      </c>
      <c r="W55" s="5">
        <v>0.02</v>
      </c>
      <c r="X55" s="5">
        <v>4.13</v>
      </c>
      <c r="Y55" s="5">
        <v>12</v>
      </c>
      <c r="Z55" s="5" t="s">
        <v>2029</v>
      </c>
      <c r="AA55" s="5" t="s">
        <v>1405</v>
      </c>
      <c r="AB55" s="5" t="s">
        <v>19</v>
      </c>
      <c r="AC55" s="5" t="s">
        <v>19</v>
      </c>
      <c r="AD55" s="5" t="s">
        <v>19</v>
      </c>
      <c r="AE55" s="5" t="s">
        <v>1689</v>
      </c>
      <c r="AF55" s="5" t="s">
        <v>12</v>
      </c>
      <c r="AG55" s="5"/>
      <c r="AH55" s="5"/>
      <c r="AI55" s="5"/>
      <c r="AJ55" s="5"/>
      <c r="AK55" s="5"/>
      <c r="AL55" s="5" t="s">
        <v>12</v>
      </c>
      <c r="AM55" s="5" t="s">
        <v>12</v>
      </c>
      <c r="AN55" s="5" t="s">
        <v>12</v>
      </c>
      <c r="AO55" s="5" t="s">
        <v>69</v>
      </c>
      <c r="AP55" s="5" t="s">
        <v>68</v>
      </c>
      <c r="AQ55" s="5" t="s">
        <v>99</v>
      </c>
      <c r="AR55" s="5" t="s">
        <v>98</v>
      </c>
    </row>
    <row r="56" spans="1:44" ht="31.5" x14ac:dyDescent="0.25">
      <c r="A56" s="10">
        <v>46096</v>
      </c>
      <c r="B56" s="5" t="s">
        <v>97</v>
      </c>
      <c r="C56" s="5" t="s">
        <v>2030</v>
      </c>
      <c r="D56" s="5" t="s">
        <v>11</v>
      </c>
      <c r="E56" s="5" t="s">
        <v>4</v>
      </c>
      <c r="F56" s="5" t="s">
        <v>4</v>
      </c>
      <c r="G56" s="5" t="s">
        <v>3296</v>
      </c>
      <c r="H56" s="5" t="s">
        <v>3297</v>
      </c>
      <c r="I56" s="6" t="str">
        <f>HYPERLINK("http://maps.yandex.ru/?ll=66.590004,55.38989&amp;spn=0.011598,0.004531&amp;z=17&amp;l=map&amp;pt=66.590004,55.38989", "55.389896//66.590004")</f>
        <v>55.389896//66.590004</v>
      </c>
      <c r="J56" s="5" t="s">
        <v>361</v>
      </c>
      <c r="K56" s="6" t="str">
        <f>HYPERLINK("http://maps.yandex.ru/?ll=60.334652,54.9177&amp;spn=0.011598,0.004531&amp;z=17&amp;l=map&amp;pt=60.334652,54.9177", "54.91772//60.334652")</f>
        <v>54.91772//60.334652</v>
      </c>
      <c r="L56" s="5" t="s">
        <v>227</v>
      </c>
      <c r="M56" s="5" t="s">
        <v>299</v>
      </c>
      <c r="N56" s="5" t="s">
        <v>298</v>
      </c>
      <c r="O56" s="5" t="s">
        <v>13</v>
      </c>
      <c r="P56" s="5">
        <v>32</v>
      </c>
      <c r="Q56" s="5">
        <v>68</v>
      </c>
      <c r="R56" s="5">
        <v>0</v>
      </c>
      <c r="S56" s="5">
        <v>565.77800000000002</v>
      </c>
      <c r="T56" s="5" t="s">
        <v>1509</v>
      </c>
      <c r="U56" s="5" t="s">
        <v>3298</v>
      </c>
      <c r="V56" s="5" t="s">
        <v>3299</v>
      </c>
      <c r="W56" s="5">
        <v>23.57</v>
      </c>
      <c r="X56" s="5">
        <v>74.17</v>
      </c>
      <c r="Y56" s="5">
        <v>107</v>
      </c>
      <c r="Z56" s="5" t="s">
        <v>1811</v>
      </c>
      <c r="AA56" s="5" t="s">
        <v>1991</v>
      </c>
      <c r="AB56" s="5" t="s">
        <v>19</v>
      </c>
      <c r="AC56" s="5" t="s">
        <v>19</v>
      </c>
      <c r="AD56" s="5" t="s">
        <v>3300</v>
      </c>
      <c r="AE56" s="5" t="s">
        <v>1555</v>
      </c>
      <c r="AF56" s="5" t="s">
        <v>3301</v>
      </c>
      <c r="AG56" s="5"/>
      <c r="AH56" s="5">
        <v>0</v>
      </c>
      <c r="AI56" s="5"/>
      <c r="AJ56" s="5">
        <v>0</v>
      </c>
      <c r="AK56" s="5">
        <v>0</v>
      </c>
      <c r="AL56" s="5" t="s">
        <v>12</v>
      </c>
      <c r="AM56" s="5" t="s">
        <v>12</v>
      </c>
      <c r="AN56" s="5" t="s">
        <v>12</v>
      </c>
      <c r="AO56" s="5" t="s">
        <v>11</v>
      </c>
      <c r="AP56" s="5" t="s">
        <v>11</v>
      </c>
      <c r="AQ56" s="5" t="s">
        <v>92</v>
      </c>
      <c r="AR56" s="5" t="s">
        <v>91</v>
      </c>
    </row>
    <row r="57" spans="1:44" ht="31.5" x14ac:dyDescent="0.25">
      <c r="A57" s="10">
        <v>46096</v>
      </c>
      <c r="B57" s="5" t="s">
        <v>96</v>
      </c>
      <c r="C57" s="5" t="s">
        <v>2034</v>
      </c>
      <c r="D57" s="5" t="s">
        <v>11</v>
      </c>
      <c r="E57" s="5" t="s">
        <v>4</v>
      </c>
      <c r="F57" s="5" t="s">
        <v>4</v>
      </c>
      <c r="G57" s="5" t="s">
        <v>3302</v>
      </c>
      <c r="H57" s="5" t="s">
        <v>3303</v>
      </c>
      <c r="I57" s="6" t="str">
        <f>HYPERLINK("http://maps.yandex.ru/?ll=43.013885,53.96875&amp;spn=0.011598,0.004531&amp;z=17&amp;l=map&amp;pt=43.013885,53.96875", "53.968754//43.013885")</f>
        <v>53.968754//43.013885</v>
      </c>
      <c r="J57" s="5" t="s">
        <v>467</v>
      </c>
      <c r="K57" s="6" t="str">
        <f>HYPERLINK("http://maps.yandex.ru/?ll=36.829502,56.1860&amp;spn=0.011598,0.004531&amp;z=17&amp;l=map&amp;pt=36.829502,56.1860", "56.18606//36.829502")</f>
        <v>56.18606//36.829502</v>
      </c>
      <c r="L57" s="5" t="s">
        <v>56</v>
      </c>
      <c r="M57" s="5" t="s">
        <v>247</v>
      </c>
      <c r="N57" s="5" t="s">
        <v>3304</v>
      </c>
      <c r="O57" s="5" t="s">
        <v>371</v>
      </c>
      <c r="P57" s="5">
        <v>37</v>
      </c>
      <c r="Q57" s="5">
        <v>57</v>
      </c>
      <c r="R57" s="5">
        <v>5</v>
      </c>
      <c r="S57" s="5">
        <v>508.73099999999999</v>
      </c>
      <c r="T57" s="5" t="s">
        <v>2969</v>
      </c>
      <c r="U57" s="5" t="s">
        <v>3305</v>
      </c>
      <c r="V57" s="5" t="s">
        <v>3306</v>
      </c>
      <c r="W57" s="5">
        <v>21.2</v>
      </c>
      <c r="X57" s="5">
        <v>56.74</v>
      </c>
      <c r="Y57" s="5">
        <v>208</v>
      </c>
      <c r="Z57" s="5" t="s">
        <v>1760</v>
      </c>
      <c r="AA57" s="5" t="s">
        <v>1588</v>
      </c>
      <c r="AB57" s="5" t="s">
        <v>2215</v>
      </c>
      <c r="AC57" s="5" t="s">
        <v>1673</v>
      </c>
      <c r="AD57" s="5" t="s">
        <v>19</v>
      </c>
      <c r="AE57" s="5" t="s">
        <v>1938</v>
      </c>
      <c r="AF57" s="5" t="s">
        <v>3307</v>
      </c>
      <c r="AG57" s="5"/>
      <c r="AH57" s="5">
        <v>0</v>
      </c>
      <c r="AI57" s="5"/>
      <c r="AJ57" s="5">
        <v>0</v>
      </c>
      <c r="AK57" s="5">
        <v>0</v>
      </c>
      <c r="AL57" s="5" t="s">
        <v>12</v>
      </c>
      <c r="AM57" s="5" t="s">
        <v>12</v>
      </c>
      <c r="AN57" s="5" t="s">
        <v>12</v>
      </c>
      <c r="AO57" s="5" t="s">
        <v>11</v>
      </c>
      <c r="AP57" s="5" t="s">
        <v>11</v>
      </c>
      <c r="AQ57" s="5" t="s">
        <v>92</v>
      </c>
      <c r="AR57" s="5" t="s">
        <v>91</v>
      </c>
    </row>
    <row r="58" spans="1:44" ht="31.5" x14ac:dyDescent="0.25">
      <c r="A58" s="10">
        <v>46096</v>
      </c>
      <c r="B58" s="5" t="s">
        <v>90</v>
      </c>
      <c r="C58" s="5" t="s">
        <v>2035</v>
      </c>
      <c r="D58" s="5" t="s">
        <v>11</v>
      </c>
      <c r="E58" s="5" t="s">
        <v>0</v>
      </c>
      <c r="F58" s="5" t="s">
        <v>0</v>
      </c>
      <c r="G58" s="5" t="s">
        <v>3308</v>
      </c>
      <c r="H58" s="5" t="s">
        <v>3309</v>
      </c>
      <c r="I58" s="6" t="str">
        <f>HYPERLINK("http://maps.yandex.ru/?ll=36.677113,56.27783&amp;spn=0.011598,0.004531&amp;z=17&amp;l=map&amp;pt=36.677113,56.27783", "56.277832//36.677113")</f>
        <v>56.277832//36.677113</v>
      </c>
      <c r="J58" s="5" t="s">
        <v>56</v>
      </c>
      <c r="K58" s="6" t="str">
        <f>HYPERLINK("http://maps.yandex.ru/?ll=36.677113,56.27783&amp;spn=0.011598,0.004531&amp;z=17&amp;l=map&amp;pt=36.677113,56.27783", "56.277832//36.677113")</f>
        <v>56.277832//36.677113</v>
      </c>
      <c r="L58" s="5" t="s">
        <v>56</v>
      </c>
      <c r="M58" s="5" t="s">
        <v>13</v>
      </c>
      <c r="N58" s="5" t="s">
        <v>58</v>
      </c>
      <c r="O58" s="5" t="s">
        <v>13</v>
      </c>
      <c r="P58" s="5">
        <v>0</v>
      </c>
      <c r="Q58" s="5">
        <v>100</v>
      </c>
      <c r="R58" s="5">
        <v>0</v>
      </c>
      <c r="S58" s="5">
        <v>0</v>
      </c>
      <c r="T58" s="5" t="s">
        <v>12</v>
      </c>
      <c r="U58" s="5" t="s">
        <v>12</v>
      </c>
      <c r="V58" s="5" t="s">
        <v>12</v>
      </c>
      <c r="W58" s="5">
        <v>0</v>
      </c>
      <c r="X58" s="5">
        <v>0</v>
      </c>
      <c r="Y58" s="5">
        <v>4</v>
      </c>
      <c r="Z58" s="5" t="s">
        <v>12</v>
      </c>
      <c r="AA58" s="5" t="s">
        <v>12</v>
      </c>
      <c r="AB58" s="5" t="s">
        <v>12</v>
      </c>
      <c r="AC58" s="5" t="s">
        <v>12</v>
      </c>
      <c r="AD58" s="5" t="s">
        <v>12</v>
      </c>
      <c r="AE58" s="5" t="s">
        <v>12</v>
      </c>
      <c r="AF58" s="5" t="s">
        <v>12</v>
      </c>
      <c r="AG58" s="5"/>
      <c r="AH58" s="5"/>
      <c r="AI58" s="5"/>
      <c r="AJ58" s="5"/>
      <c r="AK58" s="5"/>
      <c r="AL58" s="5" t="s">
        <v>12</v>
      </c>
      <c r="AM58" s="5" t="s">
        <v>12</v>
      </c>
      <c r="AN58" s="5" t="s">
        <v>12</v>
      </c>
      <c r="AO58" s="5" t="s">
        <v>83</v>
      </c>
      <c r="AP58" s="5" t="s">
        <v>82</v>
      </c>
      <c r="AQ58" s="5" t="s">
        <v>67</v>
      </c>
      <c r="AR58" s="5" t="s">
        <v>66</v>
      </c>
    </row>
    <row r="59" spans="1:44" ht="31.5" x14ac:dyDescent="0.25">
      <c r="A59" s="10">
        <v>46096</v>
      </c>
      <c r="B59" s="5" t="s">
        <v>89</v>
      </c>
      <c r="C59" s="5" t="s">
        <v>2036</v>
      </c>
      <c r="D59" s="5" t="s">
        <v>11</v>
      </c>
      <c r="E59" s="5" t="s">
        <v>3</v>
      </c>
      <c r="F59" s="5" t="s">
        <v>3</v>
      </c>
      <c r="G59" s="5" t="s">
        <v>3103</v>
      </c>
      <c r="H59" s="5" t="s">
        <v>3310</v>
      </c>
      <c r="I59" s="6" t="str">
        <f>HYPERLINK("http://maps.yandex.ru/?ll=41.968567,44.64061&amp;spn=0.011598,0.004531&amp;z=17&amp;l=map&amp;pt=41.968567,44.64061", "44.640614//41.968567")</f>
        <v>44.640614//41.968567</v>
      </c>
      <c r="J59" s="5" t="s">
        <v>208</v>
      </c>
      <c r="K59" s="6" t="str">
        <f>HYPERLINK("http://maps.yandex.ru/?ll=43.139977,44.17083&amp;spn=0.011598,0.004531&amp;z=17&amp;l=map&amp;pt=43.139977,44.17083", "44.170837//43.139977")</f>
        <v>44.170837//43.139977</v>
      </c>
      <c r="L59" s="5" t="s">
        <v>208</v>
      </c>
      <c r="M59" s="5" t="s">
        <v>861</v>
      </c>
      <c r="N59" s="5" t="s">
        <v>3311</v>
      </c>
      <c r="O59" s="5" t="s">
        <v>923</v>
      </c>
      <c r="P59" s="5">
        <v>7</v>
      </c>
      <c r="Q59" s="5">
        <v>54</v>
      </c>
      <c r="R59" s="5">
        <v>39</v>
      </c>
      <c r="S59" s="5">
        <v>111.074</v>
      </c>
      <c r="T59" s="5" t="s">
        <v>1717</v>
      </c>
      <c r="U59" s="5" t="s">
        <v>3312</v>
      </c>
      <c r="V59" s="5" t="s">
        <v>3313</v>
      </c>
      <c r="W59" s="5">
        <v>4.63</v>
      </c>
      <c r="X59" s="5">
        <v>70.69</v>
      </c>
      <c r="Y59" s="5">
        <v>103</v>
      </c>
      <c r="Z59" s="5" t="s">
        <v>1558</v>
      </c>
      <c r="AA59" s="5" t="s">
        <v>1691</v>
      </c>
      <c r="AB59" s="5" t="s">
        <v>19</v>
      </c>
      <c r="AC59" s="5" t="s">
        <v>19</v>
      </c>
      <c r="AD59" s="5" t="s">
        <v>19</v>
      </c>
      <c r="AE59" s="5" t="s">
        <v>1591</v>
      </c>
      <c r="AF59" s="5" t="s">
        <v>3314</v>
      </c>
      <c r="AG59" s="5">
        <v>38</v>
      </c>
      <c r="AH59" s="5">
        <v>0</v>
      </c>
      <c r="AI59" s="5">
        <v>38</v>
      </c>
      <c r="AJ59" s="5">
        <v>31.93</v>
      </c>
      <c r="AK59" s="5">
        <v>31.93</v>
      </c>
      <c r="AL59" s="5" t="s">
        <v>12</v>
      </c>
      <c r="AM59" s="5" t="s">
        <v>12</v>
      </c>
      <c r="AN59" s="5" t="s">
        <v>12</v>
      </c>
      <c r="AO59" s="5" t="s">
        <v>11</v>
      </c>
      <c r="AP59" s="5" t="s">
        <v>11</v>
      </c>
      <c r="AQ59" s="5" t="s">
        <v>18</v>
      </c>
      <c r="AR59" s="5" t="s">
        <v>74</v>
      </c>
    </row>
    <row r="60" spans="1:44" ht="15.75" x14ac:dyDescent="0.25">
      <c r="A60" s="10">
        <v>46096</v>
      </c>
      <c r="B60" s="5" t="s">
        <v>85</v>
      </c>
      <c r="C60" s="5" t="s">
        <v>2039</v>
      </c>
      <c r="D60" s="5" t="s">
        <v>11</v>
      </c>
      <c r="E60" s="5" t="s">
        <v>4</v>
      </c>
      <c r="F60" s="5" t="s">
        <v>4</v>
      </c>
      <c r="G60" s="5" t="s">
        <v>11</v>
      </c>
      <c r="H60" s="5" t="s">
        <v>11</v>
      </c>
      <c r="I60" s="6" t="str">
        <f>HYPERLINK("http://maps.yandex.ru/?ll=,&amp;spn=0.011598,0.004531&amp;z=17&amp;l=map&amp;pt=,", "")</f>
        <v/>
      </c>
      <c r="J60" s="5" t="s">
        <v>84</v>
      </c>
      <c r="K60" s="6" t="str">
        <f>HYPERLINK("http://maps.yandex.ru/?ll=,&amp;spn=0.011598,0.004531&amp;z=17&amp;l=map&amp;pt=,", "")</f>
        <v/>
      </c>
      <c r="L60" s="5" t="s">
        <v>84</v>
      </c>
      <c r="M60" s="5" t="s">
        <v>13</v>
      </c>
      <c r="N60" s="5" t="s">
        <v>13</v>
      </c>
      <c r="O60" s="5" t="s">
        <v>58</v>
      </c>
      <c r="P60" s="5">
        <v>0</v>
      </c>
      <c r="Q60" s="5">
        <v>0</v>
      </c>
      <c r="R60" s="5">
        <v>100</v>
      </c>
      <c r="S60" s="5">
        <v>0</v>
      </c>
      <c r="T60" s="5" t="s">
        <v>12</v>
      </c>
      <c r="U60" s="5" t="s">
        <v>12</v>
      </c>
      <c r="V60" s="5" t="s">
        <v>12</v>
      </c>
      <c r="W60" s="5">
        <v>0</v>
      </c>
      <c r="X60" s="5">
        <v>0</v>
      </c>
      <c r="Y60" s="5">
        <v>0</v>
      </c>
      <c r="Z60" s="5" t="s">
        <v>12</v>
      </c>
      <c r="AA60" s="5" t="s">
        <v>12</v>
      </c>
      <c r="AB60" s="5" t="s">
        <v>19</v>
      </c>
      <c r="AC60" s="5" t="s">
        <v>19</v>
      </c>
      <c r="AD60" s="5" t="s">
        <v>19</v>
      </c>
      <c r="AE60" s="5" t="s">
        <v>12</v>
      </c>
      <c r="AF60" s="5" t="s">
        <v>12</v>
      </c>
      <c r="AG60" s="5"/>
      <c r="AH60" s="5"/>
      <c r="AI60" s="5"/>
      <c r="AJ60" s="5"/>
      <c r="AK60" s="5"/>
      <c r="AL60" s="5" t="s">
        <v>12</v>
      </c>
      <c r="AM60" s="5" t="s">
        <v>12</v>
      </c>
      <c r="AN60" s="5" t="s">
        <v>12</v>
      </c>
      <c r="AO60" s="5" t="s">
        <v>83</v>
      </c>
      <c r="AP60" s="5" t="s">
        <v>82</v>
      </c>
      <c r="AQ60" s="5" t="s">
        <v>67</v>
      </c>
      <c r="AR60" s="5" t="s">
        <v>66</v>
      </c>
    </row>
    <row r="61" spans="1:44" ht="15.75" x14ac:dyDescent="0.25">
      <c r="A61" s="10">
        <v>46096</v>
      </c>
      <c r="B61" s="5" t="s">
        <v>81</v>
      </c>
      <c r="C61" s="5" t="s">
        <v>2040</v>
      </c>
      <c r="D61" s="5" t="s">
        <v>11</v>
      </c>
      <c r="E61" s="5" t="s">
        <v>4</v>
      </c>
      <c r="F61" s="5" t="s">
        <v>4</v>
      </c>
      <c r="G61" s="5" t="s">
        <v>11</v>
      </c>
      <c r="H61" s="5" t="s">
        <v>11</v>
      </c>
      <c r="I61" s="6" t="str">
        <f>HYPERLINK("http://maps.yandex.ru/?ll=,&amp;spn=0.011598,0.004531&amp;z=17&amp;l=map&amp;pt=,", "")</f>
        <v/>
      </c>
      <c r="J61" s="5" t="s">
        <v>84</v>
      </c>
      <c r="K61" s="6" t="str">
        <f>HYPERLINK("http://maps.yandex.ru/?ll=,&amp;spn=0.011598,0.004531&amp;z=17&amp;l=map&amp;pt=,", "")</f>
        <v/>
      </c>
      <c r="L61" s="5" t="s">
        <v>84</v>
      </c>
      <c r="M61" s="5" t="s">
        <v>13</v>
      </c>
      <c r="N61" s="5" t="s">
        <v>944</v>
      </c>
      <c r="O61" s="5" t="s">
        <v>1502</v>
      </c>
      <c r="P61" s="5">
        <v>0</v>
      </c>
      <c r="Q61" s="5">
        <v>6</v>
      </c>
      <c r="R61" s="5">
        <v>94</v>
      </c>
      <c r="S61" s="5">
        <v>0</v>
      </c>
      <c r="T61" s="5" t="s">
        <v>12</v>
      </c>
      <c r="U61" s="5" t="s">
        <v>12</v>
      </c>
      <c r="V61" s="5" t="s">
        <v>12</v>
      </c>
      <c r="W61" s="5">
        <v>0</v>
      </c>
      <c r="X61" s="5">
        <v>0</v>
      </c>
      <c r="Y61" s="5">
        <v>0</v>
      </c>
      <c r="Z61" s="5" t="s">
        <v>2006</v>
      </c>
      <c r="AA61" s="5" t="s">
        <v>2006</v>
      </c>
      <c r="AB61" s="5" t="s">
        <v>19</v>
      </c>
      <c r="AC61" s="5" t="s">
        <v>19</v>
      </c>
      <c r="AD61" s="5" t="s">
        <v>19</v>
      </c>
      <c r="AE61" s="5" t="s">
        <v>19</v>
      </c>
      <c r="AF61" s="5" t="s">
        <v>12</v>
      </c>
      <c r="AG61" s="5"/>
      <c r="AH61" s="5"/>
      <c r="AI61" s="5"/>
      <c r="AJ61" s="5"/>
      <c r="AK61" s="5"/>
      <c r="AL61" s="5" t="s">
        <v>12</v>
      </c>
      <c r="AM61" s="5" t="s">
        <v>12</v>
      </c>
      <c r="AN61" s="5" t="s">
        <v>12</v>
      </c>
      <c r="AO61" s="5" t="s">
        <v>69</v>
      </c>
      <c r="AP61" s="5" t="s">
        <v>68</v>
      </c>
      <c r="AQ61" s="5" t="s">
        <v>67</v>
      </c>
      <c r="AR61" s="5" t="s">
        <v>66</v>
      </c>
    </row>
    <row r="62" spans="1:44" ht="31.5" x14ac:dyDescent="0.25">
      <c r="A62" s="10">
        <v>46096</v>
      </c>
      <c r="B62" s="5" t="s">
        <v>78</v>
      </c>
      <c r="C62" s="5" t="s">
        <v>2042</v>
      </c>
      <c r="D62" s="5" t="s">
        <v>11</v>
      </c>
      <c r="E62" s="5" t="s">
        <v>3</v>
      </c>
      <c r="F62" s="5" t="s">
        <v>3</v>
      </c>
      <c r="G62" s="5" t="s">
        <v>3315</v>
      </c>
      <c r="H62" s="5" t="s">
        <v>3316</v>
      </c>
      <c r="I62" s="6" t="str">
        <f>HYPERLINK("http://maps.yandex.ru/?ll=45.375412,50.12790&amp;spn=0.011598,0.004531&amp;z=17&amp;l=map&amp;pt=45.375412,50.12790", "50.127903//45.375412")</f>
        <v>50.127903//45.375412</v>
      </c>
      <c r="J62" s="5" t="s">
        <v>95</v>
      </c>
      <c r="K62" s="6" t="str">
        <f>HYPERLINK("http://maps.yandex.ru/?ll=39.05774,45.0528&amp;spn=0.011598,0.004531&amp;z=17&amp;l=map&amp;pt=39.05774,45.0528", "45.05282//39.05774")</f>
        <v>45.05282//39.05774</v>
      </c>
      <c r="L62" s="5" t="s">
        <v>88</v>
      </c>
      <c r="M62" s="5" t="s">
        <v>1204</v>
      </c>
      <c r="N62" s="5" t="s">
        <v>532</v>
      </c>
      <c r="O62" s="5" t="s">
        <v>3317</v>
      </c>
      <c r="P62" s="5">
        <v>50</v>
      </c>
      <c r="Q62" s="5">
        <v>40</v>
      </c>
      <c r="R62" s="5">
        <v>10</v>
      </c>
      <c r="S62" s="5">
        <v>843.03499999999997</v>
      </c>
      <c r="T62" s="5" t="s">
        <v>1554</v>
      </c>
      <c r="U62" s="5" t="s">
        <v>3318</v>
      </c>
      <c r="V62" s="5" t="s">
        <v>3319</v>
      </c>
      <c r="W62" s="5">
        <v>35.130000000000003</v>
      </c>
      <c r="X62" s="5">
        <v>70.27</v>
      </c>
      <c r="Y62" s="5">
        <v>134</v>
      </c>
      <c r="Z62" s="5" t="s">
        <v>12</v>
      </c>
      <c r="AA62" s="5" t="s">
        <v>12</v>
      </c>
      <c r="AB62" s="5" t="s">
        <v>12</v>
      </c>
      <c r="AC62" s="5" t="s">
        <v>12</v>
      </c>
      <c r="AD62" s="5" t="s">
        <v>12</v>
      </c>
      <c r="AE62" s="5" t="s">
        <v>12</v>
      </c>
      <c r="AF62" s="5" t="s">
        <v>12</v>
      </c>
      <c r="AG62" s="5">
        <v>264</v>
      </c>
      <c r="AH62" s="5">
        <v>5</v>
      </c>
      <c r="AI62" s="5">
        <v>259</v>
      </c>
      <c r="AJ62" s="5">
        <v>26.72</v>
      </c>
      <c r="AK62" s="5">
        <v>26.21</v>
      </c>
      <c r="AL62" s="5" t="s">
        <v>12</v>
      </c>
      <c r="AM62" s="5" t="s">
        <v>12</v>
      </c>
      <c r="AN62" s="5" t="s">
        <v>12</v>
      </c>
      <c r="AO62" s="5" t="s">
        <v>11</v>
      </c>
      <c r="AP62" s="5" t="s">
        <v>11</v>
      </c>
      <c r="AQ62" s="5" t="s">
        <v>18</v>
      </c>
      <c r="AR62" s="5" t="s">
        <v>74</v>
      </c>
    </row>
    <row r="63" spans="1:44" ht="15.75" x14ac:dyDescent="0.25">
      <c r="A63" s="10">
        <v>46096</v>
      </c>
      <c r="B63" s="5" t="s">
        <v>73</v>
      </c>
      <c r="C63" s="5" t="s">
        <v>2043</v>
      </c>
      <c r="D63" s="5" t="s">
        <v>11</v>
      </c>
      <c r="E63" s="5" t="s">
        <v>5</v>
      </c>
      <c r="F63" s="5" t="s">
        <v>5</v>
      </c>
      <c r="G63" s="5" t="s">
        <v>11</v>
      </c>
      <c r="H63" s="5" t="s">
        <v>11</v>
      </c>
      <c r="I63" s="6" t="str">
        <f>HYPERLINK("http://maps.yandex.ru/?ll=,&amp;spn=0.011598,0.004531&amp;z=17&amp;l=map&amp;pt=,", "")</f>
        <v/>
      </c>
      <c r="J63" s="5" t="s">
        <v>84</v>
      </c>
      <c r="K63" s="6" t="str">
        <f>HYPERLINK("http://maps.yandex.ru/?ll=,&amp;spn=0.011598,0.004531&amp;z=17&amp;l=map&amp;pt=,", "")</f>
        <v/>
      </c>
      <c r="L63" s="5" t="s">
        <v>84</v>
      </c>
      <c r="M63" s="5" t="s">
        <v>13</v>
      </c>
      <c r="N63" s="5" t="s">
        <v>58</v>
      </c>
      <c r="O63" s="5" t="s">
        <v>13</v>
      </c>
      <c r="P63" s="5">
        <v>0</v>
      </c>
      <c r="Q63" s="5">
        <v>100</v>
      </c>
      <c r="R63" s="5">
        <v>0</v>
      </c>
      <c r="S63" s="5">
        <v>0</v>
      </c>
      <c r="T63" s="5" t="s">
        <v>1673</v>
      </c>
      <c r="U63" s="5" t="s">
        <v>3320</v>
      </c>
      <c r="V63" s="5" t="s">
        <v>2044</v>
      </c>
      <c r="W63" s="5">
        <v>0</v>
      </c>
      <c r="X63" s="5">
        <v>0</v>
      </c>
      <c r="Y63" s="5">
        <v>0</v>
      </c>
      <c r="Z63" s="5" t="s">
        <v>12</v>
      </c>
      <c r="AA63" s="5" t="s">
        <v>12</v>
      </c>
      <c r="AB63" s="5" t="s">
        <v>19</v>
      </c>
      <c r="AC63" s="5" t="s">
        <v>19</v>
      </c>
      <c r="AD63" s="5" t="s">
        <v>19</v>
      </c>
      <c r="AE63" s="5" t="s">
        <v>12</v>
      </c>
      <c r="AF63" s="5" t="s">
        <v>12</v>
      </c>
      <c r="AG63" s="5">
        <v>3</v>
      </c>
      <c r="AH63" s="5">
        <v>3</v>
      </c>
      <c r="AI63" s="5">
        <v>0</v>
      </c>
      <c r="AJ63" s="5">
        <v>300</v>
      </c>
      <c r="AK63" s="5">
        <v>0</v>
      </c>
      <c r="AL63" s="5" t="s">
        <v>12</v>
      </c>
      <c r="AM63" s="5" t="s">
        <v>12</v>
      </c>
      <c r="AN63" s="5" t="s">
        <v>12</v>
      </c>
      <c r="AO63" s="5" t="s">
        <v>11</v>
      </c>
      <c r="AP63" s="5" t="s">
        <v>11</v>
      </c>
      <c r="AQ63" s="5" t="s">
        <v>37</v>
      </c>
      <c r="AR63" s="5" t="s">
        <v>71</v>
      </c>
    </row>
    <row r="64" spans="1:44" ht="15.75" x14ac:dyDescent="0.25">
      <c r="A64" s="10">
        <v>46096</v>
      </c>
      <c r="B64" s="5" t="s">
        <v>70</v>
      </c>
      <c r="C64" s="5" t="s">
        <v>2045</v>
      </c>
      <c r="D64" s="5" t="s">
        <v>11</v>
      </c>
      <c r="E64" s="5" t="s">
        <v>5</v>
      </c>
      <c r="F64" s="5" t="s">
        <v>5</v>
      </c>
      <c r="G64" s="5" t="s">
        <v>11</v>
      </c>
      <c r="H64" s="5" t="s">
        <v>11</v>
      </c>
      <c r="I64" s="6" t="str">
        <f>HYPERLINK("http://maps.yandex.ru/?ll=,&amp;spn=0.011598,0.004531&amp;z=17&amp;l=map&amp;pt=,", "")</f>
        <v/>
      </c>
      <c r="J64" s="5" t="s">
        <v>84</v>
      </c>
      <c r="K64" s="6" t="str">
        <f>HYPERLINK("http://maps.yandex.ru/?ll=,&amp;spn=0.011598,0.004531&amp;z=17&amp;l=map&amp;pt=,", "")</f>
        <v/>
      </c>
      <c r="L64" s="5" t="s">
        <v>84</v>
      </c>
      <c r="M64" s="5" t="s">
        <v>13</v>
      </c>
      <c r="N64" s="5" t="s">
        <v>58</v>
      </c>
      <c r="O64" s="5" t="s">
        <v>13</v>
      </c>
      <c r="P64" s="5">
        <v>0</v>
      </c>
      <c r="Q64" s="5">
        <v>100</v>
      </c>
      <c r="R64" s="5">
        <v>0</v>
      </c>
      <c r="S64" s="5">
        <v>0</v>
      </c>
      <c r="T64" s="5" t="s">
        <v>12</v>
      </c>
      <c r="U64" s="5" t="s">
        <v>12</v>
      </c>
      <c r="V64" s="5" t="s">
        <v>12</v>
      </c>
      <c r="W64" s="5">
        <v>0</v>
      </c>
      <c r="X64" s="5">
        <v>0</v>
      </c>
      <c r="Y64" s="5">
        <v>0</v>
      </c>
      <c r="Z64" s="5" t="s">
        <v>1620</v>
      </c>
      <c r="AA64" s="5" t="s">
        <v>1620</v>
      </c>
      <c r="AB64" s="5" t="s">
        <v>19</v>
      </c>
      <c r="AC64" s="5" t="s">
        <v>19</v>
      </c>
      <c r="AD64" s="5" t="s">
        <v>19</v>
      </c>
      <c r="AE64" s="5" t="s">
        <v>19</v>
      </c>
      <c r="AF64" s="5" t="s">
        <v>12</v>
      </c>
      <c r="AG64" s="5"/>
      <c r="AH64" s="5"/>
      <c r="AI64" s="5"/>
      <c r="AJ64" s="5"/>
      <c r="AK64" s="5"/>
      <c r="AL64" s="5" t="s">
        <v>12</v>
      </c>
      <c r="AM64" s="5" t="s">
        <v>12</v>
      </c>
      <c r="AN64" s="5" t="s">
        <v>12</v>
      </c>
      <c r="AO64" s="5" t="s">
        <v>69</v>
      </c>
      <c r="AP64" s="5" t="s">
        <v>68</v>
      </c>
      <c r="AQ64" s="5" t="s">
        <v>67</v>
      </c>
      <c r="AR64" s="5" t="s">
        <v>66</v>
      </c>
    </row>
    <row r="65" spans="1:44" ht="31.5" x14ac:dyDescent="0.25">
      <c r="A65" s="10">
        <v>46096</v>
      </c>
      <c r="B65" s="5" t="s">
        <v>65</v>
      </c>
      <c r="C65" s="5" t="s">
        <v>2046</v>
      </c>
      <c r="D65" s="5" t="s">
        <v>11</v>
      </c>
      <c r="E65" s="5" t="s">
        <v>1</v>
      </c>
      <c r="F65" s="5" t="s">
        <v>1</v>
      </c>
      <c r="G65" s="5" t="s">
        <v>3321</v>
      </c>
      <c r="H65" s="5" t="s">
        <v>3322</v>
      </c>
      <c r="I65" s="6" t="str">
        <f>HYPERLINK("http://maps.yandex.ru/?ll=39.778416,47.11894&amp;spn=0.011598,0.004531&amp;z=17&amp;l=map&amp;pt=39.778416,47.11894", "47.118942//39.778416")</f>
        <v>47.118942//39.778416</v>
      </c>
      <c r="J65" s="5" t="s">
        <v>64</v>
      </c>
      <c r="K65" s="6" t="str">
        <f>HYPERLINK("http://maps.yandex.ru/?ll=41.594296,44.67080&amp;spn=0.011598,0.004531&amp;z=17&amp;l=map&amp;pt=41.594296,44.67080", "44.670807//41.594296")</f>
        <v>44.670807//41.594296</v>
      </c>
      <c r="L65" s="5" t="s">
        <v>208</v>
      </c>
      <c r="M65" s="5" t="s">
        <v>54</v>
      </c>
      <c r="N65" s="5" t="s">
        <v>182</v>
      </c>
      <c r="O65" s="5" t="s">
        <v>171</v>
      </c>
      <c r="P65" s="5">
        <v>26</v>
      </c>
      <c r="Q65" s="5">
        <v>10</v>
      </c>
      <c r="R65" s="5">
        <v>64</v>
      </c>
      <c r="S65" s="5">
        <v>408.053</v>
      </c>
      <c r="T65" s="5" t="s">
        <v>3323</v>
      </c>
      <c r="U65" s="5" t="s">
        <v>2047</v>
      </c>
      <c r="V65" s="5" t="s">
        <v>3324</v>
      </c>
      <c r="W65" s="5">
        <v>17</v>
      </c>
      <c r="X65" s="5">
        <v>64.25</v>
      </c>
      <c r="Y65" s="5">
        <v>162</v>
      </c>
      <c r="Z65" s="5" t="s">
        <v>1448</v>
      </c>
      <c r="AA65" s="5" t="s">
        <v>1791</v>
      </c>
      <c r="AB65" s="5" t="s">
        <v>3325</v>
      </c>
      <c r="AC65" s="5" t="s">
        <v>1671</v>
      </c>
      <c r="AD65" s="5" t="s">
        <v>19</v>
      </c>
      <c r="AE65" s="5" t="s">
        <v>1670</v>
      </c>
      <c r="AF65" s="5" t="s">
        <v>3326</v>
      </c>
      <c r="AG65" s="5">
        <v>140</v>
      </c>
      <c r="AH65" s="5">
        <v>0</v>
      </c>
      <c r="AI65" s="5">
        <v>140</v>
      </c>
      <c r="AJ65" s="5">
        <v>29.23</v>
      </c>
      <c r="AK65" s="5">
        <v>29.23</v>
      </c>
      <c r="AL65" s="5" t="s">
        <v>12</v>
      </c>
      <c r="AM65" s="5" t="s">
        <v>12</v>
      </c>
      <c r="AN65" s="5" t="s">
        <v>12</v>
      </c>
      <c r="AO65" s="5" t="s">
        <v>11</v>
      </c>
      <c r="AP65" s="5" t="s">
        <v>11</v>
      </c>
      <c r="AQ65" s="5" t="s">
        <v>18</v>
      </c>
      <c r="AR65" s="5" t="s">
        <v>17</v>
      </c>
    </row>
    <row r="66" spans="1:44" ht="31.5" x14ac:dyDescent="0.25">
      <c r="A66" s="10">
        <v>46096</v>
      </c>
      <c r="B66" s="5" t="s">
        <v>62</v>
      </c>
      <c r="C66" s="5" t="s">
        <v>2050</v>
      </c>
      <c r="D66" s="5" t="s">
        <v>11</v>
      </c>
      <c r="E66" s="5" t="s">
        <v>5</v>
      </c>
      <c r="F66" s="5" t="s">
        <v>5</v>
      </c>
      <c r="G66" s="5" t="s">
        <v>3327</v>
      </c>
      <c r="H66" s="5" t="s">
        <v>3328</v>
      </c>
      <c r="I66" s="6" t="str">
        <f>HYPERLINK("http://maps.yandex.ru/?ll=50.40953,53.52572&amp;spn=0.011598,0.004531&amp;z=17&amp;l=map&amp;pt=50.40953,53.52572", "53.525726//50.40953")</f>
        <v>53.525726//50.40953</v>
      </c>
      <c r="J66" s="5" t="s">
        <v>76</v>
      </c>
      <c r="K66" s="6" t="str">
        <f>HYPERLINK("http://maps.yandex.ru/?ll=50.266563,53.53642&amp;spn=0.011598,0.004531&amp;z=17&amp;l=map&amp;pt=50.266563,53.53642", "53.536423//50.266563")</f>
        <v>53.536423//50.266563</v>
      </c>
      <c r="L66" s="5" t="s">
        <v>76</v>
      </c>
      <c r="M66" s="5" t="s">
        <v>1000</v>
      </c>
      <c r="N66" s="5" t="s">
        <v>3329</v>
      </c>
      <c r="O66" s="5" t="s">
        <v>721</v>
      </c>
      <c r="P66" s="5">
        <v>3</v>
      </c>
      <c r="Q66" s="5">
        <v>74</v>
      </c>
      <c r="R66" s="5">
        <v>23</v>
      </c>
      <c r="S66" s="5">
        <v>26.404</v>
      </c>
      <c r="T66" s="5" t="s">
        <v>12</v>
      </c>
      <c r="U66" s="5" t="s">
        <v>12</v>
      </c>
      <c r="V66" s="5" t="s">
        <v>12</v>
      </c>
      <c r="W66" s="5">
        <v>1.1000000000000001</v>
      </c>
      <c r="X66" s="5">
        <v>31.45</v>
      </c>
      <c r="Y66" s="5">
        <v>108</v>
      </c>
      <c r="Z66" s="5" t="s">
        <v>2052</v>
      </c>
      <c r="AA66" s="5" t="s">
        <v>1984</v>
      </c>
      <c r="AB66" s="5" t="s">
        <v>19</v>
      </c>
      <c r="AC66" s="5" t="s">
        <v>19</v>
      </c>
      <c r="AD66" s="5" t="s">
        <v>19</v>
      </c>
      <c r="AE66" s="5" t="s">
        <v>1689</v>
      </c>
      <c r="AF66" s="5" t="s">
        <v>3330</v>
      </c>
      <c r="AG66" s="5"/>
      <c r="AH66" s="5">
        <v>0</v>
      </c>
      <c r="AI66" s="5"/>
      <c r="AJ66" s="5"/>
      <c r="AK66" s="5"/>
      <c r="AL66" s="5" t="s">
        <v>12</v>
      </c>
      <c r="AM66" s="5" t="s">
        <v>12</v>
      </c>
      <c r="AN66" s="5" t="s">
        <v>12</v>
      </c>
      <c r="AO66" s="5" t="s">
        <v>11</v>
      </c>
      <c r="AP66" s="5" t="s">
        <v>11</v>
      </c>
      <c r="AQ66" s="5" t="s">
        <v>31</v>
      </c>
      <c r="AR66" s="5" t="s">
        <v>30</v>
      </c>
    </row>
    <row r="67" spans="1:44" ht="15.75" x14ac:dyDescent="0.25">
      <c r="A67" s="10">
        <v>46096</v>
      </c>
      <c r="B67" s="5" t="s">
        <v>59</v>
      </c>
      <c r="C67" s="5" t="s">
        <v>2053</v>
      </c>
      <c r="D67" s="5" t="s">
        <v>11</v>
      </c>
      <c r="E67" s="5" t="s">
        <v>1</v>
      </c>
      <c r="F67" s="5" t="s">
        <v>1</v>
      </c>
      <c r="G67" s="5" t="s">
        <v>11</v>
      </c>
      <c r="H67" s="5" t="s">
        <v>11</v>
      </c>
      <c r="I67" s="6" t="str">
        <f>HYPERLINK("http://maps.yandex.ru/?ll=,&amp;spn=0.011598,0.004531&amp;z=17&amp;l=map&amp;pt=,", "")</f>
        <v/>
      </c>
      <c r="J67" s="5" t="s">
        <v>84</v>
      </c>
      <c r="K67" s="6" t="str">
        <f>HYPERLINK("http://maps.yandex.ru/?ll=,&amp;spn=0.011598,0.004531&amp;z=17&amp;l=map&amp;pt=,", "")</f>
        <v/>
      </c>
      <c r="L67" s="5" t="s">
        <v>84</v>
      </c>
      <c r="M67" s="5" t="s">
        <v>13</v>
      </c>
      <c r="N67" s="5" t="s">
        <v>58</v>
      </c>
      <c r="O67" s="5" t="s">
        <v>13</v>
      </c>
      <c r="P67" s="5">
        <v>0</v>
      </c>
      <c r="Q67" s="5">
        <v>100</v>
      </c>
      <c r="R67" s="5">
        <v>0</v>
      </c>
      <c r="S67" s="5">
        <v>0</v>
      </c>
      <c r="T67" s="5" t="s">
        <v>1673</v>
      </c>
      <c r="U67" s="5" t="s">
        <v>3331</v>
      </c>
      <c r="V67" s="5" t="s">
        <v>2055</v>
      </c>
      <c r="W67" s="5">
        <v>0</v>
      </c>
      <c r="X67" s="5">
        <v>0</v>
      </c>
      <c r="Y67" s="5">
        <v>0</v>
      </c>
      <c r="Z67" s="5" t="s">
        <v>2056</v>
      </c>
      <c r="AA67" s="5" t="s">
        <v>2633</v>
      </c>
      <c r="AB67" s="5" t="s">
        <v>19</v>
      </c>
      <c r="AC67" s="5" t="s">
        <v>19</v>
      </c>
      <c r="AD67" s="5" t="s">
        <v>19</v>
      </c>
      <c r="AE67" s="5" t="s">
        <v>1720</v>
      </c>
      <c r="AF67" s="5" t="s">
        <v>12</v>
      </c>
      <c r="AG67" s="5">
        <v>4</v>
      </c>
      <c r="AH67" s="5">
        <v>4</v>
      </c>
      <c r="AI67" s="5">
        <v>0</v>
      </c>
      <c r="AJ67" s="5">
        <v>400</v>
      </c>
      <c r="AK67" s="5">
        <v>0</v>
      </c>
      <c r="AL67" s="5" t="s">
        <v>12</v>
      </c>
      <c r="AM67" s="5" t="s">
        <v>12</v>
      </c>
      <c r="AN67" s="5" t="s">
        <v>12</v>
      </c>
      <c r="AO67" s="5" t="s">
        <v>11</v>
      </c>
      <c r="AP67" s="5" t="s">
        <v>11</v>
      </c>
      <c r="AQ67" s="5" t="s">
        <v>53</v>
      </c>
      <c r="AR67" s="5" t="s">
        <v>52</v>
      </c>
    </row>
    <row r="68" spans="1:44" ht="31.5" x14ac:dyDescent="0.25">
      <c r="A68" s="10">
        <v>46096</v>
      </c>
      <c r="B68" s="5" t="s">
        <v>57</v>
      </c>
      <c r="C68" s="5" t="s">
        <v>2057</v>
      </c>
      <c r="D68" s="5" t="s">
        <v>11</v>
      </c>
      <c r="E68" s="5" t="s">
        <v>5</v>
      </c>
      <c r="F68" s="5" t="s">
        <v>5</v>
      </c>
      <c r="G68" s="5" t="s">
        <v>3332</v>
      </c>
      <c r="H68" s="5" t="s">
        <v>3333</v>
      </c>
      <c r="I68" s="6" t="str">
        <f>HYPERLINK("http://maps.yandex.ru/?ll=37.55586,55.31682&amp;spn=0.011598,0.004531&amp;z=17&amp;l=map&amp;pt=37.55586,55.31682", "55.316826//37.55586")</f>
        <v>55.316826//37.55586</v>
      </c>
      <c r="J68" s="5" t="s">
        <v>56</v>
      </c>
      <c r="K68" s="6" t="str">
        <f>HYPERLINK("http://maps.yandex.ru/?ll=37.49868,55.25095&amp;spn=0.011598,0.004531&amp;z=17&amp;l=map&amp;pt=37.49868,55.25095", "55.250957//37.49868")</f>
        <v>55.250957//37.49868</v>
      </c>
      <c r="L68" s="5" t="s">
        <v>56</v>
      </c>
      <c r="M68" s="5" t="s">
        <v>216</v>
      </c>
      <c r="N68" s="5" t="s">
        <v>3334</v>
      </c>
      <c r="O68" s="5" t="s">
        <v>3335</v>
      </c>
      <c r="P68" s="5">
        <v>0</v>
      </c>
      <c r="Q68" s="5">
        <v>75</v>
      </c>
      <c r="R68" s="5">
        <v>24</v>
      </c>
      <c r="S68" s="5">
        <v>5.0970000000000004</v>
      </c>
      <c r="T68" s="5" t="s">
        <v>1615</v>
      </c>
      <c r="U68" s="5" t="s">
        <v>3336</v>
      </c>
      <c r="V68" s="5" t="s">
        <v>3337</v>
      </c>
      <c r="W68" s="5">
        <v>0.21</v>
      </c>
      <c r="X68" s="5">
        <v>55.44</v>
      </c>
      <c r="Y68" s="5">
        <v>96</v>
      </c>
      <c r="Z68" s="5" t="s">
        <v>1995</v>
      </c>
      <c r="AA68" s="5" t="s">
        <v>1782</v>
      </c>
      <c r="AB68" s="5" t="s">
        <v>19</v>
      </c>
      <c r="AC68" s="5" t="s">
        <v>19</v>
      </c>
      <c r="AD68" s="5" t="s">
        <v>19</v>
      </c>
      <c r="AE68" s="5" t="s">
        <v>1746</v>
      </c>
      <c r="AF68" s="5" t="s">
        <v>3338</v>
      </c>
      <c r="AG68" s="5">
        <v>5</v>
      </c>
      <c r="AH68" s="5">
        <v>4</v>
      </c>
      <c r="AI68" s="5">
        <v>1</v>
      </c>
      <c r="AJ68" s="5">
        <v>100</v>
      </c>
      <c r="AK68" s="5">
        <v>20</v>
      </c>
      <c r="AL68" s="5" t="s">
        <v>12</v>
      </c>
      <c r="AM68" s="5" t="s">
        <v>12</v>
      </c>
      <c r="AN68" s="5" t="s">
        <v>12</v>
      </c>
      <c r="AO68" s="5" t="s">
        <v>11</v>
      </c>
      <c r="AP68" s="5" t="s">
        <v>11</v>
      </c>
      <c r="AQ68" s="5" t="s">
        <v>53</v>
      </c>
      <c r="AR68" s="5" t="s">
        <v>52</v>
      </c>
    </row>
    <row r="69" spans="1:44" ht="31.5" x14ac:dyDescent="0.25">
      <c r="A69" s="10">
        <v>46096</v>
      </c>
      <c r="B69" s="5" t="s">
        <v>972</v>
      </c>
      <c r="C69" s="5" t="s">
        <v>2663</v>
      </c>
      <c r="D69" s="5" t="s">
        <v>11</v>
      </c>
      <c r="E69" s="5" t="s">
        <v>8</v>
      </c>
      <c r="F69" s="5" t="s">
        <v>8</v>
      </c>
      <c r="G69" s="5" t="s">
        <v>3339</v>
      </c>
      <c r="H69" s="5" t="s">
        <v>3340</v>
      </c>
      <c r="I69" s="6" t="str">
        <f>HYPERLINK("http://maps.yandex.ru/?ll=37.552666,55.12732&amp;spn=0.011598,0.004531&amp;z=17&amp;l=map&amp;pt=37.552666,55.12732", "55.127323//37.552666")</f>
        <v>55.127323//37.552666</v>
      </c>
      <c r="J69" s="5" t="s">
        <v>56</v>
      </c>
      <c r="K69" s="6" t="str">
        <f>HYPERLINK("http://maps.yandex.ru/?ll=39.865856,51.03056&amp;spn=0.011598,0.004531&amp;z=17&amp;l=map&amp;pt=39.865856,51.03056", "51.030563//39.865856")</f>
        <v>51.030563//39.865856</v>
      </c>
      <c r="L69" s="5" t="s">
        <v>101</v>
      </c>
      <c r="M69" s="5" t="s">
        <v>635</v>
      </c>
      <c r="N69" s="5" t="s">
        <v>257</v>
      </c>
      <c r="O69" s="5" t="s">
        <v>181</v>
      </c>
      <c r="P69" s="5">
        <v>32</v>
      </c>
      <c r="Q69" s="5">
        <v>66</v>
      </c>
      <c r="R69" s="5">
        <v>2</v>
      </c>
      <c r="S69" s="5">
        <v>528.60900000000004</v>
      </c>
      <c r="T69" s="5" t="s">
        <v>2215</v>
      </c>
      <c r="U69" s="5" t="s">
        <v>3341</v>
      </c>
      <c r="V69" s="5" t="s">
        <v>3342</v>
      </c>
      <c r="W69" s="5">
        <v>22.03</v>
      </c>
      <c r="X69" s="5">
        <v>69.81</v>
      </c>
      <c r="Y69" s="5">
        <v>164</v>
      </c>
      <c r="Z69" s="5" t="s">
        <v>1760</v>
      </c>
      <c r="AA69" s="5" t="s">
        <v>1594</v>
      </c>
      <c r="AB69" s="5" t="s">
        <v>19</v>
      </c>
      <c r="AC69" s="5" t="s">
        <v>19</v>
      </c>
      <c r="AD69" s="5" t="s">
        <v>19</v>
      </c>
      <c r="AE69" s="5" t="s">
        <v>1877</v>
      </c>
      <c r="AF69" s="5" t="s">
        <v>3343</v>
      </c>
      <c r="AG69" s="5">
        <v>176</v>
      </c>
      <c r="AH69" s="5">
        <v>1</v>
      </c>
      <c r="AI69" s="5">
        <v>175</v>
      </c>
      <c r="AJ69" s="5">
        <v>31.21</v>
      </c>
      <c r="AK69" s="5">
        <v>31.03</v>
      </c>
      <c r="AL69" s="5" t="s">
        <v>12</v>
      </c>
      <c r="AM69" s="5" t="s">
        <v>12</v>
      </c>
      <c r="AN69" s="5" t="s">
        <v>12</v>
      </c>
      <c r="AO69" s="5" t="s">
        <v>11</v>
      </c>
      <c r="AP69" s="5" t="s">
        <v>11</v>
      </c>
      <c r="AQ69" s="5" t="s">
        <v>53</v>
      </c>
      <c r="AR69" s="5" t="s">
        <v>52</v>
      </c>
    </row>
    <row r="70" spans="1:44" ht="31.5" x14ac:dyDescent="0.25">
      <c r="A70" s="10">
        <v>46096</v>
      </c>
      <c r="B70" s="5" t="s">
        <v>970</v>
      </c>
      <c r="C70" s="5" t="s">
        <v>2666</v>
      </c>
      <c r="D70" s="5" t="s">
        <v>11</v>
      </c>
      <c r="E70" s="5" t="s">
        <v>1</v>
      </c>
      <c r="F70" s="5" t="s">
        <v>1</v>
      </c>
      <c r="G70" s="5" t="s">
        <v>3344</v>
      </c>
      <c r="H70" s="5" t="s">
        <v>3121</v>
      </c>
      <c r="I70" s="6" t="str">
        <f>HYPERLINK("http://maps.yandex.ru/?ll=43.839695,56.3120&amp;spn=0.011598,0.004531&amp;z=17&amp;l=map&amp;pt=43.839695,56.3120", "56.31208//43.839695")</f>
        <v>56.31208//43.839695</v>
      </c>
      <c r="J70" s="5" t="s">
        <v>15</v>
      </c>
      <c r="K70" s="6" t="str">
        <f>HYPERLINK("http://maps.yandex.ru/?ll=37.06893,56.15003&amp;spn=0.011598,0.004531&amp;z=17&amp;l=map&amp;pt=37.06893,56.15003", "56.150036//37.06893")</f>
        <v>56.150036//37.06893</v>
      </c>
      <c r="L70" s="5" t="s">
        <v>56</v>
      </c>
      <c r="M70" s="5" t="s">
        <v>1455</v>
      </c>
      <c r="N70" s="5" t="s">
        <v>1398</v>
      </c>
      <c r="O70" s="5" t="s">
        <v>182</v>
      </c>
      <c r="P70" s="5">
        <v>40</v>
      </c>
      <c r="Q70" s="5">
        <v>51</v>
      </c>
      <c r="R70" s="5">
        <v>10</v>
      </c>
      <c r="S70" s="5">
        <v>518.40099999999995</v>
      </c>
      <c r="T70" s="5" t="s">
        <v>3176</v>
      </c>
      <c r="U70" s="5" t="s">
        <v>3345</v>
      </c>
      <c r="V70" s="5" t="s">
        <v>3346</v>
      </c>
      <c r="W70" s="5">
        <v>21.6</v>
      </c>
      <c r="X70" s="5">
        <v>54.52</v>
      </c>
      <c r="Y70" s="5">
        <v>108</v>
      </c>
      <c r="Z70" s="5" t="s">
        <v>2667</v>
      </c>
      <c r="AA70" s="5" t="s">
        <v>3347</v>
      </c>
      <c r="AB70" s="5" t="s">
        <v>19</v>
      </c>
      <c r="AC70" s="5" t="s">
        <v>19</v>
      </c>
      <c r="AD70" s="5" t="s">
        <v>19</v>
      </c>
      <c r="AE70" s="5" t="s">
        <v>1910</v>
      </c>
      <c r="AF70" s="5" t="s">
        <v>3348</v>
      </c>
      <c r="AG70" s="5">
        <v>140</v>
      </c>
      <c r="AH70" s="5">
        <v>1</v>
      </c>
      <c r="AI70" s="5">
        <v>139</v>
      </c>
      <c r="AJ70" s="5">
        <v>30.43</v>
      </c>
      <c r="AK70" s="5">
        <v>30.22</v>
      </c>
      <c r="AL70" s="5" t="s">
        <v>12</v>
      </c>
      <c r="AM70" s="5" t="s">
        <v>12</v>
      </c>
      <c r="AN70" s="5" t="s">
        <v>12</v>
      </c>
      <c r="AO70" s="5" t="s">
        <v>11</v>
      </c>
      <c r="AP70" s="5" t="s">
        <v>11</v>
      </c>
      <c r="AQ70" s="5" t="s">
        <v>123</v>
      </c>
      <c r="AR70" s="5" t="s">
        <v>122</v>
      </c>
    </row>
    <row r="71" spans="1:44" ht="31.5" x14ac:dyDescent="0.25">
      <c r="A71" s="10">
        <v>46096</v>
      </c>
      <c r="B71" s="5" t="s">
        <v>969</v>
      </c>
      <c r="C71" s="5" t="s">
        <v>2668</v>
      </c>
      <c r="D71" s="5" t="s">
        <v>11</v>
      </c>
      <c r="E71" s="5" t="s">
        <v>6</v>
      </c>
      <c r="F71" s="5" t="s">
        <v>6</v>
      </c>
      <c r="G71" s="5" t="s">
        <v>3349</v>
      </c>
      <c r="H71" s="5" t="s">
        <v>3350</v>
      </c>
      <c r="I71" s="6" t="str">
        <f>HYPERLINK("http://maps.yandex.ru/?ll=36.82272,55.40786&amp;spn=0.011598,0.004531&amp;z=17&amp;l=map&amp;pt=36.82272,55.40786", "55.407867//36.82272")</f>
        <v>55.407867//36.82272</v>
      </c>
      <c r="J71" s="5" t="s">
        <v>56</v>
      </c>
      <c r="K71" s="6" t="str">
        <f>HYPERLINK("http://maps.yandex.ru/?ll=32.527767,57.6703&amp;spn=0.011598,0.004531&amp;z=17&amp;l=map&amp;pt=32.527767,57.6703", "57.67038//32.527767")</f>
        <v>57.67038//32.527767</v>
      </c>
      <c r="L71" s="5" t="s">
        <v>148</v>
      </c>
      <c r="M71" s="5" t="s">
        <v>392</v>
      </c>
      <c r="N71" s="5" t="s">
        <v>484</v>
      </c>
      <c r="O71" s="5" t="s">
        <v>712</v>
      </c>
      <c r="P71" s="5">
        <v>14</v>
      </c>
      <c r="Q71" s="5">
        <v>43</v>
      </c>
      <c r="R71" s="5">
        <v>43</v>
      </c>
      <c r="S71" s="5">
        <v>234.93299999999999</v>
      </c>
      <c r="T71" s="5" t="s">
        <v>1005</v>
      </c>
      <c r="U71" s="5" t="s">
        <v>3351</v>
      </c>
      <c r="V71" s="5" t="s">
        <v>3352</v>
      </c>
      <c r="W71" s="5">
        <v>9.7899999999999991</v>
      </c>
      <c r="X71" s="5">
        <v>68.069999999999993</v>
      </c>
      <c r="Y71" s="5">
        <v>123</v>
      </c>
      <c r="Z71" s="5" t="s">
        <v>1551</v>
      </c>
      <c r="AA71" s="5" t="s">
        <v>2732</v>
      </c>
      <c r="AB71" s="5" t="s">
        <v>19</v>
      </c>
      <c r="AC71" s="5" t="s">
        <v>19</v>
      </c>
      <c r="AD71" s="5" t="s">
        <v>19</v>
      </c>
      <c r="AE71" s="5" t="s">
        <v>2436</v>
      </c>
      <c r="AF71" s="5" t="s">
        <v>3353</v>
      </c>
      <c r="AG71" s="5">
        <v>94</v>
      </c>
      <c r="AH71" s="5">
        <v>3</v>
      </c>
      <c r="AI71" s="5">
        <v>91</v>
      </c>
      <c r="AJ71" s="5">
        <v>28.48</v>
      </c>
      <c r="AK71" s="5">
        <v>27.58</v>
      </c>
      <c r="AL71" s="5" t="s">
        <v>12</v>
      </c>
      <c r="AM71" s="5" t="s">
        <v>12</v>
      </c>
      <c r="AN71" s="5" t="s">
        <v>12</v>
      </c>
      <c r="AO71" s="5" t="s">
        <v>11</v>
      </c>
      <c r="AP71" s="5" t="s">
        <v>11</v>
      </c>
      <c r="AQ71" s="5" t="s">
        <v>123</v>
      </c>
      <c r="AR71" s="5" t="s">
        <v>122</v>
      </c>
    </row>
    <row r="72" spans="1:44" ht="31.5" x14ac:dyDescent="0.25">
      <c r="A72" s="10">
        <v>46096</v>
      </c>
      <c r="B72" s="5" t="s">
        <v>1020</v>
      </c>
      <c r="C72" s="5" t="s">
        <v>2669</v>
      </c>
      <c r="D72" s="5" t="s">
        <v>11</v>
      </c>
      <c r="E72" s="5" t="s">
        <v>8</v>
      </c>
      <c r="F72" s="5" t="s">
        <v>8</v>
      </c>
      <c r="G72" s="5" t="s">
        <v>3354</v>
      </c>
      <c r="H72" s="5" t="s">
        <v>3121</v>
      </c>
      <c r="I72" s="6" t="str">
        <f>HYPERLINK("http://maps.yandex.ru/?ll=30.245424,60.10040&amp;spn=0.011598,0.004531&amp;z=17&amp;l=map&amp;pt=30.245424,60.10040", "60.100407//30.245424")</f>
        <v>60.100407//30.245424</v>
      </c>
      <c r="J72" s="5" t="s">
        <v>23</v>
      </c>
      <c r="K72" s="6" t="str">
        <f>HYPERLINK("http://maps.yandex.ru/?ll=30.221466,59.8697&amp;spn=0.011598,0.004531&amp;z=17&amp;l=map&amp;pt=30.221466,59.8697", "59.86971//30.221466")</f>
        <v>59.86971//30.221466</v>
      </c>
      <c r="L72" s="5" t="s">
        <v>23</v>
      </c>
      <c r="M72" s="5" t="s">
        <v>534</v>
      </c>
      <c r="N72" s="5" t="s">
        <v>3355</v>
      </c>
      <c r="O72" s="5" t="s">
        <v>13</v>
      </c>
      <c r="P72" s="5">
        <v>12</v>
      </c>
      <c r="Q72" s="5">
        <v>88</v>
      </c>
      <c r="R72" s="5">
        <v>0</v>
      </c>
      <c r="S72" s="5">
        <v>102.878</v>
      </c>
      <c r="T72" s="5" t="s">
        <v>1776</v>
      </c>
      <c r="U72" s="5" t="s">
        <v>3356</v>
      </c>
      <c r="V72" s="5" t="s">
        <v>3357</v>
      </c>
      <c r="W72" s="5">
        <v>4.29</v>
      </c>
      <c r="X72" s="5">
        <v>34.630000000000003</v>
      </c>
      <c r="Y72" s="5">
        <v>81</v>
      </c>
      <c r="Z72" s="5" t="s">
        <v>2671</v>
      </c>
      <c r="AA72" s="5" t="s">
        <v>1834</v>
      </c>
      <c r="AB72" s="5" t="s">
        <v>19</v>
      </c>
      <c r="AC72" s="5" t="s">
        <v>19</v>
      </c>
      <c r="AD72" s="5" t="s">
        <v>19</v>
      </c>
      <c r="AE72" s="5" t="s">
        <v>2203</v>
      </c>
      <c r="AF72" s="5" t="s">
        <v>3358</v>
      </c>
      <c r="AG72" s="5">
        <v>29</v>
      </c>
      <c r="AH72" s="5">
        <v>2</v>
      </c>
      <c r="AI72" s="5">
        <v>27</v>
      </c>
      <c r="AJ72" s="5">
        <v>27.36</v>
      </c>
      <c r="AK72" s="5">
        <v>25.47</v>
      </c>
      <c r="AL72" s="5" t="s">
        <v>12</v>
      </c>
      <c r="AM72" s="5" t="s">
        <v>12</v>
      </c>
      <c r="AN72" s="5" t="s">
        <v>12</v>
      </c>
      <c r="AO72" s="5" t="s">
        <v>11</v>
      </c>
      <c r="AP72" s="5" t="s">
        <v>11</v>
      </c>
      <c r="AQ72" s="5" t="s">
        <v>123</v>
      </c>
      <c r="AR72" s="5" t="s">
        <v>122</v>
      </c>
    </row>
    <row r="73" spans="1:44" ht="31.5" x14ac:dyDescent="0.25">
      <c r="A73" s="10">
        <v>46096</v>
      </c>
      <c r="B73" s="5" t="s">
        <v>913</v>
      </c>
      <c r="C73" s="5" t="s">
        <v>2672</v>
      </c>
      <c r="D73" s="5" t="s">
        <v>11</v>
      </c>
      <c r="E73" s="5" t="s">
        <v>3</v>
      </c>
      <c r="F73" s="5" t="s">
        <v>3</v>
      </c>
      <c r="G73" s="5" t="s">
        <v>3103</v>
      </c>
      <c r="H73" s="5" t="s">
        <v>3359</v>
      </c>
      <c r="I73" s="6" t="str">
        <f>HYPERLINK("http://maps.yandex.ru/?ll=41.763718,44.72312&amp;spn=0.011598,0.004531&amp;z=17&amp;l=map&amp;pt=41.763718,44.72312", "44.723125//41.763718")</f>
        <v>44.723125//41.763718</v>
      </c>
      <c r="J73" s="5" t="s">
        <v>208</v>
      </c>
      <c r="K73" s="6" t="str">
        <f>HYPERLINK("http://maps.yandex.ru/?ll=39.986717,50.8542&amp;spn=0.011598,0.004531&amp;z=17&amp;l=map&amp;pt=39.986717,50.8542", "50.85426//39.986717")</f>
        <v>50.85426//39.986717</v>
      </c>
      <c r="L73" s="5" t="s">
        <v>101</v>
      </c>
      <c r="M73" s="5" t="s">
        <v>3360</v>
      </c>
      <c r="N73" s="5" t="s">
        <v>1428</v>
      </c>
      <c r="O73" s="5" t="s">
        <v>3361</v>
      </c>
      <c r="P73" s="5">
        <v>41</v>
      </c>
      <c r="Q73" s="5">
        <v>21</v>
      </c>
      <c r="R73" s="5">
        <v>38</v>
      </c>
      <c r="S73" s="5">
        <v>743.65700000000004</v>
      </c>
      <c r="T73" s="5" t="s">
        <v>12</v>
      </c>
      <c r="U73" s="5" t="s">
        <v>12</v>
      </c>
      <c r="V73" s="5" t="s">
        <v>12</v>
      </c>
      <c r="W73" s="5">
        <v>30.99</v>
      </c>
      <c r="X73" s="5">
        <v>75.930000000000007</v>
      </c>
      <c r="Y73" s="5">
        <v>119</v>
      </c>
      <c r="Z73" s="5" t="s">
        <v>1516</v>
      </c>
      <c r="AA73" s="5" t="s">
        <v>1501</v>
      </c>
      <c r="AB73" s="5" t="s">
        <v>19</v>
      </c>
      <c r="AC73" s="5" t="s">
        <v>19</v>
      </c>
      <c r="AD73" s="5" t="s">
        <v>19</v>
      </c>
      <c r="AE73" s="5" t="s">
        <v>1889</v>
      </c>
      <c r="AF73" s="5" t="s">
        <v>12</v>
      </c>
      <c r="AG73" s="5"/>
      <c r="AH73" s="5"/>
      <c r="AI73" s="5"/>
      <c r="AJ73" s="5"/>
      <c r="AK73" s="5"/>
      <c r="AL73" s="5" t="s">
        <v>1564</v>
      </c>
      <c r="AM73" s="5" t="s">
        <v>3362</v>
      </c>
      <c r="AN73" s="5" t="s">
        <v>1807</v>
      </c>
      <c r="AO73" s="5" t="s">
        <v>115</v>
      </c>
      <c r="AP73" s="5" t="s">
        <v>114</v>
      </c>
      <c r="AQ73" s="5" t="s">
        <v>99</v>
      </c>
      <c r="AR73" s="5" t="s">
        <v>98</v>
      </c>
    </row>
    <row r="74" spans="1:44" ht="31.5" x14ac:dyDescent="0.25">
      <c r="A74" s="10">
        <v>46096</v>
      </c>
      <c r="B74" s="5" t="s">
        <v>968</v>
      </c>
      <c r="C74" s="5" t="s">
        <v>2736</v>
      </c>
      <c r="D74" s="5" t="s">
        <v>11</v>
      </c>
      <c r="E74" s="5" t="s">
        <v>8</v>
      </c>
      <c r="F74" s="5" t="s">
        <v>8</v>
      </c>
      <c r="G74" s="5" t="s">
        <v>3103</v>
      </c>
      <c r="H74" s="5" t="s">
        <v>3121</v>
      </c>
      <c r="I74" s="6" t="str">
        <f>HYPERLINK("http://maps.yandex.ru/?ll=37.682964,44.76871&amp;spn=0.011598,0.004531&amp;z=17&amp;l=map&amp;pt=37.682964,44.76871", "44.768715//37.682964")</f>
        <v>44.768715//37.682964</v>
      </c>
      <c r="J74" s="5" t="s">
        <v>88</v>
      </c>
      <c r="K74" s="6" t="str">
        <f>HYPERLINK("http://maps.yandex.ru/?ll=40.293015,47.4074&amp;spn=0.011598,0.004531&amp;z=17&amp;l=map&amp;pt=40.293015,47.4074", "47.40741//40.293015")</f>
        <v>47.40741//40.293015</v>
      </c>
      <c r="L74" s="5" t="s">
        <v>64</v>
      </c>
      <c r="M74" s="5" t="s">
        <v>44</v>
      </c>
      <c r="N74" s="5" t="s">
        <v>3363</v>
      </c>
      <c r="O74" s="5" t="s">
        <v>3364</v>
      </c>
      <c r="P74" s="5">
        <v>21</v>
      </c>
      <c r="Q74" s="5">
        <v>46</v>
      </c>
      <c r="R74" s="5">
        <v>33</v>
      </c>
      <c r="S74" s="5">
        <v>370.44200000000001</v>
      </c>
      <c r="T74" s="5" t="s">
        <v>12</v>
      </c>
      <c r="U74" s="5" t="s">
        <v>12</v>
      </c>
      <c r="V74" s="5" t="s">
        <v>12</v>
      </c>
      <c r="W74" s="5">
        <v>15.44</v>
      </c>
      <c r="X74" s="5">
        <v>73.11</v>
      </c>
      <c r="Y74" s="5">
        <v>166</v>
      </c>
      <c r="Z74" s="5" t="s">
        <v>2190</v>
      </c>
      <c r="AA74" s="5" t="s">
        <v>1974</v>
      </c>
      <c r="AB74" s="5" t="s">
        <v>2086</v>
      </c>
      <c r="AC74" s="5" t="s">
        <v>1673</v>
      </c>
      <c r="AD74" s="5" t="s">
        <v>19</v>
      </c>
      <c r="AE74" s="5" t="s">
        <v>2194</v>
      </c>
      <c r="AF74" s="5" t="s">
        <v>12</v>
      </c>
      <c r="AG74" s="5"/>
      <c r="AH74" s="5"/>
      <c r="AI74" s="5"/>
      <c r="AJ74" s="5"/>
      <c r="AK74" s="5"/>
      <c r="AL74" s="5" t="s">
        <v>1527</v>
      </c>
      <c r="AM74" s="5" t="s">
        <v>2058</v>
      </c>
      <c r="AN74" s="5" t="s">
        <v>1889</v>
      </c>
      <c r="AO74" s="5" t="s">
        <v>115</v>
      </c>
      <c r="AP74" s="5" t="s">
        <v>114</v>
      </c>
      <c r="AQ74" s="5" t="s">
        <v>99</v>
      </c>
      <c r="AR74" s="5" t="s">
        <v>98</v>
      </c>
    </row>
    <row r="75" spans="1:44" ht="15.75" x14ac:dyDescent="0.25">
      <c r="A75" s="10">
        <v>46096</v>
      </c>
      <c r="B75" s="5" t="s">
        <v>966</v>
      </c>
      <c r="C75" s="5" t="s">
        <v>2738</v>
      </c>
      <c r="D75" s="5" t="s">
        <v>11</v>
      </c>
      <c r="E75" s="5" t="s">
        <v>8</v>
      </c>
      <c r="F75" s="5" t="s">
        <v>8</v>
      </c>
      <c r="G75" s="5" t="s">
        <v>11</v>
      </c>
      <c r="H75" s="5" t="s">
        <v>11</v>
      </c>
      <c r="I75" s="6" t="str">
        <f>HYPERLINK("http://maps.yandex.ru/?ll=,&amp;spn=0.011598,0.004531&amp;z=17&amp;l=map&amp;pt=,", "")</f>
        <v/>
      </c>
      <c r="J75" s="5" t="s">
        <v>84</v>
      </c>
      <c r="K75" s="6" t="str">
        <f>HYPERLINK("http://maps.yandex.ru/?ll=,&amp;spn=0.011598,0.004531&amp;z=17&amp;l=map&amp;pt=,", "")</f>
        <v/>
      </c>
      <c r="L75" s="5" t="s">
        <v>84</v>
      </c>
      <c r="M75" s="5" t="s">
        <v>13</v>
      </c>
      <c r="N75" s="5" t="s">
        <v>13</v>
      </c>
      <c r="O75" s="5" t="s">
        <v>58</v>
      </c>
      <c r="P75" s="5">
        <v>0</v>
      </c>
      <c r="Q75" s="5">
        <v>0</v>
      </c>
      <c r="R75" s="5">
        <v>100</v>
      </c>
      <c r="S75" s="5">
        <v>0</v>
      </c>
      <c r="T75" s="5" t="s">
        <v>12</v>
      </c>
      <c r="U75" s="5" t="s">
        <v>12</v>
      </c>
      <c r="V75" s="5" t="s">
        <v>12</v>
      </c>
      <c r="W75" s="5">
        <v>0</v>
      </c>
      <c r="X75" s="5">
        <v>0</v>
      </c>
      <c r="Y75" s="5">
        <v>0</v>
      </c>
      <c r="Z75" s="5" t="s">
        <v>12</v>
      </c>
      <c r="AA75" s="5" t="s">
        <v>12</v>
      </c>
      <c r="AB75" s="5" t="s">
        <v>19</v>
      </c>
      <c r="AC75" s="5" t="s">
        <v>19</v>
      </c>
      <c r="AD75" s="5" t="s">
        <v>19</v>
      </c>
      <c r="AE75" s="5" t="s">
        <v>12</v>
      </c>
      <c r="AF75" s="5" t="s">
        <v>12</v>
      </c>
      <c r="AG75" s="5"/>
      <c r="AH75" s="5"/>
      <c r="AI75" s="5"/>
      <c r="AJ75" s="5"/>
      <c r="AK75" s="5"/>
      <c r="AL75" s="5" t="s">
        <v>12</v>
      </c>
      <c r="AM75" s="5" t="s">
        <v>12</v>
      </c>
      <c r="AN75" s="5" t="s">
        <v>12</v>
      </c>
      <c r="AO75" s="5" t="s">
        <v>115</v>
      </c>
      <c r="AP75" s="5" t="s">
        <v>114</v>
      </c>
      <c r="AQ75" s="5" t="s">
        <v>99</v>
      </c>
      <c r="AR75" s="5" t="s">
        <v>98</v>
      </c>
    </row>
    <row r="76" spans="1:44" ht="15.75" x14ac:dyDescent="0.25">
      <c r="A76" s="10">
        <v>46096</v>
      </c>
      <c r="B76" s="5" t="s">
        <v>965</v>
      </c>
      <c r="C76" s="5" t="s">
        <v>2739</v>
      </c>
      <c r="D76" s="5" t="s">
        <v>11</v>
      </c>
      <c r="E76" s="5" t="s">
        <v>5</v>
      </c>
      <c r="F76" s="5" t="s">
        <v>5</v>
      </c>
      <c r="G76" s="5" t="s">
        <v>11</v>
      </c>
      <c r="H76" s="5" t="s">
        <v>11</v>
      </c>
      <c r="I76" s="6" t="str">
        <f>HYPERLINK("http://maps.yandex.ru/?ll=,&amp;spn=0.011598,0.004531&amp;z=17&amp;l=map&amp;pt=,", "")</f>
        <v/>
      </c>
      <c r="J76" s="5" t="s">
        <v>84</v>
      </c>
      <c r="K76" s="6" t="str">
        <f>HYPERLINK("http://maps.yandex.ru/?ll=,&amp;spn=0.011598,0.004531&amp;z=17&amp;l=map&amp;pt=,", "")</f>
        <v/>
      </c>
      <c r="L76" s="5" t="s">
        <v>84</v>
      </c>
      <c r="M76" s="5" t="s">
        <v>13</v>
      </c>
      <c r="N76" s="5" t="s">
        <v>58</v>
      </c>
      <c r="O76" s="5" t="s">
        <v>13</v>
      </c>
      <c r="P76" s="5">
        <v>0</v>
      </c>
      <c r="Q76" s="5">
        <v>100</v>
      </c>
      <c r="R76" s="5">
        <v>0</v>
      </c>
      <c r="S76" s="5">
        <v>0</v>
      </c>
      <c r="T76" s="5" t="s">
        <v>12</v>
      </c>
      <c r="U76" s="5" t="s">
        <v>12</v>
      </c>
      <c r="V76" s="5" t="s">
        <v>12</v>
      </c>
      <c r="W76" s="5">
        <v>0</v>
      </c>
      <c r="X76" s="5">
        <v>0</v>
      </c>
      <c r="Y76" s="5">
        <v>0</v>
      </c>
      <c r="Z76" s="5" t="s">
        <v>1559</v>
      </c>
      <c r="AA76" s="5" t="s">
        <v>1559</v>
      </c>
      <c r="AB76" s="5" t="s">
        <v>19</v>
      </c>
      <c r="AC76" s="5" t="s">
        <v>19</v>
      </c>
      <c r="AD76" s="5" t="s">
        <v>19</v>
      </c>
      <c r="AE76" s="5" t="s">
        <v>19</v>
      </c>
      <c r="AF76" s="5" t="s">
        <v>12</v>
      </c>
      <c r="AG76" s="5"/>
      <c r="AH76" s="5"/>
      <c r="AI76" s="5"/>
      <c r="AJ76" s="5"/>
      <c r="AK76" s="5"/>
      <c r="AL76" s="5" t="s">
        <v>12</v>
      </c>
      <c r="AM76" s="5" t="s">
        <v>12</v>
      </c>
      <c r="AN76" s="5" t="s">
        <v>12</v>
      </c>
      <c r="AO76" s="5" t="s">
        <v>115</v>
      </c>
      <c r="AP76" s="5" t="s">
        <v>114</v>
      </c>
      <c r="AQ76" s="5" t="s">
        <v>99</v>
      </c>
      <c r="AR76" s="5" t="s">
        <v>98</v>
      </c>
    </row>
    <row r="77" spans="1:44" ht="31.5" x14ac:dyDescent="0.25">
      <c r="A77" s="10">
        <v>46096</v>
      </c>
      <c r="B77" s="5" t="s">
        <v>964</v>
      </c>
      <c r="C77" s="5" t="s">
        <v>2740</v>
      </c>
      <c r="D77" s="5" t="s">
        <v>11</v>
      </c>
      <c r="E77" s="5" t="s">
        <v>0</v>
      </c>
      <c r="F77" s="5" t="s">
        <v>0</v>
      </c>
      <c r="G77" s="5" t="s">
        <v>3365</v>
      </c>
      <c r="H77" s="5" t="s">
        <v>3366</v>
      </c>
      <c r="I77" s="6" t="str">
        <f>HYPERLINK("http://maps.yandex.ru/?ll=32.55484,58.2454&amp;spn=0.011598,0.004531&amp;z=17&amp;l=map&amp;pt=32.55484,58.2454", "58.24546//32.55484")</f>
        <v>58.24546//32.55484</v>
      </c>
      <c r="J77" s="5" t="s">
        <v>148</v>
      </c>
      <c r="K77" s="6" t="str">
        <f>HYPERLINK("http://maps.yandex.ru/?ll=34.44139,61.73573&amp;spn=0.011598,0.004531&amp;z=17&amp;l=map&amp;pt=34.44139,61.73573", "61.735737//34.44139")</f>
        <v>61.735737//34.44139</v>
      </c>
      <c r="L77" s="5" t="s">
        <v>263</v>
      </c>
      <c r="M77" s="5" t="s">
        <v>646</v>
      </c>
      <c r="N77" s="5" t="s">
        <v>414</v>
      </c>
      <c r="O77" s="5" t="s">
        <v>688</v>
      </c>
      <c r="P77" s="5">
        <v>41</v>
      </c>
      <c r="Q77" s="5">
        <v>57</v>
      </c>
      <c r="R77" s="5">
        <v>2</v>
      </c>
      <c r="S77" s="5">
        <v>691.58100000000002</v>
      </c>
      <c r="T77" s="5" t="s">
        <v>12</v>
      </c>
      <c r="U77" s="5" t="s">
        <v>12</v>
      </c>
      <c r="V77" s="5" t="s">
        <v>12</v>
      </c>
      <c r="W77" s="5">
        <v>28.82</v>
      </c>
      <c r="X77" s="5">
        <v>69.63</v>
      </c>
      <c r="Y77" s="5">
        <v>107</v>
      </c>
      <c r="Z77" s="5" t="s">
        <v>1710</v>
      </c>
      <c r="AA77" s="5" t="s">
        <v>1516</v>
      </c>
      <c r="AB77" s="5" t="s">
        <v>1897</v>
      </c>
      <c r="AC77" s="5" t="s">
        <v>1673</v>
      </c>
      <c r="AD77" s="5" t="s">
        <v>19</v>
      </c>
      <c r="AE77" s="5" t="s">
        <v>1839</v>
      </c>
      <c r="AF77" s="5" t="s">
        <v>12</v>
      </c>
      <c r="AG77" s="5"/>
      <c r="AH77" s="5"/>
      <c r="AI77" s="5"/>
      <c r="AJ77" s="5"/>
      <c r="AK77" s="5"/>
      <c r="AL77" s="5" t="s">
        <v>2741</v>
      </c>
      <c r="AM77" s="5" t="s">
        <v>3367</v>
      </c>
      <c r="AN77" s="5" t="s">
        <v>1927</v>
      </c>
      <c r="AO77" s="5" t="s">
        <v>115</v>
      </c>
      <c r="AP77" s="5" t="s">
        <v>114</v>
      </c>
      <c r="AQ77" s="5" t="s">
        <v>99</v>
      </c>
      <c r="AR77" s="5" t="s">
        <v>98</v>
      </c>
    </row>
    <row r="78" spans="1:44" ht="31.5" x14ac:dyDescent="0.25">
      <c r="A78" s="10">
        <v>46096</v>
      </c>
      <c r="B78" s="5" t="s">
        <v>962</v>
      </c>
      <c r="C78" s="5" t="s">
        <v>2742</v>
      </c>
      <c r="D78" s="5" t="s">
        <v>11</v>
      </c>
      <c r="E78" s="5" t="s">
        <v>6</v>
      </c>
      <c r="F78" s="5" t="s">
        <v>6</v>
      </c>
      <c r="G78" s="5" t="s">
        <v>3103</v>
      </c>
      <c r="H78" s="5" t="s">
        <v>3368</v>
      </c>
      <c r="I78" s="6" t="str">
        <f>HYPERLINK("http://maps.yandex.ru/?ll=41.951714,44.64360&amp;spn=0.011598,0.004531&amp;z=17&amp;l=map&amp;pt=41.951714,44.64360", "44.643604//41.951714")</f>
        <v>44.643604//41.951714</v>
      </c>
      <c r="J78" s="5" t="s">
        <v>208</v>
      </c>
      <c r="K78" s="6" t="str">
        <f>HYPERLINK("http://maps.yandex.ru/?ll=43.70294,43.5626&amp;spn=0.011598,0.004531&amp;z=17&amp;l=map&amp;pt=43.70294,43.5626", "43.56262//43.70294")</f>
        <v>43.56262//43.70294</v>
      </c>
      <c r="L78" s="5" t="s">
        <v>893</v>
      </c>
      <c r="M78" s="5" t="s">
        <v>251</v>
      </c>
      <c r="N78" s="5" t="s">
        <v>1350</v>
      </c>
      <c r="O78" s="5" t="s">
        <v>1412</v>
      </c>
      <c r="P78" s="5">
        <v>13</v>
      </c>
      <c r="Q78" s="5">
        <v>46</v>
      </c>
      <c r="R78" s="5">
        <v>41</v>
      </c>
      <c r="S78" s="5">
        <v>213.41200000000001</v>
      </c>
      <c r="T78" s="5" t="s">
        <v>12</v>
      </c>
      <c r="U78" s="5" t="s">
        <v>12</v>
      </c>
      <c r="V78" s="5" t="s">
        <v>12</v>
      </c>
      <c r="W78" s="5">
        <v>8.89</v>
      </c>
      <c r="X78" s="5">
        <v>67.97</v>
      </c>
      <c r="Y78" s="5">
        <v>94</v>
      </c>
      <c r="Z78" s="5" t="s">
        <v>2221</v>
      </c>
      <c r="AA78" s="5" t="s">
        <v>1986</v>
      </c>
      <c r="AB78" s="5" t="s">
        <v>19</v>
      </c>
      <c r="AC78" s="5" t="s">
        <v>19</v>
      </c>
      <c r="AD78" s="5" t="s">
        <v>19</v>
      </c>
      <c r="AE78" s="5" t="s">
        <v>1929</v>
      </c>
      <c r="AF78" s="5" t="s">
        <v>12</v>
      </c>
      <c r="AG78" s="5"/>
      <c r="AH78" s="5"/>
      <c r="AI78" s="5"/>
      <c r="AJ78" s="5"/>
      <c r="AK78" s="5"/>
      <c r="AL78" s="5" t="s">
        <v>12</v>
      </c>
      <c r="AM78" s="5" t="s">
        <v>12</v>
      </c>
      <c r="AN78" s="5" t="s">
        <v>12</v>
      </c>
      <c r="AO78" s="5" t="s">
        <v>83</v>
      </c>
      <c r="AP78" s="5" t="s">
        <v>82</v>
      </c>
      <c r="AQ78" s="5" t="s">
        <v>106</v>
      </c>
      <c r="AR78" s="5" t="s">
        <v>105</v>
      </c>
    </row>
    <row r="79" spans="1:44" ht="31.5" x14ac:dyDescent="0.25">
      <c r="A79" s="10">
        <v>46096</v>
      </c>
      <c r="B79" s="5" t="s">
        <v>961</v>
      </c>
      <c r="C79" s="5" t="s">
        <v>2744</v>
      </c>
      <c r="D79" s="5" t="s">
        <v>11</v>
      </c>
      <c r="E79" s="5" t="s">
        <v>6</v>
      </c>
      <c r="F79" s="5" t="s">
        <v>6</v>
      </c>
      <c r="G79" s="5" t="s">
        <v>3103</v>
      </c>
      <c r="H79" s="5" t="s">
        <v>3369</v>
      </c>
      <c r="I79" s="6" t="str">
        <f>HYPERLINK("http://maps.yandex.ru/?ll=44.733624,48.45146&amp;spn=0.011598,0.004531&amp;z=17&amp;l=map&amp;pt=44.733624,48.45146", "48.451466//44.733624")</f>
        <v>48.451466//44.733624</v>
      </c>
      <c r="J79" s="5" t="s">
        <v>95</v>
      </c>
      <c r="K79" s="6" t="str">
        <f>HYPERLINK("http://maps.yandex.ru/?ll=43.020832,44.23542&amp;spn=0.011598,0.004531&amp;z=17&amp;l=map&amp;pt=43.020832,44.23542", "44.235428//43.020832")</f>
        <v>44.235428//43.020832</v>
      </c>
      <c r="L79" s="5" t="s">
        <v>208</v>
      </c>
      <c r="M79" s="5" t="s">
        <v>658</v>
      </c>
      <c r="N79" s="5" t="s">
        <v>522</v>
      </c>
      <c r="O79" s="5" t="s">
        <v>1465</v>
      </c>
      <c r="P79" s="5">
        <v>36</v>
      </c>
      <c r="Q79" s="5">
        <v>13</v>
      </c>
      <c r="R79" s="5">
        <v>51</v>
      </c>
      <c r="S79" s="5">
        <v>610.15300000000002</v>
      </c>
      <c r="T79" s="5" t="s">
        <v>12</v>
      </c>
      <c r="U79" s="5" t="s">
        <v>12</v>
      </c>
      <c r="V79" s="5" t="s">
        <v>12</v>
      </c>
      <c r="W79" s="5">
        <v>25.42</v>
      </c>
      <c r="X79" s="5">
        <v>71.069999999999993</v>
      </c>
      <c r="Y79" s="5">
        <v>142</v>
      </c>
      <c r="Z79" s="5" t="s">
        <v>1884</v>
      </c>
      <c r="AA79" s="5" t="s">
        <v>1727</v>
      </c>
      <c r="AB79" s="5" t="s">
        <v>19</v>
      </c>
      <c r="AC79" s="5" t="s">
        <v>19</v>
      </c>
      <c r="AD79" s="5" t="s">
        <v>19</v>
      </c>
      <c r="AE79" s="5" t="s">
        <v>1720</v>
      </c>
      <c r="AF79" s="5" t="s">
        <v>12</v>
      </c>
      <c r="AG79" s="5"/>
      <c r="AH79" s="5"/>
      <c r="AI79" s="5"/>
      <c r="AJ79" s="5"/>
      <c r="AK79" s="5"/>
      <c r="AL79" s="5" t="s">
        <v>3370</v>
      </c>
      <c r="AM79" s="5" t="s">
        <v>3371</v>
      </c>
      <c r="AN79" s="5" t="s">
        <v>1695</v>
      </c>
      <c r="AO79" s="5" t="s">
        <v>83</v>
      </c>
      <c r="AP79" s="5" t="s">
        <v>82</v>
      </c>
      <c r="AQ79" s="5" t="s">
        <v>106</v>
      </c>
      <c r="AR79" s="5" t="s">
        <v>105</v>
      </c>
    </row>
    <row r="80" spans="1:44" ht="31.5" x14ac:dyDescent="0.25">
      <c r="A80" s="10">
        <v>46096</v>
      </c>
      <c r="B80" s="5" t="s">
        <v>960</v>
      </c>
      <c r="C80" s="5" t="s">
        <v>2745</v>
      </c>
      <c r="D80" s="5" t="s">
        <v>11</v>
      </c>
      <c r="E80" s="5" t="s">
        <v>6</v>
      </c>
      <c r="F80" s="5" t="s">
        <v>6</v>
      </c>
      <c r="G80" s="5" t="s">
        <v>3372</v>
      </c>
      <c r="H80" s="5" t="s">
        <v>3373</v>
      </c>
      <c r="I80" s="6" t="str">
        <f>HYPERLINK("http://maps.yandex.ru/?ll=36.57643,56.47374&amp;spn=0.011598,0.004531&amp;z=17&amp;l=map&amp;pt=36.57643,56.47374", "56.473743//36.57643")</f>
        <v>56.473743//36.57643</v>
      </c>
      <c r="J80" s="5" t="s">
        <v>56</v>
      </c>
      <c r="K80" s="6" t="str">
        <f>HYPERLINK("http://maps.yandex.ru/?ll=41.353264,52.5590&amp;spn=0.011598,0.004531&amp;z=17&amp;l=map&amp;pt=41.353264,52.5590", "52.55905//41.353264")</f>
        <v>52.55905//41.353264</v>
      </c>
      <c r="L80" s="5" t="s">
        <v>284</v>
      </c>
      <c r="M80" s="5" t="s">
        <v>235</v>
      </c>
      <c r="N80" s="5" t="s">
        <v>515</v>
      </c>
      <c r="O80" s="5" t="s">
        <v>322</v>
      </c>
      <c r="P80" s="5">
        <v>36</v>
      </c>
      <c r="Q80" s="5">
        <v>63</v>
      </c>
      <c r="R80" s="5">
        <v>1</v>
      </c>
      <c r="S80" s="5">
        <v>588.09400000000005</v>
      </c>
      <c r="T80" s="5" t="s">
        <v>12</v>
      </c>
      <c r="U80" s="5" t="s">
        <v>12</v>
      </c>
      <c r="V80" s="5" t="s">
        <v>12</v>
      </c>
      <c r="W80" s="5">
        <v>24.5</v>
      </c>
      <c r="X80" s="5">
        <v>68.87</v>
      </c>
      <c r="Y80" s="5">
        <v>106</v>
      </c>
      <c r="Z80" s="5" t="s">
        <v>1888</v>
      </c>
      <c r="AA80" s="5" t="s">
        <v>1688</v>
      </c>
      <c r="AB80" s="5" t="s">
        <v>19</v>
      </c>
      <c r="AC80" s="5" t="s">
        <v>19</v>
      </c>
      <c r="AD80" s="5" t="s">
        <v>19</v>
      </c>
      <c r="AE80" s="5" t="s">
        <v>1859</v>
      </c>
      <c r="AF80" s="5" t="s">
        <v>12</v>
      </c>
      <c r="AG80" s="5"/>
      <c r="AH80" s="5"/>
      <c r="AI80" s="5"/>
      <c r="AJ80" s="5"/>
      <c r="AK80" s="5"/>
      <c r="AL80" s="5" t="s">
        <v>2746</v>
      </c>
      <c r="AM80" s="5" t="s">
        <v>3374</v>
      </c>
      <c r="AN80" s="5" t="s">
        <v>2253</v>
      </c>
      <c r="AO80" s="5" t="s">
        <v>83</v>
      </c>
      <c r="AP80" s="5" t="s">
        <v>82</v>
      </c>
      <c r="AQ80" s="5" t="s">
        <v>106</v>
      </c>
      <c r="AR80" s="5" t="s">
        <v>105</v>
      </c>
    </row>
    <row r="81" spans="1:44" ht="31.5" x14ac:dyDescent="0.25">
      <c r="A81" s="10">
        <v>46096</v>
      </c>
      <c r="B81" s="5" t="s">
        <v>958</v>
      </c>
      <c r="C81" s="5" t="s">
        <v>2747</v>
      </c>
      <c r="D81" s="5" t="s">
        <v>11</v>
      </c>
      <c r="E81" s="5" t="s">
        <v>6</v>
      </c>
      <c r="F81" s="5" t="s">
        <v>6</v>
      </c>
      <c r="G81" s="5" t="s">
        <v>3375</v>
      </c>
      <c r="H81" s="5" t="s">
        <v>3376</v>
      </c>
      <c r="I81" s="6" t="str">
        <f>HYPERLINK("http://maps.yandex.ru/?ll=56.079025,54.6643&amp;spn=0.011598,0.004531&amp;z=17&amp;l=map&amp;pt=56.079025,54.6643", "54.66432//56.079025")</f>
        <v>54.66432//56.079025</v>
      </c>
      <c r="J81" s="5" t="s">
        <v>34</v>
      </c>
      <c r="K81" s="6" t="str">
        <f>HYPERLINK("http://maps.yandex.ru/?ll=63.914177,55.3617&amp;spn=0.011598,0.004531&amp;z=17&amp;l=map&amp;pt=63.914177,55.3617", "55.36174//63.914177")</f>
        <v>55.36174//63.914177</v>
      </c>
      <c r="L81" s="5" t="s">
        <v>361</v>
      </c>
      <c r="M81" s="5" t="s">
        <v>479</v>
      </c>
      <c r="N81" s="5" t="s">
        <v>478</v>
      </c>
      <c r="O81" s="5" t="s">
        <v>13</v>
      </c>
      <c r="P81" s="5">
        <v>39</v>
      </c>
      <c r="Q81" s="5">
        <v>61</v>
      </c>
      <c r="R81" s="5">
        <v>0</v>
      </c>
      <c r="S81" s="5">
        <v>588.08600000000001</v>
      </c>
      <c r="T81" s="5" t="s">
        <v>12</v>
      </c>
      <c r="U81" s="5" t="s">
        <v>12</v>
      </c>
      <c r="V81" s="5" t="s">
        <v>12</v>
      </c>
      <c r="W81" s="5">
        <v>24.5</v>
      </c>
      <c r="X81" s="5">
        <v>62.55</v>
      </c>
      <c r="Y81" s="5">
        <v>91</v>
      </c>
      <c r="Z81" s="5" t="s">
        <v>1847</v>
      </c>
      <c r="AA81" s="5" t="s">
        <v>2239</v>
      </c>
      <c r="AB81" s="5" t="s">
        <v>19</v>
      </c>
      <c r="AC81" s="5" t="s">
        <v>19</v>
      </c>
      <c r="AD81" s="5" t="s">
        <v>19</v>
      </c>
      <c r="AE81" s="5" t="s">
        <v>2201</v>
      </c>
      <c r="AF81" s="5" t="s">
        <v>12</v>
      </c>
      <c r="AG81" s="5"/>
      <c r="AH81" s="5"/>
      <c r="AI81" s="5"/>
      <c r="AJ81" s="5"/>
      <c r="AK81" s="5"/>
      <c r="AL81" s="5" t="s">
        <v>3377</v>
      </c>
      <c r="AM81" s="5" t="s">
        <v>3377</v>
      </c>
      <c r="AN81" s="5" t="s">
        <v>19</v>
      </c>
      <c r="AO81" s="5" t="s">
        <v>83</v>
      </c>
      <c r="AP81" s="5" t="s">
        <v>82</v>
      </c>
      <c r="AQ81" s="5" t="s">
        <v>106</v>
      </c>
      <c r="AR81" s="5" t="s">
        <v>105</v>
      </c>
    </row>
    <row r="82" spans="1:44" ht="31.5" x14ac:dyDescent="0.25">
      <c r="A82" s="10">
        <v>46096</v>
      </c>
      <c r="B82" s="5" t="s">
        <v>51</v>
      </c>
      <c r="C82" s="5" t="s">
        <v>2059</v>
      </c>
      <c r="D82" s="5" t="s">
        <v>11</v>
      </c>
      <c r="E82" s="5" t="s">
        <v>1</v>
      </c>
      <c r="F82" s="5" t="s">
        <v>1</v>
      </c>
      <c r="G82" s="5" t="s">
        <v>3378</v>
      </c>
      <c r="H82" s="5" t="s">
        <v>3379</v>
      </c>
      <c r="I82" s="6" t="str">
        <f>HYPERLINK("http://maps.yandex.ru/?ll=49.997066,55.6431&amp;spn=0.011598,0.004531&amp;z=17&amp;l=map&amp;pt=49.997066,55.6431", "55.64319//49.997066")</f>
        <v>55.64319//49.997066</v>
      </c>
      <c r="J82" s="5" t="s">
        <v>28</v>
      </c>
      <c r="K82" s="6" t="str">
        <f>HYPERLINK("http://maps.yandex.ru/?ll=55.9582,57.89375&amp;spn=0.011598,0.004531&amp;z=17&amp;l=map&amp;pt=55.9582,57.89375", "57.893757//55.9582")</f>
        <v>57.893757//55.9582</v>
      </c>
      <c r="L82" s="5" t="s">
        <v>509</v>
      </c>
      <c r="M82" s="5" t="s">
        <v>984</v>
      </c>
      <c r="N82" s="5" t="s">
        <v>676</v>
      </c>
      <c r="O82" s="5" t="s">
        <v>13</v>
      </c>
      <c r="P82" s="5">
        <v>38</v>
      </c>
      <c r="Q82" s="5">
        <v>62</v>
      </c>
      <c r="R82" s="5">
        <v>0</v>
      </c>
      <c r="S82" s="5">
        <v>654.06200000000001</v>
      </c>
      <c r="T82" s="5" t="s">
        <v>3380</v>
      </c>
      <c r="U82" s="5" t="s">
        <v>3381</v>
      </c>
      <c r="V82" s="5" t="s">
        <v>3382</v>
      </c>
      <c r="W82" s="5">
        <v>27.25</v>
      </c>
      <c r="X82" s="5">
        <v>72.55</v>
      </c>
      <c r="Y82" s="5">
        <v>114</v>
      </c>
      <c r="Z82" s="5" t="s">
        <v>2062</v>
      </c>
      <c r="AA82" s="5" t="s">
        <v>2005</v>
      </c>
      <c r="AB82" s="5" t="s">
        <v>1571</v>
      </c>
      <c r="AC82" s="5" t="s">
        <v>1673</v>
      </c>
      <c r="AD82" s="5" t="s">
        <v>19</v>
      </c>
      <c r="AE82" s="5" t="s">
        <v>1609</v>
      </c>
      <c r="AF82" s="5" t="s">
        <v>3383</v>
      </c>
      <c r="AG82" s="5">
        <v>233</v>
      </c>
      <c r="AH82" s="5">
        <v>3</v>
      </c>
      <c r="AI82" s="5">
        <v>230</v>
      </c>
      <c r="AJ82" s="5">
        <v>34.11</v>
      </c>
      <c r="AK82" s="5">
        <v>33.67</v>
      </c>
      <c r="AL82" s="5" t="s">
        <v>12</v>
      </c>
      <c r="AM82" s="5" t="s">
        <v>12</v>
      </c>
      <c r="AN82" s="5" t="s">
        <v>12</v>
      </c>
      <c r="AO82" s="5" t="s">
        <v>11</v>
      </c>
      <c r="AP82" s="5" t="s">
        <v>11</v>
      </c>
      <c r="AQ82" s="5" t="s">
        <v>18</v>
      </c>
      <c r="AR82" s="5" t="s">
        <v>17</v>
      </c>
    </row>
    <row r="83" spans="1:44" ht="31.5" x14ac:dyDescent="0.25">
      <c r="A83" s="10">
        <v>46096</v>
      </c>
      <c r="B83" s="5" t="s">
        <v>47</v>
      </c>
      <c r="C83" s="5" t="s">
        <v>2063</v>
      </c>
      <c r="D83" s="5" t="s">
        <v>11</v>
      </c>
      <c r="E83" s="5" t="s">
        <v>5</v>
      </c>
      <c r="F83" s="5" t="s">
        <v>5</v>
      </c>
      <c r="G83" s="5" t="s">
        <v>3103</v>
      </c>
      <c r="H83" s="5" t="s">
        <v>3384</v>
      </c>
      <c r="I83" s="6" t="str">
        <f>HYPERLINK("http://maps.yandex.ru/?ll=52.316914,55.96903&amp;spn=0.011598,0.004531&amp;z=17&amp;l=map&amp;pt=52.316914,55.96903", "55.969032//52.316914")</f>
        <v>55.969032//52.316914</v>
      </c>
      <c r="J83" s="5" t="s">
        <v>28</v>
      </c>
      <c r="K83" s="6" t="str">
        <f>HYPERLINK("http://maps.yandex.ru/?ll=55.962486,57.89544&amp;spn=0.011598,0.004531&amp;z=17&amp;l=map&amp;pt=55.962486,57.89544", "57.895443//55.962486")</f>
        <v>57.895443//55.962486</v>
      </c>
      <c r="L83" s="5" t="s">
        <v>509</v>
      </c>
      <c r="M83" s="5" t="s">
        <v>1488</v>
      </c>
      <c r="N83" s="5" t="s">
        <v>1402</v>
      </c>
      <c r="O83" s="5" t="s">
        <v>922</v>
      </c>
      <c r="P83" s="5">
        <v>22</v>
      </c>
      <c r="Q83" s="5">
        <v>17</v>
      </c>
      <c r="R83" s="5">
        <v>61</v>
      </c>
      <c r="S83" s="5">
        <v>336.99599999999998</v>
      </c>
      <c r="T83" s="5" t="s">
        <v>1543</v>
      </c>
      <c r="U83" s="5" t="s">
        <v>3385</v>
      </c>
      <c r="V83" s="5" t="s">
        <v>3386</v>
      </c>
      <c r="W83" s="5">
        <v>14.04</v>
      </c>
      <c r="X83" s="5">
        <v>63.3</v>
      </c>
      <c r="Y83" s="5">
        <v>115</v>
      </c>
      <c r="Z83" s="5" t="s">
        <v>1590</v>
      </c>
      <c r="AA83" s="5" t="s">
        <v>3387</v>
      </c>
      <c r="AB83" s="5" t="s">
        <v>19</v>
      </c>
      <c r="AC83" s="5" t="s">
        <v>19</v>
      </c>
      <c r="AD83" s="5" t="s">
        <v>19</v>
      </c>
      <c r="AE83" s="5" t="s">
        <v>1474</v>
      </c>
      <c r="AF83" s="5" t="s">
        <v>3388</v>
      </c>
      <c r="AG83" s="5">
        <v>201</v>
      </c>
      <c r="AH83" s="5">
        <v>0</v>
      </c>
      <c r="AI83" s="5">
        <v>201</v>
      </c>
      <c r="AJ83" s="5">
        <v>30.83</v>
      </c>
      <c r="AK83" s="5">
        <v>30.83</v>
      </c>
      <c r="AL83" s="5" t="s">
        <v>12</v>
      </c>
      <c r="AM83" s="5" t="s">
        <v>12</v>
      </c>
      <c r="AN83" s="5" t="s">
        <v>12</v>
      </c>
      <c r="AO83" s="5" t="s">
        <v>11</v>
      </c>
      <c r="AP83" s="5" t="s">
        <v>11</v>
      </c>
      <c r="AQ83" s="5" t="s">
        <v>43</v>
      </c>
      <c r="AR83" s="5" t="s">
        <v>42</v>
      </c>
    </row>
    <row r="84" spans="1:44" ht="31.5" x14ac:dyDescent="0.25">
      <c r="A84" s="10">
        <v>46096</v>
      </c>
      <c r="B84" s="5" t="s">
        <v>41</v>
      </c>
      <c r="C84" s="5" t="s">
        <v>2065</v>
      </c>
      <c r="D84" s="5" t="s">
        <v>11</v>
      </c>
      <c r="E84" s="5" t="s">
        <v>40</v>
      </c>
      <c r="F84" s="5" t="s">
        <v>11</v>
      </c>
      <c r="G84" s="5" t="s">
        <v>3389</v>
      </c>
      <c r="H84" s="5" t="s">
        <v>3390</v>
      </c>
      <c r="I84" s="6" t="str">
        <f>HYPERLINK("http://maps.yandex.ru/?ll=68.95301,56.30545&amp;spn=0.011598,0.004531&amp;z=17&amp;l=map&amp;pt=68.95301,56.30545", "56.305454//68.95301")</f>
        <v>56.305454//68.95301</v>
      </c>
      <c r="J84" s="5" t="s">
        <v>503</v>
      </c>
      <c r="K84" s="6" t="str">
        <f>HYPERLINK("http://maps.yandex.ru/?ll=65.47075,57.15589&amp;spn=0.011598,0.004531&amp;z=17&amp;l=map&amp;pt=65.47075,57.15589", "57.155895//65.47075")</f>
        <v>57.155895//65.47075</v>
      </c>
      <c r="L84" s="5" t="s">
        <v>503</v>
      </c>
      <c r="M84" s="5" t="s">
        <v>3391</v>
      </c>
      <c r="N84" s="5" t="s">
        <v>3392</v>
      </c>
      <c r="O84" s="5" t="s">
        <v>13</v>
      </c>
      <c r="P84" s="5">
        <v>15</v>
      </c>
      <c r="Q84" s="5">
        <v>85</v>
      </c>
      <c r="R84" s="5">
        <v>0</v>
      </c>
      <c r="S84" s="5">
        <v>263.68099999999998</v>
      </c>
      <c r="T84" s="5" t="s">
        <v>3129</v>
      </c>
      <c r="U84" s="5" t="s">
        <v>3393</v>
      </c>
      <c r="V84" s="5" t="s">
        <v>3394</v>
      </c>
      <c r="W84" s="5">
        <v>10.99</v>
      </c>
      <c r="X84" s="5">
        <v>74.47</v>
      </c>
      <c r="Y84" s="5">
        <v>103</v>
      </c>
      <c r="Z84" s="5" t="s">
        <v>12</v>
      </c>
      <c r="AA84" s="5" t="s">
        <v>12</v>
      </c>
      <c r="AB84" s="5" t="s">
        <v>19</v>
      </c>
      <c r="AC84" s="5" t="s">
        <v>19</v>
      </c>
      <c r="AD84" s="5" t="s">
        <v>19</v>
      </c>
      <c r="AE84" s="5" t="s">
        <v>12</v>
      </c>
      <c r="AF84" s="5" t="s">
        <v>12</v>
      </c>
      <c r="AG84" s="5"/>
      <c r="AH84" s="5">
        <v>0</v>
      </c>
      <c r="AI84" s="5"/>
      <c r="AJ84" s="5">
        <v>0</v>
      </c>
      <c r="AK84" s="5">
        <v>0</v>
      </c>
      <c r="AL84" s="5" t="s">
        <v>12</v>
      </c>
      <c r="AM84" s="5" t="s">
        <v>12</v>
      </c>
      <c r="AN84" s="5" t="s">
        <v>12</v>
      </c>
      <c r="AO84" s="5" t="s">
        <v>11</v>
      </c>
      <c r="AP84" s="5" t="s">
        <v>11</v>
      </c>
      <c r="AQ84" s="5" t="s">
        <v>37</v>
      </c>
      <c r="AR84" s="5" t="s">
        <v>36</v>
      </c>
    </row>
    <row r="85" spans="1:44" ht="15.75" x14ac:dyDescent="0.25">
      <c r="A85" s="10">
        <v>46096</v>
      </c>
      <c r="B85" s="5" t="s">
        <v>35</v>
      </c>
      <c r="C85" s="5" t="s">
        <v>2067</v>
      </c>
      <c r="D85" s="5" t="s">
        <v>11</v>
      </c>
      <c r="E85" s="5" t="s">
        <v>5</v>
      </c>
      <c r="F85" s="5" t="s">
        <v>5</v>
      </c>
      <c r="G85" s="5" t="s">
        <v>11</v>
      </c>
      <c r="H85" s="5" t="s">
        <v>11</v>
      </c>
      <c r="I85" s="6" t="str">
        <f>HYPERLINK("http://maps.yandex.ru/?ll=,&amp;spn=0.011598,0.004531&amp;z=17&amp;l=map&amp;pt=,", "")</f>
        <v/>
      </c>
      <c r="J85" s="5" t="s">
        <v>84</v>
      </c>
      <c r="K85" s="6" t="str">
        <f>HYPERLINK("http://maps.yandex.ru/?ll=,&amp;spn=0.011598,0.004531&amp;z=17&amp;l=map&amp;pt=,", "")</f>
        <v/>
      </c>
      <c r="L85" s="5" t="s">
        <v>84</v>
      </c>
      <c r="M85" s="5" t="s">
        <v>13</v>
      </c>
      <c r="N85" s="5" t="s">
        <v>1397</v>
      </c>
      <c r="O85" s="5" t="s">
        <v>3395</v>
      </c>
      <c r="P85" s="5">
        <v>0</v>
      </c>
      <c r="Q85" s="5">
        <v>27</v>
      </c>
      <c r="R85" s="5">
        <v>73</v>
      </c>
      <c r="S85" s="5">
        <v>0</v>
      </c>
      <c r="T85" s="5" t="s">
        <v>2340</v>
      </c>
      <c r="U85" s="5" t="s">
        <v>3396</v>
      </c>
      <c r="V85" s="5" t="s">
        <v>3397</v>
      </c>
      <c r="W85" s="5">
        <v>0</v>
      </c>
      <c r="X85" s="5">
        <v>0</v>
      </c>
      <c r="Y85" s="5">
        <v>0</v>
      </c>
      <c r="Z85" s="5" t="s">
        <v>1565</v>
      </c>
      <c r="AA85" s="5" t="s">
        <v>2823</v>
      </c>
      <c r="AB85" s="5" t="s">
        <v>19</v>
      </c>
      <c r="AC85" s="5" t="s">
        <v>19</v>
      </c>
      <c r="AD85" s="5" t="s">
        <v>19</v>
      </c>
      <c r="AE85" s="5" t="s">
        <v>3398</v>
      </c>
      <c r="AF85" s="5" t="s">
        <v>12</v>
      </c>
      <c r="AG85" s="5"/>
      <c r="AH85" s="5">
        <v>0</v>
      </c>
      <c r="AI85" s="5"/>
      <c r="AJ85" s="5">
        <v>0</v>
      </c>
      <c r="AK85" s="5">
        <v>0</v>
      </c>
      <c r="AL85" s="5" t="s">
        <v>12</v>
      </c>
      <c r="AM85" s="5" t="s">
        <v>12</v>
      </c>
      <c r="AN85" s="5" t="s">
        <v>12</v>
      </c>
      <c r="AO85" s="5" t="s">
        <v>11</v>
      </c>
      <c r="AP85" s="5" t="s">
        <v>11</v>
      </c>
      <c r="AQ85" s="5" t="s">
        <v>31</v>
      </c>
      <c r="AR85" s="5" t="s">
        <v>30</v>
      </c>
    </row>
    <row r="86" spans="1:44" ht="31.5" x14ac:dyDescent="0.25">
      <c r="A86" s="10">
        <v>46096</v>
      </c>
      <c r="B86" s="5" t="s">
        <v>29</v>
      </c>
      <c r="C86" s="5" t="s">
        <v>2068</v>
      </c>
      <c r="D86" s="5" t="s">
        <v>11</v>
      </c>
      <c r="E86" s="5" t="s">
        <v>4</v>
      </c>
      <c r="F86" s="5" t="s">
        <v>4</v>
      </c>
      <c r="G86" s="5" t="s">
        <v>3399</v>
      </c>
      <c r="H86" s="5" t="s">
        <v>3400</v>
      </c>
      <c r="I86" s="6" t="str">
        <f>HYPERLINK("http://maps.yandex.ru/?ll=36.704945,56.31608&amp;spn=0.011598,0.004531&amp;z=17&amp;l=map&amp;pt=36.704945,56.31608", "56.316086//36.704945")</f>
        <v>56.316086//36.704945</v>
      </c>
      <c r="J86" s="5" t="s">
        <v>56</v>
      </c>
      <c r="K86" s="6" t="str">
        <f>HYPERLINK("http://maps.yandex.ru/?ll=36.67687,56.27828&amp;spn=0.011598,0.004531&amp;z=17&amp;l=map&amp;pt=36.67687,56.27828", "56.278282//36.67687")</f>
        <v>56.278282//36.67687</v>
      </c>
      <c r="L86" s="5" t="s">
        <v>56</v>
      </c>
      <c r="M86" s="5" t="s">
        <v>861</v>
      </c>
      <c r="N86" s="5" t="s">
        <v>462</v>
      </c>
      <c r="O86" s="5" t="s">
        <v>889</v>
      </c>
      <c r="P86" s="5">
        <v>7</v>
      </c>
      <c r="Q86" s="5">
        <v>82</v>
      </c>
      <c r="R86" s="5">
        <v>11</v>
      </c>
      <c r="S86" s="5">
        <v>7.7889999999999997</v>
      </c>
      <c r="T86" s="5" t="s">
        <v>1929</v>
      </c>
      <c r="U86" s="5" t="s">
        <v>3401</v>
      </c>
      <c r="V86" s="5" t="s">
        <v>3402</v>
      </c>
      <c r="W86" s="5">
        <v>0.32</v>
      </c>
      <c r="X86" s="5">
        <v>4.93</v>
      </c>
      <c r="Y86" s="5">
        <v>64</v>
      </c>
      <c r="Z86" s="5" t="s">
        <v>1835</v>
      </c>
      <c r="AA86" s="5" t="s">
        <v>2089</v>
      </c>
      <c r="AB86" s="5" t="s">
        <v>19</v>
      </c>
      <c r="AC86" s="5" t="s">
        <v>19</v>
      </c>
      <c r="AD86" s="5" t="s">
        <v>19</v>
      </c>
      <c r="AE86" s="5" t="s">
        <v>2331</v>
      </c>
      <c r="AF86" s="5" t="s">
        <v>3403</v>
      </c>
      <c r="AG86" s="5">
        <v>13</v>
      </c>
      <c r="AH86" s="5">
        <v>2</v>
      </c>
      <c r="AI86" s="5">
        <v>11</v>
      </c>
      <c r="AJ86" s="5">
        <v>130</v>
      </c>
      <c r="AK86" s="5">
        <v>110</v>
      </c>
      <c r="AL86" s="5" t="s">
        <v>12</v>
      </c>
      <c r="AM86" s="5" t="s">
        <v>12</v>
      </c>
      <c r="AN86" s="5" t="s">
        <v>12</v>
      </c>
      <c r="AO86" s="5" t="s">
        <v>11</v>
      </c>
      <c r="AP86" s="5" t="s">
        <v>11</v>
      </c>
      <c r="AQ86" s="5" t="s">
        <v>18</v>
      </c>
      <c r="AR86" s="5" t="s">
        <v>17</v>
      </c>
    </row>
    <row r="87" spans="1:44" ht="31.5" x14ac:dyDescent="0.25">
      <c r="A87" s="10">
        <v>46096</v>
      </c>
      <c r="B87" s="5" t="s">
        <v>24</v>
      </c>
      <c r="C87" s="5" t="s">
        <v>2070</v>
      </c>
      <c r="D87" s="5" t="s">
        <v>11</v>
      </c>
      <c r="E87" s="5" t="s">
        <v>11</v>
      </c>
      <c r="F87" s="5" t="s">
        <v>11</v>
      </c>
      <c r="G87" s="5" t="s">
        <v>3404</v>
      </c>
      <c r="H87" s="5" t="s">
        <v>3405</v>
      </c>
      <c r="I87" s="6" t="str">
        <f>HYPERLINK("http://maps.yandex.ru/?ll=30.547094,59.66230&amp;spn=0.011598,0.004531&amp;z=17&amp;l=map&amp;pt=30.547094,59.66230", "59.662308//30.547094")</f>
        <v>59.662308//30.547094</v>
      </c>
      <c r="J87" s="5" t="s">
        <v>22</v>
      </c>
      <c r="K87" s="6" t="str">
        <f>HYPERLINK("http://maps.yandex.ru/?ll=30.546955,59.66216&amp;spn=0.011598,0.004531&amp;z=17&amp;l=map&amp;pt=30.546955,59.66216", "59.662163//30.546955")</f>
        <v>59.662163//30.546955</v>
      </c>
      <c r="L87" s="5" t="s">
        <v>22</v>
      </c>
      <c r="M87" s="5" t="s">
        <v>286</v>
      </c>
      <c r="N87" s="5" t="s">
        <v>3406</v>
      </c>
      <c r="O87" s="5" t="s">
        <v>13</v>
      </c>
      <c r="P87" s="5">
        <v>1</v>
      </c>
      <c r="Q87" s="5">
        <v>99</v>
      </c>
      <c r="R87" s="5">
        <v>0</v>
      </c>
      <c r="S87" s="5">
        <v>6.4850000000000003</v>
      </c>
      <c r="T87" s="5" t="s">
        <v>1746</v>
      </c>
      <c r="U87" s="5" t="s">
        <v>3407</v>
      </c>
      <c r="V87" s="5" t="s">
        <v>3408</v>
      </c>
      <c r="W87" s="5">
        <v>0.27</v>
      </c>
      <c r="X87" s="5">
        <v>20.62</v>
      </c>
      <c r="Y87" s="5">
        <v>54</v>
      </c>
      <c r="Z87" s="5" t="s">
        <v>1250</v>
      </c>
      <c r="AA87" s="5" t="s">
        <v>2383</v>
      </c>
      <c r="AB87" s="5" t="s">
        <v>19</v>
      </c>
      <c r="AC87" s="5" t="s">
        <v>19</v>
      </c>
      <c r="AD87" s="5" t="s">
        <v>19</v>
      </c>
      <c r="AE87" s="5" t="s">
        <v>1720</v>
      </c>
      <c r="AF87" s="5" t="s">
        <v>3409</v>
      </c>
      <c r="AG87" s="5">
        <v>4</v>
      </c>
      <c r="AH87" s="5">
        <v>2</v>
      </c>
      <c r="AI87" s="5">
        <v>2</v>
      </c>
      <c r="AJ87" s="5">
        <v>50</v>
      </c>
      <c r="AK87" s="5">
        <v>25</v>
      </c>
      <c r="AL87" s="5" t="s">
        <v>12</v>
      </c>
      <c r="AM87" s="5" t="s">
        <v>12</v>
      </c>
      <c r="AN87" s="5" t="s">
        <v>12</v>
      </c>
      <c r="AO87" s="5" t="s">
        <v>11</v>
      </c>
      <c r="AP87" s="5" t="s">
        <v>11</v>
      </c>
      <c r="AQ87" s="5" t="s">
        <v>18</v>
      </c>
      <c r="AR87" s="5" t="s">
        <v>17</v>
      </c>
    </row>
    <row r="88" spans="1:44" ht="31.5" x14ac:dyDescent="0.25">
      <c r="A88" s="10">
        <v>46096</v>
      </c>
      <c r="B88" s="5" t="s">
        <v>16</v>
      </c>
      <c r="C88" s="5" t="s">
        <v>2071</v>
      </c>
      <c r="D88" s="5" t="s">
        <v>11</v>
      </c>
      <c r="E88" s="5" t="s">
        <v>11</v>
      </c>
      <c r="F88" s="5" t="s">
        <v>11</v>
      </c>
      <c r="G88" s="5" t="s">
        <v>3410</v>
      </c>
      <c r="H88" s="5" t="s">
        <v>3411</v>
      </c>
      <c r="I88" s="6" t="str">
        <f>HYPERLINK("http://maps.yandex.ru/?ll=43.80129,56.35649&amp;spn=0.011598,0.004531&amp;z=17&amp;l=map&amp;pt=43.80129,56.35649", "56.356495//43.80129")</f>
        <v>56.356495//43.80129</v>
      </c>
      <c r="J88" s="5" t="s">
        <v>15</v>
      </c>
      <c r="K88" s="6" t="str">
        <f>HYPERLINK("http://maps.yandex.ru/?ll=43.45637,56.2962&amp;spn=0.011598,0.004531&amp;z=17&amp;l=map&amp;pt=43.45637,56.2962", "56.29629//43.45637")</f>
        <v>56.29629//43.45637</v>
      </c>
      <c r="L88" s="5" t="s">
        <v>15</v>
      </c>
      <c r="M88" s="5" t="s">
        <v>653</v>
      </c>
      <c r="N88" s="5" t="s">
        <v>1451</v>
      </c>
      <c r="O88" s="5" t="s">
        <v>13</v>
      </c>
      <c r="P88" s="5">
        <v>3</v>
      </c>
      <c r="Q88" s="5">
        <v>97</v>
      </c>
      <c r="R88" s="5">
        <v>0</v>
      </c>
      <c r="S88" s="5">
        <v>33.851999999999997</v>
      </c>
      <c r="T88" s="5" t="s">
        <v>1898</v>
      </c>
      <c r="U88" s="5" t="s">
        <v>2072</v>
      </c>
      <c r="V88" s="5" t="s">
        <v>3412</v>
      </c>
      <c r="W88" s="5">
        <v>1.41</v>
      </c>
      <c r="X88" s="5">
        <v>50.36</v>
      </c>
      <c r="Y88" s="5">
        <v>95</v>
      </c>
      <c r="Z88" s="5" t="s">
        <v>12</v>
      </c>
      <c r="AA88" s="5" t="s">
        <v>12</v>
      </c>
      <c r="AB88" s="5" t="s">
        <v>12</v>
      </c>
      <c r="AC88" s="5" t="s">
        <v>12</v>
      </c>
      <c r="AD88" s="5" t="s">
        <v>12</v>
      </c>
      <c r="AE88" s="5" t="s">
        <v>12</v>
      </c>
      <c r="AF88" s="5" t="s">
        <v>12</v>
      </c>
      <c r="AG88" s="5">
        <v>10</v>
      </c>
      <c r="AH88" s="5">
        <v>2</v>
      </c>
      <c r="AI88" s="5">
        <v>8</v>
      </c>
      <c r="AJ88" s="5">
        <v>26.32</v>
      </c>
      <c r="AK88" s="5">
        <v>21.05</v>
      </c>
      <c r="AL88" s="5" t="s">
        <v>12</v>
      </c>
      <c r="AM88" s="5" t="s">
        <v>12</v>
      </c>
      <c r="AN88" s="5" t="s">
        <v>12</v>
      </c>
      <c r="AO88" s="5" t="s">
        <v>11</v>
      </c>
      <c r="AP88" s="5" t="s">
        <v>11</v>
      </c>
      <c r="AQ88" s="5" t="s">
        <v>10</v>
      </c>
      <c r="AR88" s="5" t="s">
        <v>9</v>
      </c>
    </row>
    <row r="89" spans="1:44" ht="31.5" x14ac:dyDescent="0.25">
      <c r="A89" s="10">
        <v>46096</v>
      </c>
      <c r="B89" s="5" t="s">
        <v>149</v>
      </c>
      <c r="C89" s="5" t="s">
        <v>2073</v>
      </c>
      <c r="D89" s="5" t="s">
        <v>11</v>
      </c>
      <c r="E89" s="5" t="s">
        <v>11</v>
      </c>
      <c r="F89" s="5" t="s">
        <v>11</v>
      </c>
      <c r="G89" s="5" t="s">
        <v>3413</v>
      </c>
      <c r="H89" s="5" t="s">
        <v>3414</v>
      </c>
      <c r="I89" s="6" t="str">
        <f>HYPERLINK("http://maps.yandex.ru/?ll=37.56223,55.48509&amp;spn=0.011598,0.004531&amp;z=17&amp;l=map&amp;pt=37.56223,55.48509", "55.485092//37.56223")</f>
        <v>55.485092//37.56223</v>
      </c>
      <c r="J89" s="5" t="s">
        <v>23</v>
      </c>
      <c r="K89" s="6" t="str">
        <f>HYPERLINK("http://maps.yandex.ru/?ll=37.87995,55.97966&amp;spn=0.011598,0.004531&amp;z=17&amp;l=map&amp;pt=37.87995,55.97966", "55.979664//37.87995")</f>
        <v>55.979664//37.87995</v>
      </c>
      <c r="L89" s="5" t="s">
        <v>56</v>
      </c>
      <c r="M89" s="5" t="s">
        <v>1440</v>
      </c>
      <c r="N89" s="5" t="s">
        <v>3415</v>
      </c>
      <c r="O89" s="5" t="s">
        <v>238</v>
      </c>
      <c r="P89" s="5">
        <v>10</v>
      </c>
      <c r="Q89" s="5">
        <v>86</v>
      </c>
      <c r="R89" s="5">
        <v>3</v>
      </c>
      <c r="S89" s="5">
        <v>132.74</v>
      </c>
      <c r="T89" s="5" t="s">
        <v>2105</v>
      </c>
      <c r="U89" s="5" t="s">
        <v>3416</v>
      </c>
      <c r="V89" s="5" t="s">
        <v>3417</v>
      </c>
      <c r="W89" s="5">
        <v>5.53</v>
      </c>
      <c r="X89" s="5">
        <v>54.08</v>
      </c>
      <c r="Y89" s="5">
        <v>128</v>
      </c>
      <c r="Z89" s="5" t="s">
        <v>12</v>
      </c>
      <c r="AA89" s="5" t="s">
        <v>12</v>
      </c>
      <c r="AB89" s="5" t="s">
        <v>12</v>
      </c>
      <c r="AC89" s="5" t="s">
        <v>12</v>
      </c>
      <c r="AD89" s="5" t="s">
        <v>12</v>
      </c>
      <c r="AE89" s="5" t="s">
        <v>12</v>
      </c>
      <c r="AF89" s="5" t="s">
        <v>12</v>
      </c>
      <c r="AG89" s="5"/>
      <c r="AH89" s="5">
        <v>0</v>
      </c>
      <c r="AI89" s="5"/>
      <c r="AJ89" s="5">
        <v>0</v>
      </c>
      <c r="AK89" s="5">
        <v>0</v>
      </c>
      <c r="AL89" s="5" t="s">
        <v>12</v>
      </c>
      <c r="AM89" s="5" t="s">
        <v>12</v>
      </c>
      <c r="AN89" s="5" t="s">
        <v>12</v>
      </c>
      <c r="AO89" s="5" t="s">
        <v>11</v>
      </c>
      <c r="AP89" s="5" t="s">
        <v>11</v>
      </c>
      <c r="AQ89" s="5" t="s">
        <v>147</v>
      </c>
      <c r="AR89" s="5" t="s">
        <v>146</v>
      </c>
    </row>
    <row r="90" spans="1:44" ht="31.5" x14ac:dyDescent="0.25">
      <c r="A90" s="10">
        <v>46096</v>
      </c>
      <c r="B90" s="5" t="s">
        <v>1311</v>
      </c>
      <c r="C90" s="5" t="s">
        <v>2155</v>
      </c>
      <c r="D90" s="5" t="s">
        <v>11</v>
      </c>
      <c r="E90" s="5" t="s">
        <v>6</v>
      </c>
      <c r="F90" s="5" t="s">
        <v>6</v>
      </c>
      <c r="G90" s="5" t="s">
        <v>3418</v>
      </c>
      <c r="H90" s="5" t="s">
        <v>3419</v>
      </c>
      <c r="I90" s="6" t="str">
        <f>HYPERLINK("http://maps.yandex.ru/?ll=51.998672,55.81463&amp;spn=0.011598,0.004531&amp;z=17&amp;l=map&amp;pt=51.998672,55.81463", "55.814636//51.998672")</f>
        <v>55.814636//51.998672</v>
      </c>
      <c r="J90" s="5" t="s">
        <v>28</v>
      </c>
      <c r="K90" s="6" t="str">
        <f>HYPERLINK("http://maps.yandex.ru/?ll=48.834625,55.84906&amp;spn=0.011598,0.004531&amp;z=17&amp;l=map&amp;pt=48.834625,55.84906", "55.849068//48.834625")</f>
        <v>55.849068//48.834625</v>
      </c>
      <c r="L90" s="5" t="s">
        <v>28</v>
      </c>
      <c r="M90" s="5" t="s">
        <v>3420</v>
      </c>
      <c r="N90" s="5" t="s">
        <v>3237</v>
      </c>
      <c r="O90" s="5" t="s">
        <v>732</v>
      </c>
      <c r="P90" s="5">
        <v>16</v>
      </c>
      <c r="Q90" s="5">
        <v>54</v>
      </c>
      <c r="R90" s="5">
        <v>30</v>
      </c>
      <c r="S90" s="5">
        <v>258.36500000000001</v>
      </c>
      <c r="T90" s="5" t="s">
        <v>1611</v>
      </c>
      <c r="U90" s="5" t="s">
        <v>3421</v>
      </c>
      <c r="V90" s="5" t="s">
        <v>3422</v>
      </c>
      <c r="W90" s="5">
        <v>10.77</v>
      </c>
      <c r="X90" s="5">
        <v>67.33</v>
      </c>
      <c r="Y90" s="5">
        <v>103</v>
      </c>
      <c r="Z90" s="5" t="s">
        <v>1574</v>
      </c>
      <c r="AA90" s="5" t="s">
        <v>2798</v>
      </c>
      <c r="AB90" s="5" t="s">
        <v>19</v>
      </c>
      <c r="AC90" s="5" t="s">
        <v>19</v>
      </c>
      <c r="AD90" s="5" t="s">
        <v>19</v>
      </c>
      <c r="AE90" s="5" t="s">
        <v>2866</v>
      </c>
      <c r="AF90" s="5" t="s">
        <v>3423</v>
      </c>
      <c r="AG90" s="5"/>
      <c r="AH90" s="5">
        <v>0</v>
      </c>
      <c r="AI90" s="5"/>
      <c r="AJ90" s="5">
        <v>0</v>
      </c>
      <c r="AK90" s="5">
        <v>0</v>
      </c>
      <c r="AL90" s="5" t="s">
        <v>12</v>
      </c>
      <c r="AM90" s="5" t="s">
        <v>12</v>
      </c>
      <c r="AN90" s="5" t="s">
        <v>12</v>
      </c>
      <c r="AO90" s="5" t="s">
        <v>11</v>
      </c>
      <c r="AP90" s="5" t="s">
        <v>11</v>
      </c>
      <c r="AQ90" s="5" t="s">
        <v>92</v>
      </c>
      <c r="AR90" s="5" t="s">
        <v>91</v>
      </c>
    </row>
    <row r="91" spans="1:44" ht="15.75" x14ac:dyDescent="0.25">
      <c r="A91" s="10">
        <v>46096</v>
      </c>
      <c r="B91" s="5" t="s">
        <v>1310</v>
      </c>
      <c r="C91" s="5" t="s">
        <v>2158</v>
      </c>
      <c r="D91" s="5" t="s">
        <v>11</v>
      </c>
      <c r="E91" s="5" t="s">
        <v>11</v>
      </c>
      <c r="F91" s="5" t="s">
        <v>11</v>
      </c>
      <c r="G91" s="5" t="s">
        <v>11</v>
      </c>
      <c r="H91" s="5" t="s">
        <v>11</v>
      </c>
      <c r="I91" s="6" t="str">
        <f>HYPERLINK("http://maps.yandex.ru/?ll=,&amp;spn=0.011598,0.004531&amp;z=17&amp;l=map&amp;pt=,", "")</f>
        <v/>
      </c>
      <c r="J91" s="5" t="s">
        <v>84</v>
      </c>
      <c r="K91" s="6" t="str">
        <f>HYPERLINK("http://maps.yandex.ru/?ll=,&amp;spn=0.011598,0.004531&amp;z=17&amp;l=map&amp;pt=,", "")</f>
        <v/>
      </c>
      <c r="L91" s="5" t="s">
        <v>84</v>
      </c>
      <c r="M91" s="5" t="s">
        <v>13</v>
      </c>
      <c r="N91" s="5" t="s">
        <v>13</v>
      </c>
      <c r="O91" s="5" t="s">
        <v>58</v>
      </c>
      <c r="P91" s="5">
        <v>0</v>
      </c>
      <c r="Q91" s="5">
        <v>0</v>
      </c>
      <c r="R91" s="5">
        <v>100</v>
      </c>
      <c r="S91" s="5">
        <v>0</v>
      </c>
      <c r="T91" s="5" t="s">
        <v>12</v>
      </c>
      <c r="U91" s="5" t="s">
        <v>12</v>
      </c>
      <c r="V91" s="5" t="s">
        <v>12</v>
      </c>
      <c r="W91" s="5">
        <v>0</v>
      </c>
      <c r="X91" s="5">
        <v>0</v>
      </c>
      <c r="Y91" s="5">
        <v>0</v>
      </c>
      <c r="Z91" s="5" t="s">
        <v>12</v>
      </c>
      <c r="AA91" s="5" t="s">
        <v>12</v>
      </c>
      <c r="AB91" s="5" t="s">
        <v>12</v>
      </c>
      <c r="AC91" s="5" t="s">
        <v>12</v>
      </c>
      <c r="AD91" s="5" t="s">
        <v>12</v>
      </c>
      <c r="AE91" s="5" t="s">
        <v>12</v>
      </c>
      <c r="AF91" s="5" t="s">
        <v>12</v>
      </c>
      <c r="AG91" s="5"/>
      <c r="AH91" s="5">
        <v>0</v>
      </c>
      <c r="AI91" s="5"/>
      <c r="AJ91" s="5"/>
      <c r="AK91" s="5"/>
      <c r="AL91" s="5" t="s">
        <v>12</v>
      </c>
      <c r="AM91" s="5" t="s">
        <v>12</v>
      </c>
      <c r="AN91" s="5" t="s">
        <v>12</v>
      </c>
      <c r="AO91" s="5" t="s">
        <v>11</v>
      </c>
      <c r="AP91" s="5" t="s">
        <v>11</v>
      </c>
      <c r="AQ91" s="5" t="s">
        <v>147</v>
      </c>
      <c r="AR91" s="5" t="s">
        <v>146</v>
      </c>
    </row>
    <row r="92" spans="1:44" ht="31.5" x14ac:dyDescent="0.25">
      <c r="A92" s="10">
        <v>46096</v>
      </c>
      <c r="B92" s="5" t="s">
        <v>1309</v>
      </c>
      <c r="C92" s="5" t="s">
        <v>2159</v>
      </c>
      <c r="D92" s="5" t="s">
        <v>11</v>
      </c>
      <c r="E92" s="5" t="s">
        <v>1</v>
      </c>
      <c r="F92" s="5" t="s">
        <v>1</v>
      </c>
      <c r="G92" s="5" t="s">
        <v>3103</v>
      </c>
      <c r="H92" s="5" t="s">
        <v>3424</v>
      </c>
      <c r="I92" s="6" t="str">
        <f>HYPERLINK("http://maps.yandex.ru/?ll=38.15397,54.26153&amp;spn=0.011598,0.004531&amp;z=17&amp;l=map&amp;pt=38.15397,54.26153", "54.261536//38.15397")</f>
        <v>54.261536//38.15397</v>
      </c>
      <c r="J92" s="5" t="s">
        <v>168</v>
      </c>
      <c r="K92" s="6" t="str">
        <f>HYPERLINK("http://maps.yandex.ru/?ll=36.99231,55.81717&amp;spn=0.011598,0.004531&amp;z=17&amp;l=map&amp;pt=36.99231,55.81717", "55.817177//36.99231")</f>
        <v>55.817177//36.99231</v>
      </c>
      <c r="L92" s="5" t="s">
        <v>56</v>
      </c>
      <c r="M92" s="5" t="s">
        <v>1218</v>
      </c>
      <c r="N92" s="5" t="s">
        <v>3109</v>
      </c>
      <c r="O92" s="5" t="s">
        <v>900</v>
      </c>
      <c r="P92" s="5">
        <v>15</v>
      </c>
      <c r="Q92" s="5">
        <v>47</v>
      </c>
      <c r="R92" s="5">
        <v>38</v>
      </c>
      <c r="S92" s="5">
        <v>244.44900000000001</v>
      </c>
      <c r="T92" s="5" t="s">
        <v>1605</v>
      </c>
      <c r="U92" s="5" t="s">
        <v>3425</v>
      </c>
      <c r="V92" s="5" t="s">
        <v>3426</v>
      </c>
      <c r="W92" s="5">
        <v>10.19</v>
      </c>
      <c r="X92" s="5">
        <v>69.260000000000005</v>
      </c>
      <c r="Y92" s="5">
        <v>123</v>
      </c>
      <c r="Z92" s="5" t="s">
        <v>1583</v>
      </c>
      <c r="AA92" s="5" t="s">
        <v>2213</v>
      </c>
      <c r="AB92" s="5" t="s">
        <v>19</v>
      </c>
      <c r="AC92" s="5" t="s">
        <v>19</v>
      </c>
      <c r="AD92" s="5" t="s">
        <v>19</v>
      </c>
      <c r="AE92" s="5" t="s">
        <v>3427</v>
      </c>
      <c r="AF92" s="5" t="s">
        <v>3428</v>
      </c>
      <c r="AG92" s="5">
        <v>122</v>
      </c>
      <c r="AH92" s="5">
        <v>2</v>
      </c>
      <c r="AI92" s="5">
        <v>120</v>
      </c>
      <c r="AJ92" s="5">
        <v>51.48</v>
      </c>
      <c r="AK92" s="5">
        <v>50.63</v>
      </c>
      <c r="AL92" s="5" t="s">
        <v>12</v>
      </c>
      <c r="AM92" s="5" t="s">
        <v>12</v>
      </c>
      <c r="AN92" s="5" t="s">
        <v>12</v>
      </c>
      <c r="AO92" s="5" t="s">
        <v>11</v>
      </c>
      <c r="AP92" s="5" t="s">
        <v>11</v>
      </c>
      <c r="AQ92" s="5" t="s">
        <v>18</v>
      </c>
      <c r="AR92" s="5" t="s">
        <v>74</v>
      </c>
    </row>
    <row r="93" spans="1:44" ht="31.5" x14ac:dyDescent="0.25">
      <c r="A93" s="10">
        <v>46096</v>
      </c>
      <c r="B93" s="5" t="s">
        <v>1307</v>
      </c>
      <c r="C93" s="5" t="s">
        <v>2162</v>
      </c>
      <c r="D93" s="5" t="s">
        <v>11</v>
      </c>
      <c r="E93" s="5" t="s">
        <v>8</v>
      </c>
      <c r="F93" s="5" t="s">
        <v>8</v>
      </c>
      <c r="G93" s="5" t="s">
        <v>3429</v>
      </c>
      <c r="H93" s="5" t="s">
        <v>3430</v>
      </c>
      <c r="I93" s="6" t="str">
        <f>HYPERLINK("http://maps.yandex.ru/?ll=45.87928,54.39787&amp;spn=0.011598,0.004531&amp;z=17&amp;l=map&amp;pt=45.87928,54.39787", "54.397877//45.87928")</f>
        <v>54.397877//45.87928</v>
      </c>
      <c r="J93" s="5" t="s">
        <v>467</v>
      </c>
      <c r="K93" s="6" t="str">
        <f>HYPERLINK("http://maps.yandex.ru/?ll=50.41311,53.48616&amp;spn=0.011598,0.004531&amp;z=17&amp;l=map&amp;pt=50.41311,53.48616", "53.486168//50.41311")</f>
        <v>53.486168//50.41311</v>
      </c>
      <c r="L93" s="5" t="s">
        <v>76</v>
      </c>
      <c r="M93" s="5" t="s">
        <v>719</v>
      </c>
      <c r="N93" s="5" t="s">
        <v>1410</v>
      </c>
      <c r="O93" s="5" t="s">
        <v>456</v>
      </c>
      <c r="P93" s="5">
        <v>28</v>
      </c>
      <c r="Q93" s="5">
        <v>67</v>
      </c>
      <c r="R93" s="5">
        <v>5</v>
      </c>
      <c r="S93" s="5">
        <v>423.09800000000001</v>
      </c>
      <c r="T93" s="5" t="s">
        <v>12</v>
      </c>
      <c r="U93" s="5" t="s">
        <v>12</v>
      </c>
      <c r="V93" s="5" t="s">
        <v>12</v>
      </c>
      <c r="W93" s="5">
        <v>17.63</v>
      </c>
      <c r="X93" s="5">
        <v>62.25</v>
      </c>
      <c r="Y93" s="5">
        <v>141</v>
      </c>
      <c r="Z93" s="5" t="s">
        <v>12</v>
      </c>
      <c r="AA93" s="5" t="s">
        <v>12</v>
      </c>
      <c r="AB93" s="5" t="s">
        <v>12</v>
      </c>
      <c r="AC93" s="5" t="s">
        <v>12</v>
      </c>
      <c r="AD93" s="5" t="s">
        <v>12</v>
      </c>
      <c r="AE93" s="5" t="s">
        <v>12</v>
      </c>
      <c r="AF93" s="5" t="s">
        <v>12</v>
      </c>
      <c r="AG93" s="5"/>
      <c r="AH93" s="5"/>
      <c r="AI93" s="5"/>
      <c r="AJ93" s="5"/>
      <c r="AK93" s="5"/>
      <c r="AL93" s="5" t="s">
        <v>12</v>
      </c>
      <c r="AM93" s="5" t="s">
        <v>12</v>
      </c>
      <c r="AN93" s="5" t="s">
        <v>12</v>
      </c>
      <c r="AO93" s="5" t="s">
        <v>69</v>
      </c>
      <c r="AP93" s="5" t="s">
        <v>68</v>
      </c>
      <c r="AQ93" s="5" t="s">
        <v>67</v>
      </c>
      <c r="AR93" s="5" t="s">
        <v>66</v>
      </c>
    </row>
    <row r="94" spans="1:44" ht="15.75" x14ac:dyDescent="0.25">
      <c r="A94" s="10">
        <v>46096</v>
      </c>
      <c r="B94" s="5" t="s">
        <v>1306</v>
      </c>
      <c r="C94" s="5" t="s">
        <v>2163</v>
      </c>
      <c r="D94" s="5" t="s">
        <v>11</v>
      </c>
      <c r="E94" s="5" t="s">
        <v>11</v>
      </c>
      <c r="F94" s="5" t="s">
        <v>11</v>
      </c>
      <c r="G94" s="5" t="s">
        <v>11</v>
      </c>
      <c r="H94" s="5" t="s">
        <v>11</v>
      </c>
      <c r="I94" s="6" t="str">
        <f>HYPERLINK("http://maps.yandex.ru/?ll=,&amp;spn=0.011598,0.004531&amp;z=17&amp;l=map&amp;pt=,", "")</f>
        <v/>
      </c>
      <c r="J94" s="5" t="s">
        <v>84</v>
      </c>
      <c r="K94" s="6" t="str">
        <f>HYPERLINK("http://maps.yandex.ru/?ll=,&amp;spn=0.011598,0.004531&amp;z=17&amp;l=map&amp;pt=,", "")</f>
        <v/>
      </c>
      <c r="L94" s="5" t="s">
        <v>84</v>
      </c>
      <c r="M94" s="5" t="s">
        <v>13</v>
      </c>
      <c r="N94" s="5" t="s">
        <v>13</v>
      </c>
      <c r="O94" s="5" t="s">
        <v>58</v>
      </c>
      <c r="P94" s="5">
        <v>0</v>
      </c>
      <c r="Q94" s="5">
        <v>0</v>
      </c>
      <c r="R94" s="5">
        <v>100</v>
      </c>
      <c r="S94" s="5">
        <v>0</v>
      </c>
      <c r="T94" s="5" t="s">
        <v>12</v>
      </c>
      <c r="U94" s="5" t="s">
        <v>12</v>
      </c>
      <c r="V94" s="5" t="s">
        <v>12</v>
      </c>
      <c r="W94" s="5">
        <v>0</v>
      </c>
      <c r="X94" s="5">
        <v>0</v>
      </c>
      <c r="Y94" s="5">
        <v>0</v>
      </c>
      <c r="Z94" s="5" t="s">
        <v>12</v>
      </c>
      <c r="AA94" s="5" t="s">
        <v>12</v>
      </c>
      <c r="AB94" s="5" t="s">
        <v>19</v>
      </c>
      <c r="AC94" s="5" t="s">
        <v>19</v>
      </c>
      <c r="AD94" s="5" t="s">
        <v>19</v>
      </c>
      <c r="AE94" s="5" t="s">
        <v>12</v>
      </c>
      <c r="AF94" s="5" t="s">
        <v>12</v>
      </c>
      <c r="AG94" s="5"/>
      <c r="AH94" s="5">
        <v>0</v>
      </c>
      <c r="AI94" s="5"/>
      <c r="AJ94" s="5"/>
      <c r="AK94" s="5"/>
      <c r="AL94" s="5" t="s">
        <v>12</v>
      </c>
      <c r="AM94" s="5" t="s">
        <v>12</v>
      </c>
      <c r="AN94" s="5" t="s">
        <v>12</v>
      </c>
      <c r="AO94" s="5" t="s">
        <v>11</v>
      </c>
      <c r="AP94" s="5" t="s">
        <v>11</v>
      </c>
      <c r="AQ94" s="5" t="s">
        <v>37</v>
      </c>
      <c r="AR94" s="5" t="s">
        <v>794</v>
      </c>
    </row>
    <row r="95" spans="1:44" ht="15.75" x14ac:dyDescent="0.25">
      <c r="A95" s="10">
        <v>46096</v>
      </c>
      <c r="B95" s="5" t="s">
        <v>1305</v>
      </c>
      <c r="C95" s="5" t="s">
        <v>2164</v>
      </c>
      <c r="D95" s="5" t="s">
        <v>11</v>
      </c>
      <c r="E95" s="5" t="s">
        <v>11</v>
      </c>
      <c r="F95" s="5" t="s">
        <v>11</v>
      </c>
      <c r="G95" s="5" t="s">
        <v>11</v>
      </c>
      <c r="H95" s="5" t="s">
        <v>11</v>
      </c>
      <c r="I95" s="6" t="str">
        <f>HYPERLINK("http://maps.yandex.ru/?ll=,&amp;spn=0.011598,0.004531&amp;z=17&amp;l=map&amp;pt=,", "")</f>
        <v/>
      </c>
      <c r="J95" s="5" t="s">
        <v>84</v>
      </c>
      <c r="K95" s="6" t="str">
        <f>HYPERLINK("http://maps.yandex.ru/?ll=,&amp;spn=0.011598,0.004531&amp;z=17&amp;l=map&amp;pt=,", "")</f>
        <v/>
      </c>
      <c r="L95" s="5" t="s">
        <v>84</v>
      </c>
      <c r="M95" s="5" t="s">
        <v>13</v>
      </c>
      <c r="N95" s="5" t="s">
        <v>13</v>
      </c>
      <c r="O95" s="5" t="s">
        <v>58</v>
      </c>
      <c r="P95" s="5">
        <v>0</v>
      </c>
      <c r="Q95" s="5">
        <v>0</v>
      </c>
      <c r="R95" s="5">
        <v>100</v>
      </c>
      <c r="S95" s="5">
        <v>0</v>
      </c>
      <c r="T95" s="5" t="s">
        <v>12</v>
      </c>
      <c r="U95" s="5" t="s">
        <v>12</v>
      </c>
      <c r="V95" s="5" t="s">
        <v>12</v>
      </c>
      <c r="W95" s="5">
        <v>0</v>
      </c>
      <c r="X95" s="5">
        <v>0</v>
      </c>
      <c r="Y95" s="5">
        <v>0</v>
      </c>
      <c r="Z95" s="5" t="s">
        <v>12</v>
      </c>
      <c r="AA95" s="5" t="s">
        <v>12</v>
      </c>
      <c r="AB95" s="5" t="s">
        <v>12</v>
      </c>
      <c r="AC95" s="5" t="s">
        <v>12</v>
      </c>
      <c r="AD95" s="5" t="s">
        <v>12</v>
      </c>
      <c r="AE95" s="5" t="s">
        <v>12</v>
      </c>
      <c r="AF95" s="5" t="s">
        <v>12</v>
      </c>
      <c r="AG95" s="5"/>
      <c r="AH95" s="5">
        <v>0</v>
      </c>
      <c r="AI95" s="5"/>
      <c r="AJ95" s="5"/>
      <c r="AK95" s="5"/>
      <c r="AL95" s="5" t="s">
        <v>12</v>
      </c>
      <c r="AM95" s="5" t="s">
        <v>12</v>
      </c>
      <c r="AN95" s="5" t="s">
        <v>12</v>
      </c>
      <c r="AO95" s="5" t="s">
        <v>11</v>
      </c>
      <c r="AP95" s="5" t="s">
        <v>11</v>
      </c>
      <c r="AQ95" s="5" t="s">
        <v>37</v>
      </c>
      <c r="AR95" s="5" t="s">
        <v>794</v>
      </c>
    </row>
    <row r="96" spans="1:44" ht="31.5" x14ac:dyDescent="0.25">
      <c r="A96" s="10">
        <v>46096</v>
      </c>
      <c r="B96" s="5" t="s">
        <v>1304</v>
      </c>
      <c r="C96" s="5" t="s">
        <v>2165</v>
      </c>
      <c r="D96" s="5" t="s">
        <v>11</v>
      </c>
      <c r="E96" s="5" t="s">
        <v>3</v>
      </c>
      <c r="F96" s="5" t="s">
        <v>3</v>
      </c>
      <c r="G96" s="5" t="s">
        <v>3103</v>
      </c>
      <c r="H96" s="5" t="s">
        <v>3121</v>
      </c>
      <c r="I96" s="6" t="str">
        <f>HYPERLINK("http://maps.yandex.ru/?ll=44.14174,56.19166&amp;spn=0.011598,0.004531&amp;z=17&amp;l=map&amp;pt=44.14174,56.19166", "56.191666//44.14174")</f>
        <v>56.191666//44.14174</v>
      </c>
      <c r="J96" s="5" t="s">
        <v>15</v>
      </c>
      <c r="K96" s="6" t="str">
        <f>HYPERLINK("http://maps.yandex.ru/?ll=38.330482,55.83246&amp;spn=0.011598,0.004531&amp;z=17&amp;l=map&amp;pt=38.330482,55.83246", "55.832462//38.330482")</f>
        <v>55.832462//38.330482</v>
      </c>
      <c r="L96" s="5" t="s">
        <v>56</v>
      </c>
      <c r="M96" s="5" t="s">
        <v>719</v>
      </c>
      <c r="N96" s="5" t="s">
        <v>3431</v>
      </c>
      <c r="O96" s="5" t="s">
        <v>562</v>
      </c>
      <c r="P96" s="5">
        <v>28</v>
      </c>
      <c r="Q96" s="5">
        <v>68</v>
      </c>
      <c r="R96" s="5">
        <v>4</v>
      </c>
      <c r="S96" s="5">
        <v>325.21499999999997</v>
      </c>
      <c r="T96" s="5" t="s">
        <v>12</v>
      </c>
      <c r="U96" s="5" t="s">
        <v>12</v>
      </c>
      <c r="V96" s="5" t="s">
        <v>12</v>
      </c>
      <c r="W96" s="5">
        <v>13.55</v>
      </c>
      <c r="X96" s="5">
        <v>47.93</v>
      </c>
      <c r="Y96" s="5">
        <v>107</v>
      </c>
      <c r="Z96" s="5" t="s">
        <v>12</v>
      </c>
      <c r="AA96" s="5" t="s">
        <v>12</v>
      </c>
      <c r="AB96" s="5" t="s">
        <v>12</v>
      </c>
      <c r="AC96" s="5" t="s">
        <v>12</v>
      </c>
      <c r="AD96" s="5" t="s">
        <v>12</v>
      </c>
      <c r="AE96" s="5" t="s">
        <v>12</v>
      </c>
      <c r="AF96" s="5" t="s">
        <v>12</v>
      </c>
      <c r="AG96" s="5"/>
      <c r="AH96" s="5"/>
      <c r="AI96" s="5"/>
      <c r="AJ96" s="5"/>
      <c r="AK96" s="5"/>
      <c r="AL96" s="5" t="s">
        <v>12</v>
      </c>
      <c r="AM96" s="5" t="s">
        <v>12</v>
      </c>
      <c r="AN96" s="5" t="s">
        <v>12</v>
      </c>
      <c r="AO96" s="5" t="s">
        <v>11</v>
      </c>
      <c r="AP96" s="5" t="s">
        <v>11</v>
      </c>
      <c r="AQ96" s="5" t="s">
        <v>106</v>
      </c>
      <c r="AR96" s="5" t="s">
        <v>105</v>
      </c>
    </row>
    <row r="97" spans="1:44" ht="31.5" x14ac:dyDescent="0.25">
      <c r="A97" s="10">
        <v>46096</v>
      </c>
      <c r="B97" s="5" t="s">
        <v>1301</v>
      </c>
      <c r="C97" s="5" t="s">
        <v>2166</v>
      </c>
      <c r="D97" s="5" t="s">
        <v>11</v>
      </c>
      <c r="E97" s="5" t="s">
        <v>0</v>
      </c>
      <c r="F97" s="5" t="s">
        <v>0</v>
      </c>
      <c r="G97" s="5" t="s">
        <v>3432</v>
      </c>
      <c r="H97" s="5" t="s">
        <v>3433</v>
      </c>
      <c r="I97" s="6" t="str">
        <f>HYPERLINK("http://maps.yandex.ru/?ll=42.083347,45.0441&amp;spn=0.011598,0.004531&amp;z=17&amp;l=map&amp;pt=42.083347,45.0441", "45.04411//42.083347")</f>
        <v>45.04411//42.083347</v>
      </c>
      <c r="J97" s="5" t="s">
        <v>208</v>
      </c>
      <c r="K97" s="6" t="str">
        <f>HYPERLINK("http://maps.yandex.ru/?ll=44.51308,48.783&amp;spn=0.011598,0.004531&amp;z=17&amp;l=map&amp;pt=44.51308,48.783", "48.7831//44.51308")</f>
        <v>48.7831//44.51308</v>
      </c>
      <c r="L97" s="5" t="s">
        <v>95</v>
      </c>
      <c r="M97" s="5" t="s">
        <v>3434</v>
      </c>
      <c r="N97" s="5" t="s">
        <v>1447</v>
      </c>
      <c r="O97" s="5" t="s">
        <v>3435</v>
      </c>
      <c r="P97" s="5">
        <v>24</v>
      </c>
      <c r="Q97" s="5">
        <v>67</v>
      </c>
      <c r="R97" s="5">
        <v>9</v>
      </c>
      <c r="S97" s="5">
        <v>388.68099999999998</v>
      </c>
      <c r="T97" s="5" t="s">
        <v>12</v>
      </c>
      <c r="U97" s="5" t="s">
        <v>12</v>
      </c>
      <c r="V97" s="5" t="s">
        <v>12</v>
      </c>
      <c r="W97" s="5">
        <v>16.2</v>
      </c>
      <c r="X97" s="5">
        <v>67.37</v>
      </c>
      <c r="Y97" s="5">
        <v>172</v>
      </c>
      <c r="Z97" s="5" t="s">
        <v>12</v>
      </c>
      <c r="AA97" s="5" t="s">
        <v>12</v>
      </c>
      <c r="AB97" s="5" t="s">
        <v>12</v>
      </c>
      <c r="AC97" s="5" t="s">
        <v>12</v>
      </c>
      <c r="AD97" s="5" t="s">
        <v>12</v>
      </c>
      <c r="AE97" s="5" t="s">
        <v>12</v>
      </c>
      <c r="AF97" s="5" t="s">
        <v>12</v>
      </c>
      <c r="AG97" s="5"/>
      <c r="AH97" s="5"/>
      <c r="AI97" s="5"/>
      <c r="AJ97" s="5"/>
      <c r="AK97" s="5"/>
      <c r="AL97" s="5" t="s">
        <v>12</v>
      </c>
      <c r="AM97" s="5" t="s">
        <v>12</v>
      </c>
      <c r="AN97" s="5" t="s">
        <v>12</v>
      </c>
      <c r="AO97" s="5" t="s">
        <v>11</v>
      </c>
      <c r="AP97" s="5" t="s">
        <v>11</v>
      </c>
      <c r="AQ97" s="5" t="s">
        <v>67</v>
      </c>
      <c r="AR97" s="5" t="s">
        <v>66</v>
      </c>
    </row>
    <row r="98" spans="1:44" ht="15.75" x14ac:dyDescent="0.25">
      <c r="A98" s="10">
        <v>46096</v>
      </c>
      <c r="B98" s="5" t="s">
        <v>1300</v>
      </c>
      <c r="C98" s="5" t="s">
        <v>2167</v>
      </c>
      <c r="D98" s="5" t="s">
        <v>11</v>
      </c>
      <c r="E98" s="5" t="s">
        <v>3</v>
      </c>
      <c r="F98" s="5" t="s">
        <v>3</v>
      </c>
      <c r="G98" s="5" t="s">
        <v>11</v>
      </c>
      <c r="H98" s="5" t="s">
        <v>11</v>
      </c>
      <c r="I98" s="6" t="str">
        <f>HYPERLINK("http://maps.yandex.ru/?ll=,&amp;spn=0.011598,0.004531&amp;z=17&amp;l=map&amp;pt=,", "")</f>
        <v/>
      </c>
      <c r="J98" s="5" t="s">
        <v>84</v>
      </c>
      <c r="K98" s="6" t="str">
        <f>HYPERLINK("http://maps.yandex.ru/?ll=,&amp;spn=0.011598,0.004531&amp;z=17&amp;l=map&amp;pt=,", "")</f>
        <v/>
      </c>
      <c r="L98" s="5" t="s">
        <v>84</v>
      </c>
      <c r="M98" s="5" t="s">
        <v>13</v>
      </c>
      <c r="N98" s="5" t="s">
        <v>13</v>
      </c>
      <c r="O98" s="5" t="s">
        <v>58</v>
      </c>
      <c r="P98" s="5">
        <v>0</v>
      </c>
      <c r="Q98" s="5">
        <v>0</v>
      </c>
      <c r="R98" s="5">
        <v>100</v>
      </c>
      <c r="S98" s="5">
        <v>0</v>
      </c>
      <c r="T98" s="5" t="s">
        <v>12</v>
      </c>
      <c r="U98" s="5" t="s">
        <v>12</v>
      </c>
      <c r="V98" s="5" t="s">
        <v>12</v>
      </c>
      <c r="W98" s="5">
        <v>0</v>
      </c>
      <c r="X98" s="5">
        <v>0</v>
      </c>
      <c r="Y98" s="5">
        <v>0</v>
      </c>
      <c r="Z98" s="5" t="s">
        <v>12</v>
      </c>
      <c r="AA98" s="5" t="s">
        <v>12</v>
      </c>
      <c r="AB98" s="5" t="s">
        <v>12</v>
      </c>
      <c r="AC98" s="5" t="s">
        <v>12</v>
      </c>
      <c r="AD98" s="5" t="s">
        <v>12</v>
      </c>
      <c r="AE98" s="5" t="s">
        <v>12</v>
      </c>
      <c r="AF98" s="5" t="s">
        <v>12</v>
      </c>
      <c r="AG98" s="5"/>
      <c r="AH98" s="5"/>
      <c r="AI98" s="5"/>
      <c r="AJ98" s="5"/>
      <c r="AK98" s="5"/>
      <c r="AL98" s="5" t="s">
        <v>12</v>
      </c>
      <c r="AM98" s="5" t="s">
        <v>12</v>
      </c>
      <c r="AN98" s="5" t="s">
        <v>12</v>
      </c>
      <c r="AO98" s="5" t="s">
        <v>11</v>
      </c>
      <c r="AP98" s="5" t="s">
        <v>11</v>
      </c>
      <c r="AQ98" s="5" t="s">
        <v>106</v>
      </c>
      <c r="AR98" s="5" t="s">
        <v>105</v>
      </c>
    </row>
    <row r="99" spans="1:44" ht="31.5" x14ac:dyDescent="0.25">
      <c r="A99" s="10">
        <v>46096</v>
      </c>
      <c r="B99" s="5" t="s">
        <v>1299</v>
      </c>
      <c r="C99" s="5" t="s">
        <v>2168</v>
      </c>
      <c r="D99" s="5" t="s">
        <v>11</v>
      </c>
      <c r="E99" s="5" t="s">
        <v>1</v>
      </c>
      <c r="F99" s="5" t="s">
        <v>1</v>
      </c>
      <c r="G99" s="5" t="s">
        <v>3436</v>
      </c>
      <c r="H99" s="5" t="s">
        <v>3437</v>
      </c>
      <c r="I99" s="6" t="str">
        <f>HYPERLINK("http://maps.yandex.ru/?ll=62.168056,55.21949&amp;spn=0.011598,0.004531&amp;z=17&amp;l=map&amp;pt=62.168056,55.21949", "55.219494//62.168056")</f>
        <v>55.219494//62.168056</v>
      </c>
      <c r="J99" s="5" t="s">
        <v>361</v>
      </c>
      <c r="K99" s="6" t="str">
        <f>HYPERLINK("http://maps.yandex.ru/?ll=71.37385,56.03822&amp;spn=0.011598,0.004531&amp;z=17&amp;l=map&amp;pt=71.37385,56.03822", "56.038223//71.37385")</f>
        <v>56.038223//71.37385</v>
      </c>
      <c r="L99" s="5" t="s">
        <v>190</v>
      </c>
      <c r="M99" s="5" t="s">
        <v>923</v>
      </c>
      <c r="N99" s="5" t="s">
        <v>922</v>
      </c>
      <c r="O99" s="5" t="s">
        <v>13</v>
      </c>
      <c r="P99" s="5">
        <v>39</v>
      </c>
      <c r="Q99" s="5">
        <v>61</v>
      </c>
      <c r="R99" s="5">
        <v>0</v>
      </c>
      <c r="S99" s="5">
        <v>662.33199999999999</v>
      </c>
      <c r="T99" s="5" t="s">
        <v>12</v>
      </c>
      <c r="U99" s="5" t="s">
        <v>12</v>
      </c>
      <c r="V99" s="5" t="s">
        <v>12</v>
      </c>
      <c r="W99" s="5">
        <v>27.6</v>
      </c>
      <c r="X99" s="5">
        <v>70.010000000000005</v>
      </c>
      <c r="Y99" s="5">
        <v>95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5" t="s">
        <v>12</v>
      </c>
      <c r="AF99" s="5" t="s">
        <v>12</v>
      </c>
      <c r="AG99" s="5"/>
      <c r="AH99" s="5"/>
      <c r="AI99" s="5"/>
      <c r="AJ99" s="5"/>
      <c r="AK99" s="5"/>
      <c r="AL99" s="5" t="s">
        <v>12</v>
      </c>
      <c r="AM99" s="5" t="s">
        <v>12</v>
      </c>
      <c r="AN99" s="5" t="s">
        <v>12</v>
      </c>
      <c r="AO99" s="5" t="s">
        <v>11</v>
      </c>
      <c r="AP99" s="5" t="s">
        <v>11</v>
      </c>
      <c r="AQ99" s="5" t="s">
        <v>67</v>
      </c>
      <c r="AR99" s="5" t="s">
        <v>66</v>
      </c>
    </row>
    <row r="100" spans="1:44" ht="31.5" x14ac:dyDescent="0.25">
      <c r="A100" s="10">
        <v>46096</v>
      </c>
      <c r="B100" s="5" t="s">
        <v>1297</v>
      </c>
      <c r="C100" s="5" t="s">
        <v>2169</v>
      </c>
      <c r="D100" s="5" t="s">
        <v>11</v>
      </c>
      <c r="E100" s="5" t="s">
        <v>3</v>
      </c>
      <c r="F100" s="5" t="s">
        <v>3</v>
      </c>
      <c r="G100" s="5" t="s">
        <v>3438</v>
      </c>
      <c r="H100" s="5" t="s">
        <v>3439</v>
      </c>
      <c r="I100" s="6" t="str">
        <f>HYPERLINK("http://maps.yandex.ru/?ll=38.83284,55.11453&amp;spn=0.011598,0.004531&amp;z=17&amp;l=map&amp;pt=38.83284,55.11453", "55.114536//38.83284")</f>
        <v>55.114536//38.83284</v>
      </c>
      <c r="J100" s="5" t="s">
        <v>56</v>
      </c>
      <c r="K100" s="6" t="str">
        <f>HYPERLINK("http://maps.yandex.ru/?ll=36.315582,56.71454&amp;spn=0.011598,0.004531&amp;z=17&amp;l=map&amp;pt=36.315582,56.71454", "56.714546//36.315582")</f>
        <v>56.714546//36.315582</v>
      </c>
      <c r="L100" s="5" t="s">
        <v>50</v>
      </c>
      <c r="M100" s="5" t="s">
        <v>1320</v>
      </c>
      <c r="N100" s="5" t="s">
        <v>3440</v>
      </c>
      <c r="O100" s="5" t="s">
        <v>1432</v>
      </c>
      <c r="P100" s="5">
        <v>19</v>
      </c>
      <c r="Q100" s="5">
        <v>76</v>
      </c>
      <c r="R100" s="5">
        <v>5</v>
      </c>
      <c r="S100" s="5">
        <v>260.38299999999998</v>
      </c>
      <c r="T100" s="5" t="s">
        <v>12</v>
      </c>
      <c r="U100" s="5" t="s">
        <v>12</v>
      </c>
      <c r="V100" s="5" t="s">
        <v>12</v>
      </c>
      <c r="W100" s="5">
        <v>10.85</v>
      </c>
      <c r="X100" s="5">
        <v>57.78</v>
      </c>
      <c r="Y100" s="5">
        <v>99</v>
      </c>
      <c r="Z100" s="5" t="s">
        <v>1675</v>
      </c>
      <c r="AA100" s="5" t="s">
        <v>2051</v>
      </c>
      <c r="AB100" s="5" t="s">
        <v>19</v>
      </c>
      <c r="AC100" s="5" t="s">
        <v>19</v>
      </c>
      <c r="AD100" s="5" t="s">
        <v>19</v>
      </c>
      <c r="AE100" s="5" t="s">
        <v>1671</v>
      </c>
      <c r="AF100" s="5" t="s">
        <v>12</v>
      </c>
      <c r="AG100" s="5"/>
      <c r="AH100" s="5"/>
      <c r="AI100" s="5"/>
      <c r="AJ100" s="5"/>
      <c r="AK100" s="5"/>
      <c r="AL100" s="5" t="s">
        <v>3441</v>
      </c>
      <c r="AM100" s="5" t="s">
        <v>3441</v>
      </c>
      <c r="AN100" s="5" t="s">
        <v>19</v>
      </c>
      <c r="AO100" s="5" t="s">
        <v>69</v>
      </c>
      <c r="AP100" s="5" t="s">
        <v>68</v>
      </c>
      <c r="AQ100" s="5" t="s">
        <v>67</v>
      </c>
      <c r="AR100" s="5" t="s">
        <v>66</v>
      </c>
    </row>
    <row r="101" spans="1:44" ht="15.75" x14ac:dyDescent="0.25">
      <c r="A101" s="10">
        <v>46096</v>
      </c>
      <c r="B101" s="5" t="s">
        <v>1296</v>
      </c>
      <c r="C101" s="5" t="s">
        <v>2170</v>
      </c>
      <c r="D101" s="5" t="s">
        <v>11</v>
      </c>
      <c r="E101" s="5" t="s">
        <v>3</v>
      </c>
      <c r="F101" s="5" t="s">
        <v>3</v>
      </c>
      <c r="G101" s="5" t="s">
        <v>11</v>
      </c>
      <c r="H101" s="5" t="s">
        <v>11</v>
      </c>
      <c r="I101" s="6" t="str">
        <f>HYPERLINK("http://maps.yandex.ru/?ll=,&amp;spn=0.011598,0.004531&amp;z=17&amp;l=map&amp;pt=,", "")</f>
        <v/>
      </c>
      <c r="J101" s="5" t="s">
        <v>84</v>
      </c>
      <c r="K101" s="6" t="str">
        <f>HYPERLINK("http://maps.yandex.ru/?ll=,&amp;spn=0.011598,0.004531&amp;z=17&amp;l=map&amp;pt=,", "")</f>
        <v/>
      </c>
      <c r="L101" s="5" t="s">
        <v>84</v>
      </c>
      <c r="M101" s="5" t="s">
        <v>13</v>
      </c>
      <c r="N101" s="5" t="s">
        <v>511</v>
      </c>
      <c r="O101" s="5" t="s">
        <v>3442</v>
      </c>
      <c r="P101" s="5">
        <v>0</v>
      </c>
      <c r="Q101" s="5">
        <v>42</v>
      </c>
      <c r="R101" s="5">
        <v>58</v>
      </c>
      <c r="S101" s="5">
        <v>0</v>
      </c>
      <c r="T101" s="5" t="s">
        <v>12</v>
      </c>
      <c r="U101" s="5" t="s">
        <v>12</v>
      </c>
      <c r="V101" s="5" t="s">
        <v>12</v>
      </c>
      <c r="W101" s="5">
        <v>0</v>
      </c>
      <c r="X101" s="5">
        <v>0</v>
      </c>
      <c r="Y101" s="5">
        <v>0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5" t="s">
        <v>12</v>
      </c>
      <c r="AF101" s="5" t="s">
        <v>12</v>
      </c>
      <c r="AG101" s="5"/>
      <c r="AH101" s="5"/>
      <c r="AI101" s="5"/>
      <c r="AJ101" s="5"/>
      <c r="AK101" s="5"/>
      <c r="AL101" s="5" t="s">
        <v>12</v>
      </c>
      <c r="AM101" s="5" t="s">
        <v>12</v>
      </c>
      <c r="AN101" s="5" t="s">
        <v>12</v>
      </c>
      <c r="AO101" s="5" t="s">
        <v>11</v>
      </c>
      <c r="AP101" s="5" t="s">
        <v>11</v>
      </c>
      <c r="AQ101" s="5" t="s">
        <v>67</v>
      </c>
      <c r="AR101" s="5" t="s">
        <v>66</v>
      </c>
    </row>
    <row r="102" spans="1:44" ht="15.75" x14ac:dyDescent="0.25">
      <c r="A102" s="10">
        <v>46096</v>
      </c>
      <c r="B102" s="5" t="s">
        <v>1295</v>
      </c>
      <c r="C102" s="5" t="s">
        <v>2171</v>
      </c>
      <c r="D102" s="5" t="s">
        <v>11</v>
      </c>
      <c r="E102" s="5" t="s">
        <v>1</v>
      </c>
      <c r="F102" s="5" t="s">
        <v>1</v>
      </c>
      <c r="G102" s="5" t="s">
        <v>11</v>
      </c>
      <c r="H102" s="5" t="s">
        <v>11</v>
      </c>
      <c r="I102" s="6" t="str">
        <f>HYPERLINK("http://maps.yandex.ru/?ll=,&amp;spn=0.011598,0.004531&amp;z=17&amp;l=map&amp;pt=,", "")</f>
        <v/>
      </c>
      <c r="J102" s="5" t="s">
        <v>84</v>
      </c>
      <c r="K102" s="6" t="str">
        <f>HYPERLINK("http://maps.yandex.ru/?ll=,&amp;spn=0.011598,0.004531&amp;z=17&amp;l=map&amp;pt=,", "")</f>
        <v/>
      </c>
      <c r="L102" s="5" t="s">
        <v>84</v>
      </c>
      <c r="M102" s="5" t="s">
        <v>13</v>
      </c>
      <c r="N102" s="5" t="s">
        <v>13</v>
      </c>
      <c r="O102" s="5" t="s">
        <v>58</v>
      </c>
      <c r="P102" s="5">
        <v>0</v>
      </c>
      <c r="Q102" s="5">
        <v>0</v>
      </c>
      <c r="R102" s="5">
        <v>100</v>
      </c>
      <c r="S102" s="5">
        <v>0</v>
      </c>
      <c r="T102" s="5" t="s">
        <v>12</v>
      </c>
      <c r="U102" s="5" t="s">
        <v>12</v>
      </c>
      <c r="V102" s="5" t="s">
        <v>12</v>
      </c>
      <c r="W102" s="5">
        <v>0</v>
      </c>
      <c r="X102" s="5">
        <v>0</v>
      </c>
      <c r="Y102" s="5">
        <v>0</v>
      </c>
      <c r="Z102" s="5" t="s">
        <v>12</v>
      </c>
      <c r="AA102" s="5" t="s">
        <v>12</v>
      </c>
      <c r="AB102" s="5" t="s">
        <v>19</v>
      </c>
      <c r="AC102" s="5" t="s">
        <v>19</v>
      </c>
      <c r="AD102" s="5" t="s">
        <v>19</v>
      </c>
      <c r="AE102" s="5" t="s">
        <v>12</v>
      </c>
      <c r="AF102" s="5" t="s">
        <v>12</v>
      </c>
      <c r="AG102" s="5"/>
      <c r="AH102" s="5">
        <v>0</v>
      </c>
      <c r="AI102" s="5"/>
      <c r="AJ102" s="5"/>
      <c r="AK102" s="5"/>
      <c r="AL102" s="5" t="s">
        <v>12</v>
      </c>
      <c r="AM102" s="5" t="s">
        <v>12</v>
      </c>
      <c r="AN102" s="5" t="s">
        <v>12</v>
      </c>
      <c r="AO102" s="5" t="s">
        <v>11</v>
      </c>
      <c r="AP102" s="5" t="s">
        <v>11</v>
      </c>
      <c r="AQ102" s="5" t="s">
        <v>18</v>
      </c>
      <c r="AR102" s="5" t="s">
        <v>17</v>
      </c>
    </row>
    <row r="103" spans="1:44" ht="31.5" x14ac:dyDescent="0.25">
      <c r="A103" s="10">
        <v>46096</v>
      </c>
      <c r="B103" s="5" t="s">
        <v>1294</v>
      </c>
      <c r="C103" s="5" t="s">
        <v>2172</v>
      </c>
      <c r="D103" s="5" t="s">
        <v>11</v>
      </c>
      <c r="E103" s="5" t="s">
        <v>3</v>
      </c>
      <c r="F103" s="5" t="s">
        <v>3</v>
      </c>
      <c r="G103" s="5" t="s">
        <v>3443</v>
      </c>
      <c r="H103" s="5" t="s">
        <v>3444</v>
      </c>
      <c r="I103" s="6" t="str">
        <f>HYPERLINK("http://maps.yandex.ru/?ll=41.477573,45.29316&amp;spn=0.011598,0.004531&amp;z=17&amp;l=map&amp;pt=41.477573,45.29316", "45.293163//41.477573")</f>
        <v>45.293163//41.477573</v>
      </c>
      <c r="J103" s="5" t="s">
        <v>208</v>
      </c>
      <c r="K103" s="6" t="str">
        <f>HYPERLINK("http://maps.yandex.ru/?ll=41.47793,45.29276&amp;spn=0.011598,0.004531&amp;z=17&amp;l=map&amp;pt=41.47793,45.29276", "45.292767//41.47793")</f>
        <v>45.292767//41.47793</v>
      </c>
      <c r="L103" s="5" t="s">
        <v>208</v>
      </c>
      <c r="M103" s="5" t="s">
        <v>1288</v>
      </c>
      <c r="N103" s="5" t="s">
        <v>333</v>
      </c>
      <c r="O103" s="5" t="s">
        <v>153</v>
      </c>
      <c r="P103" s="5">
        <v>3</v>
      </c>
      <c r="Q103" s="5">
        <v>44</v>
      </c>
      <c r="R103" s="5">
        <v>53</v>
      </c>
      <c r="S103" s="5">
        <v>5.9489999999999998</v>
      </c>
      <c r="T103" s="5" t="s">
        <v>12</v>
      </c>
      <c r="U103" s="5" t="s">
        <v>12</v>
      </c>
      <c r="V103" s="5" t="s">
        <v>12</v>
      </c>
      <c r="W103" s="5">
        <v>0.25</v>
      </c>
      <c r="X103" s="5">
        <v>8.52</v>
      </c>
      <c r="Y103" s="5">
        <v>48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5" t="s">
        <v>12</v>
      </c>
      <c r="AF103" s="5" t="s">
        <v>12</v>
      </c>
      <c r="AG103" s="5"/>
      <c r="AH103" s="5"/>
      <c r="AI103" s="5"/>
      <c r="AJ103" s="5"/>
      <c r="AK103" s="5"/>
      <c r="AL103" s="5" t="s">
        <v>12</v>
      </c>
      <c r="AM103" s="5" t="s">
        <v>12</v>
      </c>
      <c r="AN103" s="5" t="s">
        <v>12</v>
      </c>
      <c r="AO103" s="5" t="s">
        <v>11</v>
      </c>
      <c r="AP103" s="5" t="s">
        <v>11</v>
      </c>
      <c r="AQ103" s="5" t="s">
        <v>67</v>
      </c>
      <c r="AR103" s="5" t="s">
        <v>66</v>
      </c>
    </row>
    <row r="104" spans="1:44" ht="15.75" x14ac:dyDescent="0.25">
      <c r="A104" s="10">
        <v>46096</v>
      </c>
      <c r="B104" s="5" t="s">
        <v>1292</v>
      </c>
      <c r="C104" s="5" t="s">
        <v>2173</v>
      </c>
      <c r="D104" s="5" t="s">
        <v>11</v>
      </c>
      <c r="E104" s="5" t="s">
        <v>3</v>
      </c>
      <c r="F104" s="5" t="s">
        <v>3</v>
      </c>
      <c r="G104" s="5" t="s">
        <v>11</v>
      </c>
      <c r="H104" s="5" t="s">
        <v>11</v>
      </c>
      <c r="I104" s="6" t="str">
        <f>HYPERLINK("http://maps.yandex.ru/?ll=,&amp;spn=0.011598,0.004531&amp;z=17&amp;l=map&amp;pt=,", "")</f>
        <v/>
      </c>
      <c r="J104" s="5" t="s">
        <v>84</v>
      </c>
      <c r="K104" s="6" t="str">
        <f>HYPERLINK("http://maps.yandex.ru/?ll=,&amp;spn=0.011598,0.004531&amp;z=17&amp;l=map&amp;pt=,", "")</f>
        <v/>
      </c>
      <c r="L104" s="5" t="s">
        <v>84</v>
      </c>
      <c r="M104" s="5" t="s">
        <v>13</v>
      </c>
      <c r="N104" s="5" t="s">
        <v>701</v>
      </c>
      <c r="O104" s="5" t="s">
        <v>562</v>
      </c>
      <c r="P104" s="5">
        <v>0</v>
      </c>
      <c r="Q104" s="5">
        <v>96</v>
      </c>
      <c r="R104" s="5">
        <v>4</v>
      </c>
      <c r="S104" s="5">
        <v>0</v>
      </c>
      <c r="T104" s="5" t="s">
        <v>12</v>
      </c>
      <c r="U104" s="5" t="s">
        <v>12</v>
      </c>
      <c r="V104" s="5" t="s">
        <v>12</v>
      </c>
      <c r="W104" s="5">
        <v>0</v>
      </c>
      <c r="X104" s="5">
        <v>0</v>
      </c>
      <c r="Y104" s="5">
        <v>0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5" t="s">
        <v>12</v>
      </c>
      <c r="AF104" s="5" t="s">
        <v>12</v>
      </c>
      <c r="AG104" s="5"/>
      <c r="AH104" s="5"/>
      <c r="AI104" s="5"/>
      <c r="AJ104" s="5"/>
      <c r="AK104" s="5"/>
      <c r="AL104" s="5" t="s">
        <v>12</v>
      </c>
      <c r="AM104" s="5" t="s">
        <v>12</v>
      </c>
      <c r="AN104" s="5" t="s">
        <v>12</v>
      </c>
      <c r="AO104" s="5" t="s">
        <v>11</v>
      </c>
      <c r="AP104" s="5" t="s">
        <v>11</v>
      </c>
      <c r="AQ104" s="5" t="s">
        <v>67</v>
      </c>
      <c r="AR104" s="5" t="s">
        <v>66</v>
      </c>
    </row>
    <row r="105" spans="1:44" ht="31.5" x14ac:dyDescent="0.25">
      <c r="A105" s="10">
        <v>46096</v>
      </c>
      <c r="B105" s="5" t="s">
        <v>1290</v>
      </c>
      <c r="C105" s="5" t="s">
        <v>2174</v>
      </c>
      <c r="D105" s="5" t="s">
        <v>11</v>
      </c>
      <c r="E105" s="5" t="s">
        <v>11</v>
      </c>
      <c r="F105" s="5" t="s">
        <v>11</v>
      </c>
      <c r="G105" s="5" t="s">
        <v>3445</v>
      </c>
      <c r="H105" s="5" t="s">
        <v>3446</v>
      </c>
      <c r="I105" s="6" t="str">
        <f>HYPERLINK("http://maps.yandex.ru/?ll=37.19277,56.1115&amp;spn=0.011598,0.004531&amp;z=17&amp;l=map&amp;pt=37.19277,56.1115", "56.11155//37.19277")</f>
        <v>56.11155//37.19277</v>
      </c>
      <c r="J105" s="5" t="s">
        <v>56</v>
      </c>
      <c r="K105" s="6" t="str">
        <f>HYPERLINK("http://maps.yandex.ru/?ll=30.459978,59.77287&amp;spn=0.011598,0.004531&amp;z=17&amp;l=map&amp;pt=30.459978,59.77287", "59.772873//30.459978")</f>
        <v>59.772873//30.459978</v>
      </c>
      <c r="L105" s="5" t="s">
        <v>23</v>
      </c>
      <c r="M105" s="5" t="s">
        <v>1412</v>
      </c>
      <c r="N105" s="5" t="s">
        <v>1349</v>
      </c>
      <c r="O105" s="5" t="s">
        <v>1164</v>
      </c>
      <c r="P105" s="5">
        <v>41</v>
      </c>
      <c r="Q105" s="5">
        <v>30</v>
      </c>
      <c r="R105" s="5">
        <v>30</v>
      </c>
      <c r="S105" s="5">
        <v>630.63800000000003</v>
      </c>
      <c r="T105" s="5" t="s">
        <v>1528</v>
      </c>
      <c r="U105" s="5" t="s">
        <v>3447</v>
      </c>
      <c r="V105" s="5" t="s">
        <v>3448</v>
      </c>
      <c r="W105" s="5">
        <v>26.28</v>
      </c>
      <c r="X105" s="5">
        <v>64.510000000000005</v>
      </c>
      <c r="Y105" s="5">
        <v>99</v>
      </c>
      <c r="Z105" s="5" t="s">
        <v>2176</v>
      </c>
      <c r="AA105" s="5" t="s">
        <v>2327</v>
      </c>
      <c r="AB105" s="5" t="s">
        <v>1941</v>
      </c>
      <c r="AC105" s="5" t="s">
        <v>1673</v>
      </c>
      <c r="AD105" s="5" t="s">
        <v>19</v>
      </c>
      <c r="AE105" s="5" t="s">
        <v>1545</v>
      </c>
      <c r="AF105" s="5" t="s">
        <v>3449</v>
      </c>
      <c r="AG105" s="5">
        <v>173</v>
      </c>
      <c r="AH105" s="5">
        <v>0</v>
      </c>
      <c r="AI105" s="5">
        <v>173</v>
      </c>
      <c r="AJ105" s="5">
        <v>26.49</v>
      </c>
      <c r="AK105" s="5">
        <v>26.49</v>
      </c>
      <c r="AL105" s="5" t="s">
        <v>12</v>
      </c>
      <c r="AM105" s="5" t="s">
        <v>12</v>
      </c>
      <c r="AN105" s="5" t="s">
        <v>12</v>
      </c>
      <c r="AO105" s="5" t="s">
        <v>11</v>
      </c>
      <c r="AP105" s="5" t="s">
        <v>11</v>
      </c>
      <c r="AQ105" s="5" t="s">
        <v>11</v>
      </c>
      <c r="AR105" s="5" t="s">
        <v>11</v>
      </c>
    </row>
    <row r="106" spans="1:44" ht="31.5" x14ac:dyDescent="0.25">
      <c r="A106" s="10">
        <v>46096</v>
      </c>
      <c r="B106" s="5" t="s">
        <v>1289</v>
      </c>
      <c r="C106" s="5" t="s">
        <v>2178</v>
      </c>
      <c r="D106" s="5" t="s">
        <v>11</v>
      </c>
      <c r="E106" s="5" t="s">
        <v>1</v>
      </c>
      <c r="F106" s="5" t="s">
        <v>1</v>
      </c>
      <c r="G106" s="5" t="s">
        <v>3450</v>
      </c>
      <c r="H106" s="5" t="s">
        <v>3451</v>
      </c>
      <c r="I106" s="6" t="str">
        <f>HYPERLINK("http://maps.yandex.ru/?ll=73.36617,61.2456&amp;spn=0.011598,0.004531&amp;z=17&amp;l=map&amp;pt=73.36617,61.2456", "61.24564//73.36617")</f>
        <v>61.24564//73.36617</v>
      </c>
      <c r="J106" s="5" t="s">
        <v>519</v>
      </c>
      <c r="K106" s="6" t="str">
        <f>HYPERLINK("http://maps.yandex.ru/?ll=73.522224,61.2548&amp;spn=0.011598,0.004531&amp;z=17&amp;l=map&amp;pt=73.522224,61.2548", "61.25481//73.522224")</f>
        <v>61.25481//73.522224</v>
      </c>
      <c r="L106" s="5" t="s">
        <v>519</v>
      </c>
      <c r="M106" s="5" t="s">
        <v>439</v>
      </c>
      <c r="N106" s="5" t="s">
        <v>3452</v>
      </c>
      <c r="O106" s="5" t="s">
        <v>13</v>
      </c>
      <c r="P106" s="5">
        <v>3</v>
      </c>
      <c r="Q106" s="5">
        <v>97</v>
      </c>
      <c r="R106" s="5">
        <v>0</v>
      </c>
      <c r="S106" s="5">
        <v>13.505000000000001</v>
      </c>
      <c r="T106" s="5" t="s">
        <v>12</v>
      </c>
      <c r="U106" s="5" t="s">
        <v>12</v>
      </c>
      <c r="V106" s="5" t="s">
        <v>12</v>
      </c>
      <c r="W106" s="5">
        <v>0.56000000000000005</v>
      </c>
      <c r="X106" s="5">
        <v>18.399999999999999</v>
      </c>
      <c r="Y106" s="5">
        <v>62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5" t="s">
        <v>12</v>
      </c>
      <c r="AF106" s="5" t="s">
        <v>12</v>
      </c>
      <c r="AG106" s="5"/>
      <c r="AH106" s="5"/>
      <c r="AI106" s="5"/>
      <c r="AJ106" s="5"/>
      <c r="AK106" s="5"/>
      <c r="AL106" s="5" t="s">
        <v>12</v>
      </c>
      <c r="AM106" s="5" t="s">
        <v>12</v>
      </c>
      <c r="AN106" s="5" t="s">
        <v>12</v>
      </c>
      <c r="AO106" s="5" t="s">
        <v>11</v>
      </c>
      <c r="AP106" s="5" t="s">
        <v>11</v>
      </c>
      <c r="AQ106" s="5" t="s">
        <v>67</v>
      </c>
      <c r="AR106" s="5" t="s">
        <v>66</v>
      </c>
    </row>
    <row r="107" spans="1:44" ht="15.75" x14ac:dyDescent="0.25">
      <c r="A107" s="10">
        <v>46096</v>
      </c>
      <c r="B107" s="5" t="s">
        <v>1287</v>
      </c>
      <c r="C107" s="5" t="s">
        <v>2179</v>
      </c>
      <c r="D107" s="5" t="s">
        <v>11</v>
      </c>
      <c r="E107" s="5" t="s">
        <v>0</v>
      </c>
      <c r="F107" s="5" t="s">
        <v>0</v>
      </c>
      <c r="G107" s="5" t="s">
        <v>11</v>
      </c>
      <c r="H107" s="5" t="s">
        <v>11</v>
      </c>
      <c r="I107" s="6" t="str">
        <f>HYPERLINK("http://maps.yandex.ru/?ll=,&amp;spn=0.011598,0.004531&amp;z=17&amp;l=map&amp;pt=,", "")</f>
        <v/>
      </c>
      <c r="J107" s="5" t="s">
        <v>84</v>
      </c>
      <c r="K107" s="6" t="str">
        <f>HYPERLINK("http://maps.yandex.ru/?ll=,&amp;spn=0.011598,0.004531&amp;z=17&amp;l=map&amp;pt=,", "")</f>
        <v/>
      </c>
      <c r="L107" s="5" t="s">
        <v>84</v>
      </c>
      <c r="M107" s="5" t="s">
        <v>13</v>
      </c>
      <c r="N107" s="5" t="s">
        <v>13</v>
      </c>
      <c r="O107" s="5" t="s">
        <v>58</v>
      </c>
      <c r="P107" s="5">
        <v>0</v>
      </c>
      <c r="Q107" s="5">
        <v>0</v>
      </c>
      <c r="R107" s="5">
        <v>100</v>
      </c>
      <c r="S107" s="5">
        <v>0</v>
      </c>
      <c r="T107" s="5" t="s">
        <v>12</v>
      </c>
      <c r="U107" s="5" t="s">
        <v>12</v>
      </c>
      <c r="V107" s="5" t="s">
        <v>12</v>
      </c>
      <c r="W107" s="5">
        <v>0</v>
      </c>
      <c r="X107" s="5">
        <v>0</v>
      </c>
      <c r="Y107" s="5">
        <v>0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5" t="s">
        <v>12</v>
      </c>
      <c r="AF107" s="5" t="s">
        <v>12</v>
      </c>
      <c r="AG107" s="5"/>
      <c r="AH107" s="5"/>
      <c r="AI107" s="5"/>
      <c r="AJ107" s="5"/>
      <c r="AK107" s="5"/>
      <c r="AL107" s="5" t="s">
        <v>12</v>
      </c>
      <c r="AM107" s="5" t="s">
        <v>12</v>
      </c>
      <c r="AN107" s="5" t="s">
        <v>12</v>
      </c>
      <c r="AO107" s="5" t="s">
        <v>11</v>
      </c>
      <c r="AP107" s="5" t="s">
        <v>11</v>
      </c>
      <c r="AQ107" s="5" t="s">
        <v>106</v>
      </c>
      <c r="AR107" s="5" t="s">
        <v>105</v>
      </c>
    </row>
    <row r="108" spans="1:44" ht="31.5" x14ac:dyDescent="0.25">
      <c r="A108" s="10">
        <v>46096</v>
      </c>
      <c r="B108" s="5" t="s">
        <v>1286</v>
      </c>
      <c r="C108" s="5" t="s">
        <v>2180</v>
      </c>
      <c r="D108" s="5" t="s">
        <v>11</v>
      </c>
      <c r="E108" s="5" t="s">
        <v>3</v>
      </c>
      <c r="F108" s="5" t="s">
        <v>3</v>
      </c>
      <c r="G108" s="5" t="s">
        <v>3453</v>
      </c>
      <c r="H108" s="5" t="s">
        <v>3454</v>
      </c>
      <c r="I108" s="6" t="str">
        <f>HYPERLINK("http://maps.yandex.ru/?ll=39.04915,52.29034&amp;spn=0.011598,0.004531&amp;z=17&amp;l=map&amp;pt=39.04915,52.29034", "52.290348//39.04915")</f>
        <v>52.290348//39.04915</v>
      </c>
      <c r="J108" s="5" t="s">
        <v>151</v>
      </c>
      <c r="K108" s="6" t="str">
        <f>HYPERLINK("http://maps.yandex.ru/?ll=39.926098,47.3001&amp;spn=0.011598,0.004531&amp;z=17&amp;l=map&amp;pt=39.926098,47.3001", "47.30017//39.926098")</f>
        <v>47.30017//39.926098</v>
      </c>
      <c r="L108" s="5" t="s">
        <v>64</v>
      </c>
      <c r="M108" s="5" t="s">
        <v>1063</v>
      </c>
      <c r="N108" s="5" t="s">
        <v>54</v>
      </c>
      <c r="O108" s="5" t="s">
        <v>963</v>
      </c>
      <c r="P108" s="5">
        <v>32</v>
      </c>
      <c r="Q108" s="5">
        <v>26</v>
      </c>
      <c r="R108" s="5">
        <v>41</v>
      </c>
      <c r="S108" s="5">
        <v>494.39299999999997</v>
      </c>
      <c r="T108" s="5" t="s">
        <v>12</v>
      </c>
      <c r="U108" s="5" t="s">
        <v>12</v>
      </c>
      <c r="V108" s="5" t="s">
        <v>12</v>
      </c>
      <c r="W108" s="5">
        <v>20.6</v>
      </c>
      <c r="X108" s="5">
        <v>63.73</v>
      </c>
      <c r="Y108" s="5">
        <v>100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5" t="s">
        <v>12</v>
      </c>
      <c r="AF108" s="5" t="s">
        <v>12</v>
      </c>
      <c r="AG108" s="5"/>
      <c r="AH108" s="5"/>
      <c r="AI108" s="5"/>
      <c r="AJ108" s="5"/>
      <c r="AK108" s="5"/>
      <c r="AL108" s="5" t="s">
        <v>12</v>
      </c>
      <c r="AM108" s="5" t="s">
        <v>12</v>
      </c>
      <c r="AN108" s="5" t="s">
        <v>12</v>
      </c>
      <c r="AO108" s="5" t="s">
        <v>11</v>
      </c>
      <c r="AP108" s="5" t="s">
        <v>11</v>
      </c>
      <c r="AQ108" s="5" t="s">
        <v>106</v>
      </c>
      <c r="AR108" s="5" t="s">
        <v>105</v>
      </c>
    </row>
    <row r="109" spans="1:44" ht="31.5" x14ac:dyDescent="0.25">
      <c r="A109" s="10">
        <v>46096</v>
      </c>
      <c r="B109" s="5" t="s">
        <v>1285</v>
      </c>
      <c r="C109" s="5" t="s">
        <v>2181</v>
      </c>
      <c r="D109" s="5" t="s">
        <v>11</v>
      </c>
      <c r="E109" s="5" t="s">
        <v>11</v>
      </c>
      <c r="F109" s="5" t="s">
        <v>11</v>
      </c>
      <c r="G109" s="5" t="s">
        <v>3455</v>
      </c>
      <c r="H109" s="5" t="s">
        <v>3456</v>
      </c>
      <c r="I109" s="6" t="str">
        <f>HYPERLINK("http://maps.yandex.ru/?ll=41.817726,52.67842&amp;spn=0.011598,0.004531&amp;z=17&amp;l=map&amp;pt=41.817726,52.67842", "52.678425//41.817726")</f>
        <v>52.678425//41.817726</v>
      </c>
      <c r="J109" s="5" t="s">
        <v>284</v>
      </c>
      <c r="K109" s="6" t="str">
        <f>HYPERLINK("http://maps.yandex.ru/?ll=50.400696,53.51590&amp;spn=0.011598,0.004531&amp;z=17&amp;l=map&amp;pt=50.400696,53.51590", "53.515907//50.400696")</f>
        <v>53.515907//50.400696</v>
      </c>
      <c r="L109" s="5" t="s">
        <v>76</v>
      </c>
      <c r="M109" s="5" t="s">
        <v>3110</v>
      </c>
      <c r="N109" s="5" t="s">
        <v>3304</v>
      </c>
      <c r="O109" s="5" t="s">
        <v>496</v>
      </c>
      <c r="P109" s="5">
        <v>24</v>
      </c>
      <c r="Q109" s="5">
        <v>57</v>
      </c>
      <c r="R109" s="5">
        <v>19</v>
      </c>
      <c r="S109" s="5">
        <v>370.267</v>
      </c>
      <c r="T109" s="5" t="s">
        <v>1762</v>
      </c>
      <c r="U109" s="5" t="s">
        <v>3457</v>
      </c>
      <c r="V109" s="5" t="s">
        <v>3458</v>
      </c>
      <c r="W109" s="5">
        <v>15.43</v>
      </c>
      <c r="X109" s="5">
        <v>64.59</v>
      </c>
      <c r="Y109" s="5">
        <v>140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5" t="s">
        <v>12</v>
      </c>
      <c r="AF109" s="5" t="s">
        <v>12</v>
      </c>
      <c r="AG109" s="5">
        <v>240</v>
      </c>
      <c r="AH109" s="5">
        <v>1</v>
      </c>
      <c r="AI109" s="5">
        <v>239</v>
      </c>
      <c r="AJ109" s="5">
        <v>32.21</v>
      </c>
      <c r="AK109" s="5">
        <v>32.08</v>
      </c>
      <c r="AL109" s="5" t="s">
        <v>12</v>
      </c>
      <c r="AM109" s="5" t="s">
        <v>12</v>
      </c>
      <c r="AN109" s="5" t="s">
        <v>12</v>
      </c>
      <c r="AO109" s="5" t="s">
        <v>11</v>
      </c>
      <c r="AP109" s="5" t="s">
        <v>11</v>
      </c>
      <c r="AQ109" s="5" t="s">
        <v>43</v>
      </c>
      <c r="AR109" s="5" t="s">
        <v>42</v>
      </c>
    </row>
    <row r="110" spans="1:44" ht="15.75" x14ac:dyDescent="0.25">
      <c r="A110" s="10">
        <v>46096</v>
      </c>
      <c r="B110" s="5" t="s">
        <v>1283</v>
      </c>
      <c r="C110" s="5" t="s">
        <v>2182</v>
      </c>
      <c r="D110" s="5" t="s">
        <v>11</v>
      </c>
      <c r="E110" s="5" t="s">
        <v>3</v>
      </c>
      <c r="F110" s="5" t="s">
        <v>3</v>
      </c>
      <c r="G110" s="5" t="s">
        <v>11</v>
      </c>
      <c r="H110" s="5" t="s">
        <v>11</v>
      </c>
      <c r="I110" s="6" t="str">
        <f>HYPERLINK("http://maps.yandex.ru/?ll=,&amp;spn=0.011598,0.004531&amp;z=17&amp;l=map&amp;pt=,", "")</f>
        <v/>
      </c>
      <c r="J110" s="5" t="s">
        <v>84</v>
      </c>
      <c r="K110" s="6" t="str">
        <f>HYPERLINK("http://maps.yandex.ru/?ll=,&amp;spn=0.011598,0.004531&amp;z=17&amp;l=map&amp;pt=,", "")</f>
        <v/>
      </c>
      <c r="L110" s="5" t="s">
        <v>84</v>
      </c>
      <c r="M110" s="5" t="s">
        <v>13</v>
      </c>
      <c r="N110" s="5" t="s">
        <v>13</v>
      </c>
      <c r="O110" s="5" t="s">
        <v>58</v>
      </c>
      <c r="P110" s="5">
        <v>0</v>
      </c>
      <c r="Q110" s="5">
        <v>0</v>
      </c>
      <c r="R110" s="5">
        <v>100</v>
      </c>
      <c r="S110" s="5">
        <v>0</v>
      </c>
      <c r="T110" s="5" t="s">
        <v>12</v>
      </c>
      <c r="U110" s="5" t="s">
        <v>12</v>
      </c>
      <c r="V110" s="5" t="s">
        <v>12</v>
      </c>
      <c r="W110" s="5">
        <v>0</v>
      </c>
      <c r="X110" s="5">
        <v>0</v>
      </c>
      <c r="Y110" s="5">
        <v>0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5" t="s">
        <v>12</v>
      </c>
      <c r="AF110" s="5" t="s">
        <v>12</v>
      </c>
      <c r="AG110" s="5"/>
      <c r="AH110" s="5"/>
      <c r="AI110" s="5"/>
      <c r="AJ110" s="5"/>
      <c r="AK110" s="5"/>
      <c r="AL110" s="5" t="s">
        <v>12</v>
      </c>
      <c r="AM110" s="5" t="s">
        <v>12</v>
      </c>
      <c r="AN110" s="5" t="s">
        <v>12</v>
      </c>
      <c r="AO110" s="5" t="s">
        <v>11</v>
      </c>
      <c r="AP110" s="5" t="s">
        <v>11</v>
      </c>
      <c r="AQ110" s="5" t="s">
        <v>67</v>
      </c>
      <c r="AR110" s="5" t="s">
        <v>66</v>
      </c>
    </row>
    <row r="111" spans="1:44" ht="15.75" x14ac:dyDescent="0.25">
      <c r="A111" s="10">
        <v>46096</v>
      </c>
      <c r="B111" s="5" t="s">
        <v>1282</v>
      </c>
      <c r="C111" s="5" t="s">
        <v>2183</v>
      </c>
      <c r="D111" s="5" t="s">
        <v>11</v>
      </c>
      <c r="E111" s="5" t="s">
        <v>11</v>
      </c>
      <c r="F111" s="5" t="s">
        <v>11</v>
      </c>
      <c r="G111" s="5" t="s">
        <v>11</v>
      </c>
      <c r="H111" s="5" t="s">
        <v>11</v>
      </c>
      <c r="I111" s="6" t="str">
        <f>HYPERLINK("http://maps.yandex.ru/?ll=,&amp;spn=0.011598,0.004531&amp;z=17&amp;l=map&amp;pt=,", "")</f>
        <v/>
      </c>
      <c r="J111" s="5" t="s">
        <v>84</v>
      </c>
      <c r="K111" s="6" t="str">
        <f>HYPERLINK("http://maps.yandex.ru/?ll=,&amp;spn=0.011598,0.004531&amp;z=17&amp;l=map&amp;pt=,", "")</f>
        <v/>
      </c>
      <c r="L111" s="5" t="s">
        <v>84</v>
      </c>
      <c r="M111" s="5" t="s">
        <v>13</v>
      </c>
      <c r="N111" s="5" t="s">
        <v>13</v>
      </c>
      <c r="O111" s="5" t="s">
        <v>58</v>
      </c>
      <c r="P111" s="5">
        <v>0</v>
      </c>
      <c r="Q111" s="5">
        <v>0</v>
      </c>
      <c r="R111" s="5">
        <v>100</v>
      </c>
      <c r="S111" s="5">
        <v>0</v>
      </c>
      <c r="T111" s="5" t="s">
        <v>12</v>
      </c>
      <c r="U111" s="5" t="s">
        <v>12</v>
      </c>
      <c r="V111" s="5" t="s">
        <v>12</v>
      </c>
      <c r="W111" s="5">
        <v>0</v>
      </c>
      <c r="X111" s="5">
        <v>0</v>
      </c>
      <c r="Y111" s="5">
        <v>0</v>
      </c>
      <c r="Z111" s="5" t="s">
        <v>12</v>
      </c>
      <c r="AA111" s="5" t="s">
        <v>12</v>
      </c>
      <c r="AB111" s="5" t="s">
        <v>12</v>
      </c>
      <c r="AC111" s="5" t="s">
        <v>12</v>
      </c>
      <c r="AD111" s="5" t="s">
        <v>12</v>
      </c>
      <c r="AE111" s="5" t="s">
        <v>12</v>
      </c>
      <c r="AF111" s="5" t="s">
        <v>12</v>
      </c>
      <c r="AG111" s="5"/>
      <c r="AH111" s="5"/>
      <c r="AI111" s="5"/>
      <c r="AJ111" s="5"/>
      <c r="AK111" s="5"/>
      <c r="AL111" s="5" t="s">
        <v>12</v>
      </c>
      <c r="AM111" s="5" t="s">
        <v>12</v>
      </c>
      <c r="AN111" s="5" t="s">
        <v>12</v>
      </c>
      <c r="AO111" s="5" t="s">
        <v>11</v>
      </c>
      <c r="AP111" s="5" t="s">
        <v>11</v>
      </c>
      <c r="AQ111" s="5" t="s">
        <v>106</v>
      </c>
      <c r="AR111" s="5" t="s">
        <v>105</v>
      </c>
    </row>
    <row r="112" spans="1:44" ht="15.75" x14ac:dyDescent="0.25">
      <c r="A112" s="10">
        <v>46096</v>
      </c>
      <c r="B112" s="5" t="s">
        <v>1281</v>
      </c>
      <c r="C112" s="5" t="s">
        <v>2184</v>
      </c>
      <c r="D112" s="5" t="s">
        <v>11</v>
      </c>
      <c r="E112" s="5" t="s">
        <v>11</v>
      </c>
      <c r="F112" s="5" t="s">
        <v>11</v>
      </c>
      <c r="G112" s="5" t="s">
        <v>11</v>
      </c>
      <c r="H112" s="5" t="s">
        <v>11</v>
      </c>
      <c r="I112" s="6" t="str">
        <f>HYPERLINK("http://maps.yandex.ru/?ll=,&amp;spn=0.011598,0.004531&amp;z=17&amp;l=map&amp;pt=,", "")</f>
        <v/>
      </c>
      <c r="J112" s="5" t="s">
        <v>84</v>
      </c>
      <c r="K112" s="6" t="str">
        <f>HYPERLINK("http://maps.yandex.ru/?ll=,&amp;spn=0.011598,0.004531&amp;z=17&amp;l=map&amp;pt=,", "")</f>
        <v/>
      </c>
      <c r="L112" s="5" t="s">
        <v>84</v>
      </c>
      <c r="M112" s="5" t="s">
        <v>13</v>
      </c>
      <c r="N112" s="5" t="s">
        <v>13</v>
      </c>
      <c r="O112" s="5" t="s">
        <v>58</v>
      </c>
      <c r="P112" s="5">
        <v>0</v>
      </c>
      <c r="Q112" s="5">
        <v>0</v>
      </c>
      <c r="R112" s="5">
        <v>100</v>
      </c>
      <c r="S112" s="5">
        <v>0</v>
      </c>
      <c r="T112" s="5" t="s">
        <v>12</v>
      </c>
      <c r="U112" s="5" t="s">
        <v>12</v>
      </c>
      <c r="V112" s="5" t="s">
        <v>12</v>
      </c>
      <c r="W112" s="5">
        <v>0</v>
      </c>
      <c r="X112" s="5">
        <v>0</v>
      </c>
      <c r="Y112" s="5">
        <v>0</v>
      </c>
      <c r="Z112" s="5" t="s">
        <v>12</v>
      </c>
      <c r="AA112" s="5" t="s">
        <v>12</v>
      </c>
      <c r="AB112" s="5" t="s">
        <v>12</v>
      </c>
      <c r="AC112" s="5" t="s">
        <v>12</v>
      </c>
      <c r="AD112" s="5" t="s">
        <v>12</v>
      </c>
      <c r="AE112" s="5" t="s">
        <v>12</v>
      </c>
      <c r="AF112" s="5" t="s">
        <v>12</v>
      </c>
      <c r="AG112" s="5"/>
      <c r="AH112" s="5"/>
      <c r="AI112" s="5"/>
      <c r="AJ112" s="5"/>
      <c r="AK112" s="5"/>
      <c r="AL112" s="5" t="s">
        <v>12</v>
      </c>
      <c r="AM112" s="5" t="s">
        <v>12</v>
      </c>
      <c r="AN112" s="5" t="s">
        <v>12</v>
      </c>
      <c r="AO112" s="5" t="s">
        <v>69</v>
      </c>
      <c r="AP112" s="5" t="s">
        <v>68</v>
      </c>
      <c r="AQ112" s="5" t="s">
        <v>99</v>
      </c>
      <c r="AR112" s="5" t="s">
        <v>98</v>
      </c>
    </row>
    <row r="113" spans="1:44" ht="15.75" x14ac:dyDescent="0.25">
      <c r="A113" s="10">
        <v>46096</v>
      </c>
      <c r="B113" s="5" t="s">
        <v>1280</v>
      </c>
      <c r="C113" s="5" t="s">
        <v>2185</v>
      </c>
      <c r="D113" s="5" t="s">
        <v>11</v>
      </c>
      <c r="E113" s="5" t="s">
        <v>11</v>
      </c>
      <c r="F113" s="5" t="s">
        <v>11</v>
      </c>
      <c r="G113" s="5" t="s">
        <v>11</v>
      </c>
      <c r="H113" s="5" t="s">
        <v>11</v>
      </c>
      <c r="I113" s="6" t="str">
        <f>HYPERLINK("http://maps.yandex.ru/?ll=,&amp;spn=0.011598,0.004531&amp;z=17&amp;l=map&amp;pt=,", "")</f>
        <v/>
      </c>
      <c r="J113" s="5" t="s">
        <v>84</v>
      </c>
      <c r="K113" s="6" t="str">
        <f>HYPERLINK("http://maps.yandex.ru/?ll=,&amp;spn=0.011598,0.004531&amp;z=17&amp;l=map&amp;pt=,", "")</f>
        <v/>
      </c>
      <c r="L113" s="5" t="s">
        <v>84</v>
      </c>
      <c r="M113" s="5" t="s">
        <v>13</v>
      </c>
      <c r="N113" s="5" t="s">
        <v>58</v>
      </c>
      <c r="O113" s="5" t="s">
        <v>13</v>
      </c>
      <c r="P113" s="5">
        <v>0</v>
      </c>
      <c r="Q113" s="5">
        <v>100</v>
      </c>
      <c r="R113" s="5">
        <v>0</v>
      </c>
      <c r="S113" s="5">
        <v>0</v>
      </c>
      <c r="T113" s="5" t="s">
        <v>12</v>
      </c>
      <c r="U113" s="5" t="s">
        <v>12</v>
      </c>
      <c r="V113" s="5" t="s">
        <v>12</v>
      </c>
      <c r="W113" s="5">
        <v>0</v>
      </c>
      <c r="X113" s="5">
        <v>0</v>
      </c>
      <c r="Y113" s="5">
        <v>0</v>
      </c>
      <c r="Z113" s="5" t="s">
        <v>12</v>
      </c>
      <c r="AA113" s="5" t="s">
        <v>12</v>
      </c>
      <c r="AB113" s="5" t="s">
        <v>12</v>
      </c>
      <c r="AC113" s="5" t="s">
        <v>12</v>
      </c>
      <c r="AD113" s="5" t="s">
        <v>12</v>
      </c>
      <c r="AE113" s="5" t="s">
        <v>12</v>
      </c>
      <c r="AF113" s="5" t="s">
        <v>12</v>
      </c>
      <c r="AG113" s="5"/>
      <c r="AH113" s="5"/>
      <c r="AI113" s="5"/>
      <c r="AJ113" s="5"/>
      <c r="AK113" s="5"/>
      <c r="AL113" s="5" t="s">
        <v>12</v>
      </c>
      <c r="AM113" s="5" t="s">
        <v>12</v>
      </c>
      <c r="AN113" s="5" t="s">
        <v>12</v>
      </c>
      <c r="AO113" s="5" t="s">
        <v>83</v>
      </c>
      <c r="AP113" s="5" t="s">
        <v>82</v>
      </c>
      <c r="AQ113" s="5" t="s">
        <v>1278</v>
      </c>
      <c r="AR113" s="5" t="s">
        <v>407</v>
      </c>
    </row>
    <row r="114" spans="1:44" ht="31.5" x14ac:dyDescent="0.25">
      <c r="A114" s="10">
        <v>46096</v>
      </c>
      <c r="B114" s="5" t="s">
        <v>1277</v>
      </c>
      <c r="C114" s="5" t="s">
        <v>2186</v>
      </c>
      <c r="D114" s="5" t="s">
        <v>11</v>
      </c>
      <c r="E114" s="5" t="s">
        <v>6</v>
      </c>
      <c r="F114" s="5" t="s">
        <v>6</v>
      </c>
      <c r="G114" s="5" t="s">
        <v>3103</v>
      </c>
      <c r="H114" s="5" t="s">
        <v>3121</v>
      </c>
      <c r="I114" s="6" t="str">
        <f>HYPERLINK("http://maps.yandex.ru/?ll=109.87499,51.4268&amp;spn=0.011598,0.004531&amp;z=17&amp;l=map&amp;pt=109.87499,51.4268", "51.42682//109.87499")</f>
        <v>51.42682//109.87499</v>
      </c>
      <c r="J114" s="5" t="s">
        <v>155</v>
      </c>
      <c r="K114" s="6" t="str">
        <f>HYPERLINK("http://maps.yandex.ru/?ll=103.75669,52.4910&amp;spn=0.011598,0.004531&amp;z=17&amp;l=map&amp;pt=103.75669,52.4910", "52.49107//103.75669")</f>
        <v>52.49107//103.75669</v>
      </c>
      <c r="L114" s="5" t="s">
        <v>1066</v>
      </c>
      <c r="M114" s="5" t="s">
        <v>240</v>
      </c>
      <c r="N114" s="5" t="s">
        <v>3459</v>
      </c>
      <c r="O114" s="5" t="s">
        <v>13</v>
      </c>
      <c r="P114" s="5">
        <v>52</v>
      </c>
      <c r="Q114" s="5">
        <v>48</v>
      </c>
      <c r="R114" s="5">
        <v>0</v>
      </c>
      <c r="S114" s="5">
        <v>763.72500000000002</v>
      </c>
      <c r="T114" s="5" t="s">
        <v>12</v>
      </c>
      <c r="U114" s="5" t="s">
        <v>12</v>
      </c>
      <c r="V114" s="5" t="s">
        <v>12</v>
      </c>
      <c r="W114" s="5">
        <v>31.82</v>
      </c>
      <c r="X114" s="5">
        <v>61.48</v>
      </c>
      <c r="Y114" s="5">
        <v>114</v>
      </c>
      <c r="Z114" s="5" t="s">
        <v>1577</v>
      </c>
      <c r="AA114" s="5" t="s">
        <v>2151</v>
      </c>
      <c r="AB114" s="5" t="s">
        <v>1788</v>
      </c>
      <c r="AC114" s="5" t="s">
        <v>1673</v>
      </c>
      <c r="AD114" s="5" t="s">
        <v>19</v>
      </c>
      <c r="AE114" s="5" t="s">
        <v>2398</v>
      </c>
      <c r="AF114" s="5" t="s">
        <v>12</v>
      </c>
      <c r="AG114" s="5"/>
      <c r="AH114" s="5"/>
      <c r="AI114" s="5"/>
      <c r="AJ114" s="5"/>
      <c r="AK114" s="5"/>
      <c r="AL114" s="5" t="s">
        <v>12</v>
      </c>
      <c r="AM114" s="5" t="s">
        <v>12</v>
      </c>
      <c r="AN114" s="5" t="s">
        <v>12</v>
      </c>
      <c r="AO114" s="5" t="s">
        <v>69</v>
      </c>
      <c r="AP114" s="5" t="s">
        <v>68</v>
      </c>
      <c r="AQ114" s="5" t="s">
        <v>99</v>
      </c>
      <c r="AR114" s="5" t="s">
        <v>98</v>
      </c>
    </row>
    <row r="115" spans="1:44" ht="31.5" x14ac:dyDescent="0.25">
      <c r="A115" s="10">
        <v>46096</v>
      </c>
      <c r="B115" s="5" t="s">
        <v>1276</v>
      </c>
      <c r="C115" s="5" t="s">
        <v>2189</v>
      </c>
      <c r="D115" s="5" t="s">
        <v>11</v>
      </c>
      <c r="E115" s="5" t="s">
        <v>0</v>
      </c>
      <c r="F115" s="5" t="s">
        <v>0</v>
      </c>
      <c r="G115" s="5" t="s">
        <v>3460</v>
      </c>
      <c r="H115" s="5" t="s">
        <v>3461</v>
      </c>
      <c r="I115" s="6" t="str">
        <f>HYPERLINK("http://maps.yandex.ru/?ll=38.3978,52.77311&amp;spn=0.011598,0.004531&amp;z=17&amp;l=map&amp;pt=38.3978,52.77311", "52.773117//38.3978")</f>
        <v>52.773117//38.3978</v>
      </c>
      <c r="J115" s="5" t="s">
        <v>151</v>
      </c>
      <c r="K115" s="6" t="str">
        <f>HYPERLINK("http://maps.yandex.ru/?ll=37.557945,55.48439&amp;spn=0.011598,0.004531&amp;z=17&amp;l=map&amp;pt=37.557945,55.48439", "55.484398//37.557945")</f>
        <v>55.484398//37.557945</v>
      </c>
      <c r="L115" s="5" t="s">
        <v>23</v>
      </c>
      <c r="M115" s="5" t="s">
        <v>1379</v>
      </c>
      <c r="N115" s="5" t="s">
        <v>736</v>
      </c>
      <c r="O115" s="5" t="s">
        <v>322</v>
      </c>
      <c r="P115" s="5">
        <v>18</v>
      </c>
      <c r="Q115" s="5">
        <v>81</v>
      </c>
      <c r="R115" s="5">
        <v>1</v>
      </c>
      <c r="S115" s="5">
        <v>332.42599999999999</v>
      </c>
      <c r="T115" s="5" t="s">
        <v>12</v>
      </c>
      <c r="U115" s="5" t="s">
        <v>12</v>
      </c>
      <c r="V115" s="5" t="s">
        <v>12</v>
      </c>
      <c r="W115" s="5">
        <v>13.85</v>
      </c>
      <c r="X115" s="5">
        <v>75.28</v>
      </c>
      <c r="Y115" s="5">
        <v>214</v>
      </c>
      <c r="Z115" s="5" t="s">
        <v>1707</v>
      </c>
      <c r="AA115" s="5" t="s">
        <v>1530</v>
      </c>
      <c r="AB115" s="5" t="s">
        <v>19</v>
      </c>
      <c r="AC115" s="5" t="s">
        <v>19</v>
      </c>
      <c r="AD115" s="5" t="s">
        <v>19</v>
      </c>
      <c r="AE115" s="5" t="s">
        <v>1929</v>
      </c>
      <c r="AF115" s="5" t="s">
        <v>12</v>
      </c>
      <c r="AG115" s="5"/>
      <c r="AH115" s="5"/>
      <c r="AI115" s="5"/>
      <c r="AJ115" s="5"/>
      <c r="AK115" s="5"/>
      <c r="AL115" s="5" t="s">
        <v>19</v>
      </c>
      <c r="AM115" s="5" t="s">
        <v>19</v>
      </c>
      <c r="AN115" s="5" t="s">
        <v>19</v>
      </c>
      <c r="AO115" s="5" t="s">
        <v>69</v>
      </c>
      <c r="AP115" s="5" t="s">
        <v>68</v>
      </c>
      <c r="AQ115" s="5" t="s">
        <v>99</v>
      </c>
      <c r="AR115" s="5" t="s">
        <v>98</v>
      </c>
    </row>
    <row r="116" spans="1:44" ht="15.75" x14ac:dyDescent="0.25">
      <c r="A116" s="10">
        <v>46096</v>
      </c>
      <c r="B116" s="5" t="s">
        <v>1275</v>
      </c>
      <c r="C116" s="5" t="s">
        <v>2192</v>
      </c>
      <c r="D116" s="5" t="s">
        <v>11</v>
      </c>
      <c r="E116" s="5" t="s">
        <v>11</v>
      </c>
      <c r="F116" s="5" t="s">
        <v>11</v>
      </c>
      <c r="G116" s="5" t="s">
        <v>11</v>
      </c>
      <c r="H116" s="5" t="s">
        <v>11</v>
      </c>
      <c r="I116" s="6" t="str">
        <f>HYPERLINK("http://maps.yandex.ru/?ll=,&amp;spn=0.011598,0.004531&amp;z=17&amp;l=map&amp;pt=,", "")</f>
        <v/>
      </c>
      <c r="J116" s="5" t="s">
        <v>84</v>
      </c>
      <c r="K116" s="6" t="str">
        <f>HYPERLINK("http://maps.yandex.ru/?ll=,&amp;spn=0.011598,0.004531&amp;z=17&amp;l=map&amp;pt=,", "")</f>
        <v/>
      </c>
      <c r="L116" s="5" t="s">
        <v>84</v>
      </c>
      <c r="M116" s="5" t="s">
        <v>13</v>
      </c>
      <c r="N116" s="5" t="s">
        <v>13</v>
      </c>
      <c r="O116" s="5" t="s">
        <v>58</v>
      </c>
      <c r="P116" s="5">
        <v>0</v>
      </c>
      <c r="Q116" s="5">
        <v>0</v>
      </c>
      <c r="R116" s="5">
        <v>100</v>
      </c>
      <c r="S116" s="5">
        <v>0</v>
      </c>
      <c r="T116" s="5" t="s">
        <v>12</v>
      </c>
      <c r="U116" s="5" t="s">
        <v>12</v>
      </c>
      <c r="V116" s="5" t="s">
        <v>12</v>
      </c>
      <c r="W116" s="5">
        <v>0</v>
      </c>
      <c r="X116" s="5">
        <v>0</v>
      </c>
      <c r="Y116" s="5">
        <v>0</v>
      </c>
      <c r="Z116" s="5" t="s">
        <v>12</v>
      </c>
      <c r="AA116" s="5" t="s">
        <v>12</v>
      </c>
      <c r="AB116" s="5" t="s">
        <v>19</v>
      </c>
      <c r="AC116" s="5" t="s">
        <v>19</v>
      </c>
      <c r="AD116" s="5" t="s">
        <v>19</v>
      </c>
      <c r="AE116" s="5" t="s">
        <v>12</v>
      </c>
      <c r="AF116" s="5" t="s">
        <v>12</v>
      </c>
      <c r="AG116" s="5"/>
      <c r="AH116" s="5"/>
      <c r="AI116" s="5"/>
      <c r="AJ116" s="5"/>
      <c r="AK116" s="5"/>
      <c r="AL116" s="5" t="s">
        <v>12</v>
      </c>
      <c r="AM116" s="5" t="s">
        <v>12</v>
      </c>
      <c r="AN116" s="5" t="s">
        <v>12</v>
      </c>
      <c r="AO116" s="5" t="s">
        <v>69</v>
      </c>
      <c r="AP116" s="5" t="s">
        <v>68</v>
      </c>
      <c r="AQ116" s="5" t="s">
        <v>99</v>
      </c>
      <c r="AR116" s="5" t="s">
        <v>98</v>
      </c>
    </row>
    <row r="117" spans="1:44" ht="31.5" x14ac:dyDescent="0.25">
      <c r="A117" s="10">
        <v>46096</v>
      </c>
      <c r="B117" s="5" t="s">
        <v>1274</v>
      </c>
      <c r="C117" s="5" t="s">
        <v>2193</v>
      </c>
      <c r="D117" s="5" t="s">
        <v>11</v>
      </c>
      <c r="E117" s="5" t="s">
        <v>8</v>
      </c>
      <c r="F117" s="5" t="s">
        <v>8</v>
      </c>
      <c r="G117" s="5" t="s">
        <v>3462</v>
      </c>
      <c r="H117" s="5" t="s">
        <v>3463</v>
      </c>
      <c r="I117" s="6" t="str">
        <f>HYPERLINK("http://maps.yandex.ru/?ll=41.036594,54.2116&amp;spn=0.011598,0.004531&amp;z=17&amp;l=map&amp;pt=41.036594,54.2116", "54.21168//41.036594")</f>
        <v>54.21168//41.036594</v>
      </c>
      <c r="J117" s="5" t="s">
        <v>118</v>
      </c>
      <c r="K117" s="6" t="str">
        <f>HYPERLINK("http://maps.yandex.ru/?ll=49.478924,53.4098&amp;spn=0.011598,0.004531&amp;z=17&amp;l=map&amp;pt=49.478924,53.4098", "53.40989//49.478924")</f>
        <v>53.40989//49.478924</v>
      </c>
      <c r="L117" s="5" t="s">
        <v>76</v>
      </c>
      <c r="M117" s="5" t="s">
        <v>3464</v>
      </c>
      <c r="N117" s="5" t="s">
        <v>1344</v>
      </c>
      <c r="O117" s="5" t="s">
        <v>768</v>
      </c>
      <c r="P117" s="5">
        <v>40</v>
      </c>
      <c r="Q117" s="5">
        <v>55</v>
      </c>
      <c r="R117" s="5">
        <v>5</v>
      </c>
      <c r="S117" s="5">
        <v>635.65200000000004</v>
      </c>
      <c r="T117" s="5" t="s">
        <v>12</v>
      </c>
      <c r="U117" s="5" t="s">
        <v>12</v>
      </c>
      <c r="V117" s="5" t="s">
        <v>12</v>
      </c>
      <c r="W117" s="5">
        <v>26.49</v>
      </c>
      <c r="X117" s="5">
        <v>66.2</v>
      </c>
      <c r="Y117" s="5">
        <v>149</v>
      </c>
      <c r="Z117" s="5" t="s">
        <v>1955</v>
      </c>
      <c r="AA117" s="5" t="s">
        <v>1474</v>
      </c>
      <c r="AB117" s="5" t="s">
        <v>1910</v>
      </c>
      <c r="AC117" s="5" t="s">
        <v>1673</v>
      </c>
      <c r="AD117" s="5" t="s">
        <v>19</v>
      </c>
      <c r="AE117" s="5" t="s">
        <v>2505</v>
      </c>
      <c r="AF117" s="5" t="s">
        <v>12</v>
      </c>
      <c r="AG117" s="5"/>
      <c r="AH117" s="5"/>
      <c r="AI117" s="5"/>
      <c r="AJ117" s="5"/>
      <c r="AK117" s="5"/>
      <c r="AL117" s="5" t="s">
        <v>3465</v>
      </c>
      <c r="AM117" s="5" t="s">
        <v>3466</v>
      </c>
      <c r="AN117" s="5" t="s">
        <v>1927</v>
      </c>
      <c r="AO117" s="5" t="s">
        <v>115</v>
      </c>
      <c r="AP117" s="5" t="s">
        <v>114</v>
      </c>
      <c r="AQ117" s="5" t="s">
        <v>99</v>
      </c>
      <c r="AR117" s="5" t="s">
        <v>98</v>
      </c>
    </row>
    <row r="118" spans="1:44" ht="31.5" x14ac:dyDescent="0.25">
      <c r="A118" s="10">
        <v>46096</v>
      </c>
      <c r="B118" s="5" t="s">
        <v>1273</v>
      </c>
      <c r="C118" s="5" t="s">
        <v>2196</v>
      </c>
      <c r="D118" s="5" t="s">
        <v>11</v>
      </c>
      <c r="E118" s="5" t="s">
        <v>5</v>
      </c>
      <c r="F118" s="5" t="s">
        <v>5</v>
      </c>
      <c r="G118" s="5" t="s">
        <v>3467</v>
      </c>
      <c r="H118" s="5" t="s">
        <v>3468</v>
      </c>
      <c r="I118" s="6" t="str">
        <f>HYPERLINK("http://maps.yandex.ru/?ll=40.524246,49.82565&amp;spn=0.011598,0.004531&amp;z=17&amp;l=map&amp;pt=40.524246,49.82565", "49.825653//40.524246")</f>
        <v>49.825653//40.524246</v>
      </c>
      <c r="J118" s="5" t="s">
        <v>101</v>
      </c>
      <c r="K118" s="6" t="str">
        <f>HYPERLINK("http://maps.yandex.ru/?ll=39.813286,47.03265&amp;spn=0.011598,0.004531&amp;z=17&amp;l=map&amp;pt=39.813286,47.03265", "47.032658//39.813286")</f>
        <v>47.032658//39.813286</v>
      </c>
      <c r="L118" s="5" t="s">
        <v>64</v>
      </c>
      <c r="M118" s="5" t="s">
        <v>679</v>
      </c>
      <c r="N118" s="5" t="s">
        <v>1302</v>
      </c>
      <c r="O118" s="5" t="s">
        <v>432</v>
      </c>
      <c r="P118" s="5">
        <v>41</v>
      </c>
      <c r="Q118" s="5">
        <v>33</v>
      </c>
      <c r="R118" s="5">
        <v>26</v>
      </c>
      <c r="S118" s="5">
        <v>821.077</v>
      </c>
      <c r="T118" s="5" t="s">
        <v>12</v>
      </c>
      <c r="U118" s="5" t="s">
        <v>12</v>
      </c>
      <c r="V118" s="5" t="s">
        <v>12</v>
      </c>
      <c r="W118" s="5">
        <v>34.21</v>
      </c>
      <c r="X118" s="5">
        <v>82.5</v>
      </c>
      <c r="Y118" s="5">
        <v>163</v>
      </c>
      <c r="Z118" s="5" t="s">
        <v>2197</v>
      </c>
      <c r="AA118" s="5" t="s">
        <v>2297</v>
      </c>
      <c r="AB118" s="5" t="s">
        <v>19</v>
      </c>
      <c r="AC118" s="5" t="s">
        <v>19</v>
      </c>
      <c r="AD118" s="5" t="s">
        <v>19</v>
      </c>
      <c r="AE118" s="5" t="s">
        <v>1777</v>
      </c>
      <c r="AF118" s="5" t="s">
        <v>12</v>
      </c>
      <c r="AG118" s="5"/>
      <c r="AH118" s="5"/>
      <c r="AI118" s="5"/>
      <c r="AJ118" s="5"/>
      <c r="AK118" s="5"/>
      <c r="AL118" s="5" t="s">
        <v>12</v>
      </c>
      <c r="AM118" s="5" t="s">
        <v>12</v>
      </c>
      <c r="AN118" s="5" t="s">
        <v>12</v>
      </c>
      <c r="AO118" s="5" t="s">
        <v>115</v>
      </c>
      <c r="AP118" s="5" t="s">
        <v>114</v>
      </c>
      <c r="AQ118" s="5" t="s">
        <v>99</v>
      </c>
      <c r="AR118" s="5" t="s">
        <v>98</v>
      </c>
    </row>
    <row r="119" spans="1:44" ht="31.5" x14ac:dyDescent="0.25">
      <c r="A119" s="10">
        <v>46096</v>
      </c>
      <c r="B119" s="5" t="s">
        <v>1271</v>
      </c>
      <c r="C119" s="5" t="s">
        <v>2198</v>
      </c>
      <c r="D119" s="5" t="s">
        <v>11</v>
      </c>
      <c r="E119" s="5" t="s">
        <v>0</v>
      </c>
      <c r="F119" s="5" t="s">
        <v>0</v>
      </c>
      <c r="G119" s="5" t="s">
        <v>3469</v>
      </c>
      <c r="H119" s="5" t="s">
        <v>3470</v>
      </c>
      <c r="I119" s="6" t="str">
        <f>HYPERLINK("http://maps.yandex.ru/?ll=39.04876,52.29281&amp;spn=0.011598,0.004531&amp;z=17&amp;l=map&amp;pt=39.04876,52.29281", "52.292816//39.04876")</f>
        <v>52.292816//39.04876</v>
      </c>
      <c r="J119" s="5" t="s">
        <v>151</v>
      </c>
      <c r="K119" s="6" t="str">
        <f>HYPERLINK("http://maps.yandex.ru/?ll=39.972706,47.42526&amp;spn=0.011598,0.004531&amp;z=17&amp;l=map&amp;pt=39.972706,47.42526", "47.425266//39.972706")</f>
        <v>47.425266//39.972706</v>
      </c>
      <c r="L119" s="5" t="s">
        <v>64</v>
      </c>
      <c r="M119" s="5" t="s">
        <v>1146</v>
      </c>
      <c r="N119" s="5" t="s">
        <v>1477</v>
      </c>
      <c r="O119" s="5" t="s">
        <v>850</v>
      </c>
      <c r="P119" s="5">
        <v>39</v>
      </c>
      <c r="Q119" s="5">
        <v>52</v>
      </c>
      <c r="R119" s="5">
        <v>9</v>
      </c>
      <c r="S119" s="5">
        <v>556.69399999999996</v>
      </c>
      <c r="T119" s="5" t="s">
        <v>12</v>
      </c>
      <c r="U119" s="5" t="s">
        <v>12</v>
      </c>
      <c r="V119" s="5" t="s">
        <v>12</v>
      </c>
      <c r="W119" s="5">
        <v>23.2</v>
      </c>
      <c r="X119" s="5">
        <v>59.57</v>
      </c>
      <c r="Y119" s="5">
        <v>143</v>
      </c>
      <c r="Z119" s="5" t="s">
        <v>1823</v>
      </c>
      <c r="AA119" s="5" t="s">
        <v>1948</v>
      </c>
      <c r="AB119" s="5" t="s">
        <v>1612</v>
      </c>
      <c r="AC119" s="5" t="s">
        <v>1673</v>
      </c>
      <c r="AD119" s="5" t="s">
        <v>19</v>
      </c>
      <c r="AE119" s="5" t="s">
        <v>2505</v>
      </c>
      <c r="AF119" s="5" t="s">
        <v>12</v>
      </c>
      <c r="AG119" s="5"/>
      <c r="AH119" s="5"/>
      <c r="AI119" s="5"/>
      <c r="AJ119" s="5"/>
      <c r="AK119" s="5"/>
      <c r="AL119" s="5" t="s">
        <v>3471</v>
      </c>
      <c r="AM119" s="5" t="s">
        <v>3472</v>
      </c>
      <c r="AN119" s="5" t="s">
        <v>1927</v>
      </c>
      <c r="AO119" s="5" t="s">
        <v>115</v>
      </c>
      <c r="AP119" s="5" t="s">
        <v>114</v>
      </c>
      <c r="AQ119" s="5" t="s">
        <v>99</v>
      </c>
      <c r="AR119" s="5" t="s">
        <v>98</v>
      </c>
    </row>
    <row r="120" spans="1:44" ht="31.5" x14ac:dyDescent="0.25">
      <c r="A120" s="10">
        <v>46096</v>
      </c>
      <c r="B120" s="5" t="s">
        <v>1269</v>
      </c>
      <c r="C120" s="5" t="s">
        <v>2199</v>
      </c>
      <c r="D120" s="5" t="s">
        <v>11</v>
      </c>
      <c r="E120" s="5" t="s">
        <v>8</v>
      </c>
      <c r="F120" s="5" t="s">
        <v>8</v>
      </c>
      <c r="G120" s="5" t="s">
        <v>3103</v>
      </c>
      <c r="H120" s="5" t="s">
        <v>3473</v>
      </c>
      <c r="I120" s="6" t="str">
        <f>HYPERLINK("http://maps.yandex.ru/?ll=31.401257,59.259&amp;spn=0.011598,0.004531&amp;z=17&amp;l=map&amp;pt=31.401257,59.259", "59.2599//31.401257")</f>
        <v>59.2599//31.401257</v>
      </c>
      <c r="J120" s="5" t="s">
        <v>22</v>
      </c>
      <c r="K120" s="6" t="str">
        <f>HYPERLINK("http://maps.yandex.ru/?ll=30.596153,59.70073&amp;spn=0.011598,0.004531&amp;z=17&amp;l=map&amp;pt=30.596153,59.70073", "59.700733//30.596153")</f>
        <v>59.700733//30.596153</v>
      </c>
      <c r="L120" s="5" t="s">
        <v>22</v>
      </c>
      <c r="M120" s="5" t="s">
        <v>55</v>
      </c>
      <c r="N120" s="5" t="s">
        <v>782</v>
      </c>
      <c r="O120" s="5" t="s">
        <v>299</v>
      </c>
      <c r="P120" s="5">
        <v>7</v>
      </c>
      <c r="Q120" s="5">
        <v>62</v>
      </c>
      <c r="R120" s="5">
        <v>32</v>
      </c>
      <c r="S120" s="5">
        <v>73.501000000000005</v>
      </c>
      <c r="T120" s="5" t="s">
        <v>12</v>
      </c>
      <c r="U120" s="5" t="s">
        <v>12</v>
      </c>
      <c r="V120" s="5" t="s">
        <v>12</v>
      </c>
      <c r="W120" s="5">
        <v>3.06</v>
      </c>
      <c r="X120" s="5">
        <v>47.04</v>
      </c>
      <c r="Y120" s="5">
        <v>74</v>
      </c>
      <c r="Z120" s="5" t="s">
        <v>2111</v>
      </c>
      <c r="AA120" s="5" t="s">
        <v>2111</v>
      </c>
      <c r="AB120" s="5" t="s">
        <v>19</v>
      </c>
      <c r="AC120" s="5" t="s">
        <v>19</v>
      </c>
      <c r="AD120" s="5" t="s">
        <v>19</v>
      </c>
      <c r="AE120" s="5" t="s">
        <v>19</v>
      </c>
      <c r="AF120" s="5" t="s">
        <v>12</v>
      </c>
      <c r="AG120" s="5"/>
      <c r="AH120" s="5"/>
      <c r="AI120" s="5"/>
      <c r="AJ120" s="5"/>
      <c r="AK120" s="5"/>
      <c r="AL120" s="5" t="s">
        <v>12</v>
      </c>
      <c r="AM120" s="5" t="s">
        <v>12</v>
      </c>
      <c r="AN120" s="5" t="s">
        <v>12</v>
      </c>
      <c r="AO120" s="5" t="s">
        <v>115</v>
      </c>
      <c r="AP120" s="5" t="s">
        <v>114</v>
      </c>
      <c r="AQ120" s="5" t="s">
        <v>99</v>
      </c>
      <c r="AR120" s="5" t="s">
        <v>98</v>
      </c>
    </row>
    <row r="121" spans="1:44" ht="31.5" x14ac:dyDescent="0.25">
      <c r="A121" s="10">
        <v>46096</v>
      </c>
      <c r="B121" s="5" t="s">
        <v>1268</v>
      </c>
      <c r="C121" s="5" t="s">
        <v>2202</v>
      </c>
      <c r="D121" s="5" t="s">
        <v>11</v>
      </c>
      <c r="E121" s="5" t="s">
        <v>8</v>
      </c>
      <c r="F121" s="5" t="s">
        <v>8</v>
      </c>
      <c r="G121" s="5" t="s">
        <v>3474</v>
      </c>
      <c r="H121" s="5" t="s">
        <v>3475</v>
      </c>
      <c r="I121" s="6" t="str">
        <f>HYPERLINK("http://maps.yandex.ru/?ll=42.073555,44.24063&amp;spn=0.011598,0.004531&amp;z=17&amp;l=map&amp;pt=42.073555,44.24063", "44.240635//42.073555")</f>
        <v>44.240635//42.073555</v>
      </c>
      <c r="J121" s="5" t="s">
        <v>23</v>
      </c>
      <c r="K121" s="6" t="str">
        <f>HYPERLINK("http://maps.yandex.ru/?ll=39.54728,45.212&amp;spn=0.011598,0.004531&amp;z=17&amp;l=map&amp;pt=39.54728,45.212", "45.2123//39.54728")</f>
        <v>45.2123//39.54728</v>
      </c>
      <c r="L121" s="5" t="s">
        <v>88</v>
      </c>
      <c r="M121" s="5" t="s">
        <v>1156</v>
      </c>
      <c r="N121" s="5" t="s">
        <v>1155</v>
      </c>
      <c r="O121" s="5" t="s">
        <v>13</v>
      </c>
      <c r="P121" s="5">
        <v>19</v>
      </c>
      <c r="Q121" s="5">
        <v>81</v>
      </c>
      <c r="R121" s="5">
        <v>0</v>
      </c>
      <c r="S121" s="5">
        <v>290.87700000000001</v>
      </c>
      <c r="T121" s="5" t="s">
        <v>3476</v>
      </c>
      <c r="U121" s="5" t="s">
        <v>3477</v>
      </c>
      <c r="V121" s="5" t="s">
        <v>3478</v>
      </c>
      <c r="W121" s="5">
        <v>12.12</v>
      </c>
      <c r="X121" s="5">
        <v>65.31</v>
      </c>
      <c r="Y121" s="5">
        <v>98</v>
      </c>
      <c r="Z121" s="5" t="s">
        <v>2205</v>
      </c>
      <c r="AA121" s="5" t="s">
        <v>3479</v>
      </c>
      <c r="AB121" s="5" t="s">
        <v>19</v>
      </c>
      <c r="AC121" s="5" t="s">
        <v>19</v>
      </c>
      <c r="AD121" s="5" t="s">
        <v>19</v>
      </c>
      <c r="AE121" s="5" t="s">
        <v>2307</v>
      </c>
      <c r="AF121" s="5" t="s">
        <v>3480</v>
      </c>
      <c r="AG121" s="5">
        <v>83</v>
      </c>
      <c r="AH121" s="5">
        <v>3</v>
      </c>
      <c r="AI121" s="5">
        <v>80</v>
      </c>
      <c r="AJ121" s="5">
        <v>27.21</v>
      </c>
      <c r="AK121" s="5">
        <v>26.23</v>
      </c>
      <c r="AL121" s="5" t="s">
        <v>12</v>
      </c>
      <c r="AM121" s="5" t="s">
        <v>12</v>
      </c>
      <c r="AN121" s="5" t="s">
        <v>12</v>
      </c>
      <c r="AO121" s="5" t="s">
        <v>11</v>
      </c>
      <c r="AP121" s="5" t="s">
        <v>11</v>
      </c>
      <c r="AQ121" s="5" t="s">
        <v>18</v>
      </c>
      <c r="AR121" s="5" t="s">
        <v>17</v>
      </c>
    </row>
    <row r="122" spans="1:44" ht="15.75" x14ac:dyDescent="0.25">
      <c r="A122" s="10">
        <v>46096</v>
      </c>
      <c r="B122" s="5" t="s">
        <v>1267</v>
      </c>
      <c r="C122" s="5" t="s">
        <v>2206</v>
      </c>
      <c r="D122" s="5" t="s">
        <v>11</v>
      </c>
      <c r="E122" s="5" t="s">
        <v>6</v>
      </c>
      <c r="F122" s="5" t="s">
        <v>6</v>
      </c>
      <c r="G122" s="5" t="s">
        <v>11</v>
      </c>
      <c r="H122" s="5" t="s">
        <v>11</v>
      </c>
      <c r="I122" s="6" t="str">
        <f>HYPERLINK("http://maps.yandex.ru/?ll=,&amp;spn=0.011598,0.004531&amp;z=17&amp;l=map&amp;pt=,", "")</f>
        <v/>
      </c>
      <c r="J122" s="5" t="s">
        <v>84</v>
      </c>
      <c r="K122" s="6" t="str">
        <f>HYPERLINK("http://maps.yandex.ru/?ll=,&amp;spn=0.011598,0.004531&amp;z=17&amp;l=map&amp;pt=,", "")</f>
        <v/>
      </c>
      <c r="L122" s="5" t="s">
        <v>84</v>
      </c>
      <c r="M122" s="5" t="s">
        <v>13</v>
      </c>
      <c r="N122" s="5" t="s">
        <v>13</v>
      </c>
      <c r="O122" s="5" t="s">
        <v>58</v>
      </c>
      <c r="P122" s="5">
        <v>0</v>
      </c>
      <c r="Q122" s="5">
        <v>0</v>
      </c>
      <c r="R122" s="5">
        <v>100</v>
      </c>
      <c r="S122" s="5">
        <v>0</v>
      </c>
      <c r="T122" s="5" t="s">
        <v>12</v>
      </c>
      <c r="U122" s="5" t="s">
        <v>12</v>
      </c>
      <c r="V122" s="5" t="s">
        <v>12</v>
      </c>
      <c r="W122" s="5">
        <v>0</v>
      </c>
      <c r="X122" s="5">
        <v>0</v>
      </c>
      <c r="Y122" s="5">
        <v>0</v>
      </c>
      <c r="Z122" s="5" t="s">
        <v>12</v>
      </c>
      <c r="AA122" s="5" t="s">
        <v>12</v>
      </c>
      <c r="AB122" s="5" t="s">
        <v>19</v>
      </c>
      <c r="AC122" s="5" t="s">
        <v>19</v>
      </c>
      <c r="AD122" s="5" t="s">
        <v>19</v>
      </c>
      <c r="AE122" s="5" t="s">
        <v>12</v>
      </c>
      <c r="AF122" s="5" t="s">
        <v>12</v>
      </c>
      <c r="AG122" s="5"/>
      <c r="AH122" s="5">
        <v>0</v>
      </c>
      <c r="AI122" s="5"/>
      <c r="AJ122" s="5"/>
      <c r="AK122" s="5"/>
      <c r="AL122" s="5" t="s">
        <v>12</v>
      </c>
      <c r="AM122" s="5" t="s">
        <v>12</v>
      </c>
      <c r="AN122" s="5" t="s">
        <v>12</v>
      </c>
      <c r="AO122" s="5" t="s">
        <v>11</v>
      </c>
      <c r="AP122" s="5" t="s">
        <v>11</v>
      </c>
      <c r="AQ122" s="5" t="s">
        <v>18</v>
      </c>
      <c r="AR122" s="5" t="s">
        <v>17</v>
      </c>
    </row>
    <row r="123" spans="1:44" ht="31.5" x14ac:dyDescent="0.25">
      <c r="A123" s="10">
        <v>46096</v>
      </c>
      <c r="B123" s="5" t="s">
        <v>1266</v>
      </c>
      <c r="C123" s="5" t="s">
        <v>2207</v>
      </c>
      <c r="D123" s="5" t="s">
        <v>11</v>
      </c>
      <c r="E123" s="5" t="s">
        <v>0</v>
      </c>
      <c r="F123" s="5" t="s">
        <v>0</v>
      </c>
      <c r="G123" s="5" t="s">
        <v>3481</v>
      </c>
      <c r="H123" s="5" t="s">
        <v>3482</v>
      </c>
      <c r="I123" s="6" t="str">
        <f>HYPERLINK("http://maps.yandex.ru/?ll=55.92689,53.64352&amp;spn=0.011598,0.004531&amp;z=17&amp;l=map&amp;pt=55.92689,53.64352", "53.643528//55.92689")</f>
        <v>53.643528//55.92689</v>
      </c>
      <c r="J123" s="5" t="s">
        <v>34</v>
      </c>
      <c r="K123" s="6" t="str">
        <f>HYPERLINK("http://maps.yandex.ru/?ll=55.926895,53.64351&amp;spn=0.011598,0.004531&amp;z=17&amp;l=map&amp;pt=55.926895,53.64351", "53.643517//55.926895")</f>
        <v>53.643517//55.926895</v>
      </c>
      <c r="L123" s="5" t="s">
        <v>34</v>
      </c>
      <c r="M123" s="5" t="s">
        <v>13</v>
      </c>
      <c r="N123" s="5" t="s">
        <v>473</v>
      </c>
      <c r="O123" s="5" t="s">
        <v>818</v>
      </c>
      <c r="P123" s="5">
        <v>0</v>
      </c>
      <c r="Q123" s="5">
        <v>3</v>
      </c>
      <c r="R123" s="5">
        <v>97</v>
      </c>
      <c r="S123" s="5">
        <v>0</v>
      </c>
      <c r="T123" s="5" t="s">
        <v>12</v>
      </c>
      <c r="U123" s="5" t="s">
        <v>12</v>
      </c>
      <c r="V123" s="5" t="s">
        <v>12</v>
      </c>
      <c r="W123" s="5">
        <v>0</v>
      </c>
      <c r="X123" s="5">
        <v>0</v>
      </c>
      <c r="Y123" s="5">
        <v>4</v>
      </c>
      <c r="Z123" s="5" t="s">
        <v>1762</v>
      </c>
      <c r="AA123" s="5" t="s">
        <v>12</v>
      </c>
      <c r="AB123" s="5" t="s">
        <v>19</v>
      </c>
      <c r="AC123" s="5" t="s">
        <v>19</v>
      </c>
      <c r="AD123" s="5" t="s">
        <v>19</v>
      </c>
      <c r="AE123" s="5" t="s">
        <v>12</v>
      </c>
      <c r="AF123" s="5" t="s">
        <v>12</v>
      </c>
      <c r="AG123" s="5">
        <v>0</v>
      </c>
      <c r="AH123" s="5">
        <v>0</v>
      </c>
      <c r="AI123" s="5">
        <v>0</v>
      </c>
      <c r="AJ123" s="5"/>
      <c r="AK123" s="5"/>
      <c r="AL123" s="5" t="s">
        <v>12</v>
      </c>
      <c r="AM123" s="5" t="s">
        <v>12</v>
      </c>
      <c r="AN123" s="5" t="s">
        <v>12</v>
      </c>
      <c r="AO123" s="5" t="s">
        <v>11</v>
      </c>
      <c r="AP123" s="5" t="s">
        <v>11</v>
      </c>
      <c r="AQ123" s="5" t="s">
        <v>18</v>
      </c>
      <c r="AR123" s="5" t="s">
        <v>17</v>
      </c>
    </row>
    <row r="124" spans="1:44" ht="31.5" x14ac:dyDescent="0.25">
      <c r="A124" s="10">
        <v>46096</v>
      </c>
      <c r="B124" s="5" t="s">
        <v>1264</v>
      </c>
      <c r="C124" s="5" t="s">
        <v>2208</v>
      </c>
      <c r="D124" s="5" t="s">
        <v>11</v>
      </c>
      <c r="E124" s="5" t="s">
        <v>8</v>
      </c>
      <c r="F124" s="5" t="s">
        <v>8</v>
      </c>
      <c r="G124" s="5" t="s">
        <v>3483</v>
      </c>
      <c r="H124" s="5" t="s">
        <v>3484</v>
      </c>
      <c r="I124" s="6" t="str">
        <f>HYPERLINK("http://maps.yandex.ru/?ll=55.762985,54.69922&amp;spn=0.011598,0.004531&amp;z=17&amp;l=map&amp;pt=55.762985,54.69922", "54.699226//55.762985")</f>
        <v>54.699226//55.762985</v>
      </c>
      <c r="J124" s="5" t="s">
        <v>34</v>
      </c>
      <c r="K124" s="6" t="str">
        <f>HYPERLINK("http://maps.yandex.ru/?ll=61.616745,55.30786&amp;spn=0.011598,0.004531&amp;z=17&amp;l=map&amp;pt=61.616745,55.30786", "55.307865//61.616745")</f>
        <v>55.307865//61.616745</v>
      </c>
      <c r="L124" s="5" t="s">
        <v>227</v>
      </c>
      <c r="M124" s="5" t="s">
        <v>466</v>
      </c>
      <c r="N124" s="5" t="s">
        <v>3485</v>
      </c>
      <c r="O124" s="5" t="s">
        <v>13</v>
      </c>
      <c r="P124" s="5">
        <v>30</v>
      </c>
      <c r="Q124" s="5">
        <v>70</v>
      </c>
      <c r="R124" s="5">
        <v>0</v>
      </c>
      <c r="S124" s="5">
        <v>484.435</v>
      </c>
      <c r="T124" s="5" t="s">
        <v>2271</v>
      </c>
      <c r="U124" s="5" t="s">
        <v>3486</v>
      </c>
      <c r="V124" s="5" t="s">
        <v>3487</v>
      </c>
      <c r="W124" s="5">
        <v>20.190000000000001</v>
      </c>
      <c r="X124" s="5">
        <v>66.36</v>
      </c>
      <c r="Y124" s="5">
        <v>111</v>
      </c>
      <c r="Z124" s="5" t="s">
        <v>2210</v>
      </c>
      <c r="AA124" s="5" t="s">
        <v>2934</v>
      </c>
      <c r="AB124" s="5" t="s">
        <v>2211</v>
      </c>
      <c r="AC124" s="5" t="s">
        <v>1673</v>
      </c>
      <c r="AD124" s="5" t="s">
        <v>19</v>
      </c>
      <c r="AE124" s="5" t="s">
        <v>1923</v>
      </c>
      <c r="AF124" s="5" t="s">
        <v>3488</v>
      </c>
      <c r="AG124" s="5">
        <v>201</v>
      </c>
      <c r="AH124" s="5">
        <v>2</v>
      </c>
      <c r="AI124" s="5">
        <v>199</v>
      </c>
      <c r="AJ124" s="5">
        <v>39.64</v>
      </c>
      <c r="AK124" s="5">
        <v>39.25</v>
      </c>
      <c r="AL124" s="5" t="s">
        <v>12</v>
      </c>
      <c r="AM124" s="5" t="s">
        <v>12</v>
      </c>
      <c r="AN124" s="5" t="s">
        <v>12</v>
      </c>
      <c r="AO124" s="5" t="s">
        <v>11</v>
      </c>
      <c r="AP124" s="5" t="s">
        <v>11</v>
      </c>
      <c r="AQ124" s="5" t="s">
        <v>18</v>
      </c>
      <c r="AR124" s="5" t="s">
        <v>17</v>
      </c>
    </row>
    <row r="125" spans="1:44" ht="31.5" x14ac:dyDescent="0.25">
      <c r="A125" s="10">
        <v>46096</v>
      </c>
      <c r="B125" s="5" t="s">
        <v>1263</v>
      </c>
      <c r="C125" s="5" t="s">
        <v>2212</v>
      </c>
      <c r="D125" s="5" t="s">
        <v>11</v>
      </c>
      <c r="E125" s="5" t="s">
        <v>40</v>
      </c>
      <c r="F125" s="5" t="s">
        <v>11</v>
      </c>
      <c r="G125" s="5" t="s">
        <v>3489</v>
      </c>
      <c r="H125" s="5" t="s">
        <v>3490</v>
      </c>
      <c r="I125" s="6" t="str">
        <f>HYPERLINK("http://maps.yandex.ru/?ll=30.418777,59.77026&amp;spn=0.011598,0.004531&amp;z=17&amp;l=map&amp;pt=30.418777,59.77026", "59.770267//30.418777")</f>
        <v>59.770267//30.418777</v>
      </c>
      <c r="J125" s="5" t="s">
        <v>23</v>
      </c>
      <c r="K125" s="6" t="str">
        <f>HYPERLINK("http://maps.yandex.ru/?ll=30.188826,59.8753&amp;spn=0.011598,0.004531&amp;z=17&amp;l=map&amp;pt=30.188826,59.8753", "59.87532//30.188826")</f>
        <v>59.87532//30.188826</v>
      </c>
      <c r="L125" s="5" t="s">
        <v>23</v>
      </c>
      <c r="M125" s="5" t="s">
        <v>737</v>
      </c>
      <c r="N125" s="5" t="s">
        <v>3491</v>
      </c>
      <c r="O125" s="5" t="s">
        <v>574</v>
      </c>
      <c r="P125" s="5">
        <v>5</v>
      </c>
      <c r="Q125" s="5">
        <v>93</v>
      </c>
      <c r="R125" s="5">
        <v>2</v>
      </c>
      <c r="S125" s="5">
        <v>37.847000000000001</v>
      </c>
      <c r="T125" s="5" t="s">
        <v>1898</v>
      </c>
      <c r="U125" s="5" t="s">
        <v>3492</v>
      </c>
      <c r="V125" s="5" t="s">
        <v>3493</v>
      </c>
      <c r="W125" s="5">
        <v>1.58</v>
      </c>
      <c r="X125" s="5">
        <v>31.3</v>
      </c>
      <c r="Y125" s="5">
        <v>91</v>
      </c>
      <c r="Z125" s="5" t="s">
        <v>2215</v>
      </c>
      <c r="AA125" s="5" t="s">
        <v>3494</v>
      </c>
      <c r="AB125" s="5" t="s">
        <v>1584</v>
      </c>
      <c r="AC125" s="5" t="s">
        <v>1673</v>
      </c>
      <c r="AD125" s="5" t="s">
        <v>19</v>
      </c>
      <c r="AE125" s="5" t="s">
        <v>2203</v>
      </c>
      <c r="AF125" s="5" t="s">
        <v>3495</v>
      </c>
      <c r="AG125" s="5">
        <v>17</v>
      </c>
      <c r="AH125" s="5">
        <v>3</v>
      </c>
      <c r="AI125" s="5">
        <v>14</v>
      </c>
      <c r="AJ125" s="5">
        <v>44.74</v>
      </c>
      <c r="AK125" s="5">
        <v>36.840000000000003</v>
      </c>
      <c r="AL125" s="5" t="s">
        <v>12</v>
      </c>
      <c r="AM125" s="5" t="s">
        <v>12</v>
      </c>
      <c r="AN125" s="5" t="s">
        <v>12</v>
      </c>
      <c r="AO125" s="5" t="s">
        <v>11</v>
      </c>
      <c r="AP125" s="5" t="s">
        <v>11</v>
      </c>
      <c r="AQ125" s="5" t="s">
        <v>123</v>
      </c>
      <c r="AR125" s="5" t="s">
        <v>122</v>
      </c>
    </row>
    <row r="126" spans="1:44" ht="31.5" x14ac:dyDescent="0.25">
      <c r="A126" s="10">
        <v>46096</v>
      </c>
      <c r="B126" s="5" t="s">
        <v>1262</v>
      </c>
      <c r="C126" s="5" t="s">
        <v>2216</v>
      </c>
      <c r="D126" s="5" t="s">
        <v>11</v>
      </c>
      <c r="E126" s="5" t="s">
        <v>8</v>
      </c>
      <c r="F126" s="5" t="s">
        <v>8</v>
      </c>
      <c r="G126" s="5" t="s">
        <v>3496</v>
      </c>
      <c r="H126" s="5" t="s">
        <v>3497</v>
      </c>
      <c r="I126" s="6" t="str">
        <f>HYPERLINK("http://maps.yandex.ru/?ll=85.99185,55.22850&amp;spn=0.011598,0.004531&amp;z=17&amp;l=map&amp;pt=85.99185,55.22850", "55.228508//85.99185")</f>
        <v>55.228508//85.99185</v>
      </c>
      <c r="J126" s="5" t="s">
        <v>497</v>
      </c>
      <c r="K126" s="6" t="str">
        <f>HYPERLINK("http://maps.yandex.ru/?ll=86.90981,53.7888&amp;spn=0.011598,0.004531&amp;z=17&amp;l=map&amp;pt=86.90981,53.7888", "53.78883//86.90981")</f>
        <v>53.78883//86.90981</v>
      </c>
      <c r="L126" s="5" t="s">
        <v>497</v>
      </c>
      <c r="M126" s="5" t="s">
        <v>474</v>
      </c>
      <c r="N126" s="5" t="s">
        <v>3498</v>
      </c>
      <c r="O126" s="5" t="s">
        <v>13</v>
      </c>
      <c r="P126" s="5">
        <v>22</v>
      </c>
      <c r="Q126" s="5">
        <v>78</v>
      </c>
      <c r="R126" s="5">
        <v>0</v>
      </c>
      <c r="S126" s="5">
        <v>241.40299999999999</v>
      </c>
      <c r="T126" s="5" t="s">
        <v>1961</v>
      </c>
      <c r="U126" s="5" t="s">
        <v>3499</v>
      </c>
      <c r="V126" s="5" t="s">
        <v>3500</v>
      </c>
      <c r="W126" s="5">
        <v>10.06</v>
      </c>
      <c r="X126" s="5">
        <v>45.83</v>
      </c>
      <c r="Y126" s="5">
        <v>99</v>
      </c>
      <c r="Z126" s="5" t="s">
        <v>2218</v>
      </c>
      <c r="AA126" s="5" t="s">
        <v>3501</v>
      </c>
      <c r="AB126" s="5" t="s">
        <v>19</v>
      </c>
      <c r="AC126" s="5" t="s">
        <v>19</v>
      </c>
      <c r="AD126" s="5" t="s">
        <v>19</v>
      </c>
      <c r="AE126" s="5" t="s">
        <v>2613</v>
      </c>
      <c r="AF126" s="5" t="s">
        <v>3502</v>
      </c>
      <c r="AG126" s="5">
        <v>84</v>
      </c>
      <c r="AH126" s="5">
        <v>4</v>
      </c>
      <c r="AI126" s="5">
        <v>80</v>
      </c>
      <c r="AJ126" s="5">
        <v>35.29</v>
      </c>
      <c r="AK126" s="5">
        <v>33.61</v>
      </c>
      <c r="AL126" s="5" t="s">
        <v>12</v>
      </c>
      <c r="AM126" s="5" t="s">
        <v>12</v>
      </c>
      <c r="AN126" s="5" t="s">
        <v>12</v>
      </c>
      <c r="AO126" s="5" t="s">
        <v>11</v>
      </c>
      <c r="AP126" s="5" t="s">
        <v>11</v>
      </c>
      <c r="AQ126" s="5" t="s">
        <v>123</v>
      </c>
      <c r="AR126" s="5" t="s">
        <v>122</v>
      </c>
    </row>
    <row r="127" spans="1:44" ht="15.75" x14ac:dyDescent="0.25">
      <c r="A127" s="10">
        <v>46096</v>
      </c>
      <c r="B127" s="5" t="s">
        <v>1261</v>
      </c>
      <c r="C127" s="5" t="s">
        <v>2220</v>
      </c>
      <c r="D127" s="5" t="s">
        <v>11</v>
      </c>
      <c r="E127" s="5" t="s">
        <v>5</v>
      </c>
      <c r="F127" s="5" t="s">
        <v>5</v>
      </c>
      <c r="G127" s="5" t="s">
        <v>3503</v>
      </c>
      <c r="H127" s="5" t="s">
        <v>3504</v>
      </c>
      <c r="I127" s="6" t="str">
        <f>HYPERLINK("http://maps.yandex.ru/?ll=73.19226,54.9895&amp;spn=0.011598,0.004531&amp;z=17&amp;l=map&amp;pt=73.19226,54.9895", "54.98958//73.19226")</f>
        <v>54.98958//73.19226</v>
      </c>
      <c r="J127" s="5" t="s">
        <v>190</v>
      </c>
      <c r="K127" s="6" t="str">
        <f>HYPERLINK("http://maps.yandex.ru/?ll=64.53989,57.0738&amp;spn=0.011598,0.004531&amp;z=17&amp;l=map&amp;pt=64.53989,57.0738", "57.07388//64.53989")</f>
        <v>57.07388//64.53989</v>
      </c>
      <c r="L127" s="5" t="s">
        <v>77</v>
      </c>
      <c r="M127" s="5" t="s">
        <v>543</v>
      </c>
      <c r="N127" s="5" t="s">
        <v>267</v>
      </c>
      <c r="O127" s="5" t="s">
        <v>13</v>
      </c>
      <c r="P127" s="5">
        <v>42</v>
      </c>
      <c r="Q127" s="5">
        <v>58</v>
      </c>
      <c r="R127" s="5">
        <v>0</v>
      </c>
      <c r="S127" s="5">
        <v>675.7</v>
      </c>
      <c r="T127" s="5" t="s">
        <v>12</v>
      </c>
      <c r="U127" s="5" t="s">
        <v>12</v>
      </c>
      <c r="V127" s="5" t="s">
        <v>12</v>
      </c>
      <c r="W127" s="5">
        <v>28.15</v>
      </c>
      <c r="X127" s="5">
        <v>67</v>
      </c>
      <c r="Y127" s="5">
        <v>92</v>
      </c>
      <c r="Z127" s="5" t="s">
        <v>2221</v>
      </c>
      <c r="AA127" s="5" t="s">
        <v>1710</v>
      </c>
      <c r="AB127" s="5" t="s">
        <v>19</v>
      </c>
      <c r="AC127" s="5" t="s">
        <v>19</v>
      </c>
      <c r="AD127" s="5" t="s">
        <v>19</v>
      </c>
      <c r="AE127" s="5" t="s">
        <v>1720</v>
      </c>
      <c r="AF127" s="5" t="s">
        <v>12</v>
      </c>
      <c r="AG127" s="5"/>
      <c r="AH127" s="5"/>
      <c r="AI127" s="5"/>
      <c r="AJ127" s="5"/>
      <c r="AK127" s="5"/>
      <c r="AL127" s="5" t="s">
        <v>3505</v>
      </c>
      <c r="AM127" s="5" t="s">
        <v>3506</v>
      </c>
      <c r="AN127" s="5" t="s">
        <v>1673</v>
      </c>
      <c r="AO127" s="5" t="s">
        <v>115</v>
      </c>
      <c r="AP127" s="5" t="s">
        <v>114</v>
      </c>
      <c r="AQ127" s="5" t="s">
        <v>99</v>
      </c>
      <c r="AR127" s="5" t="s">
        <v>98</v>
      </c>
    </row>
    <row r="128" spans="1:44" ht="31.5" x14ac:dyDescent="0.25">
      <c r="A128" s="10">
        <v>46096</v>
      </c>
      <c r="B128" s="5" t="s">
        <v>1259</v>
      </c>
      <c r="C128" s="5" t="s">
        <v>2222</v>
      </c>
      <c r="D128" s="5" t="s">
        <v>11</v>
      </c>
      <c r="E128" s="5" t="s">
        <v>6</v>
      </c>
      <c r="F128" s="5" t="s">
        <v>6</v>
      </c>
      <c r="G128" s="5" t="s">
        <v>3507</v>
      </c>
      <c r="H128" s="5" t="s">
        <v>3508</v>
      </c>
      <c r="I128" s="6" t="str">
        <f>HYPERLINK("http://maps.yandex.ru/?ll=135.17844,48.3962&amp;spn=0.011598,0.004531&amp;z=17&amp;l=map&amp;pt=135.17844,48.3962", "48.39627//135.17844")</f>
        <v>48.39627//135.17844</v>
      </c>
      <c r="J128" s="5" t="s">
        <v>109</v>
      </c>
      <c r="K128" s="6" t="str">
        <f>HYPERLINK("http://maps.yandex.ru/?ll=132.04622,43.3688&amp;spn=0.011598,0.004531&amp;z=17&amp;l=map&amp;pt=132.04622,43.3688", "43.36886//132.04622")</f>
        <v>43.36886//132.04622</v>
      </c>
      <c r="L128" s="5" t="s">
        <v>108</v>
      </c>
      <c r="M128" s="5" t="s">
        <v>1350</v>
      </c>
      <c r="N128" s="5" t="s">
        <v>3237</v>
      </c>
      <c r="O128" s="5" t="s">
        <v>13</v>
      </c>
      <c r="P128" s="5">
        <v>46</v>
      </c>
      <c r="Q128" s="5">
        <v>54</v>
      </c>
      <c r="R128" s="5">
        <v>0</v>
      </c>
      <c r="S128" s="5">
        <v>718.95500000000004</v>
      </c>
      <c r="T128" s="5" t="s">
        <v>12</v>
      </c>
      <c r="U128" s="5" t="s">
        <v>12</v>
      </c>
      <c r="V128" s="5" t="s">
        <v>12</v>
      </c>
      <c r="W128" s="5">
        <v>29.96</v>
      </c>
      <c r="X128" s="5">
        <v>64.91</v>
      </c>
      <c r="Y128" s="5">
        <v>95</v>
      </c>
      <c r="Z128" s="5" t="s">
        <v>2223</v>
      </c>
      <c r="AA128" s="5" t="s">
        <v>2613</v>
      </c>
      <c r="AB128" s="5" t="s">
        <v>19</v>
      </c>
      <c r="AC128" s="5" t="s">
        <v>19</v>
      </c>
      <c r="AD128" s="5" t="s">
        <v>19</v>
      </c>
      <c r="AE128" s="5" t="s">
        <v>2082</v>
      </c>
      <c r="AF128" s="5" t="s">
        <v>12</v>
      </c>
      <c r="AG128" s="5"/>
      <c r="AH128" s="5"/>
      <c r="AI128" s="5"/>
      <c r="AJ128" s="5"/>
      <c r="AK128" s="5"/>
      <c r="AL128" s="5" t="s">
        <v>1599</v>
      </c>
      <c r="AM128" s="5" t="s">
        <v>2609</v>
      </c>
      <c r="AN128" s="5" t="s">
        <v>1927</v>
      </c>
      <c r="AO128" s="5" t="s">
        <v>115</v>
      </c>
      <c r="AP128" s="5" t="s">
        <v>114</v>
      </c>
      <c r="AQ128" s="5" t="s">
        <v>99</v>
      </c>
      <c r="AR128" s="5" t="s">
        <v>98</v>
      </c>
    </row>
    <row r="129" spans="1:44" ht="31.5" x14ac:dyDescent="0.25">
      <c r="A129" s="10">
        <v>46096</v>
      </c>
      <c r="B129" s="5" t="s">
        <v>1256</v>
      </c>
      <c r="C129" s="5" t="s">
        <v>2224</v>
      </c>
      <c r="D129" s="5" t="s">
        <v>11</v>
      </c>
      <c r="E129" s="5" t="s">
        <v>6</v>
      </c>
      <c r="F129" s="5" t="s">
        <v>6</v>
      </c>
      <c r="G129" s="5" t="s">
        <v>3509</v>
      </c>
      <c r="H129" s="5" t="s">
        <v>3121</v>
      </c>
      <c r="I129" s="6" t="str">
        <f>HYPERLINK("http://maps.yandex.ru/?ll=39.20623,51.81677&amp;spn=0.011598,0.004531&amp;z=17&amp;l=map&amp;pt=39.20623,51.81677", "51.816776//39.20623")</f>
        <v>51.816776//39.20623</v>
      </c>
      <c r="J129" s="5" t="s">
        <v>101</v>
      </c>
      <c r="K129" s="6" t="str">
        <f>HYPERLINK("http://maps.yandex.ru/?ll=39.206387,51.81676&amp;spn=0.011598,0.004531&amp;z=17&amp;l=map&amp;pt=39.206387,51.81676", "51.816765//39.206387")</f>
        <v>51.816765//39.206387</v>
      </c>
      <c r="L129" s="5" t="s">
        <v>101</v>
      </c>
      <c r="M129" s="5" t="s">
        <v>3510</v>
      </c>
      <c r="N129" s="5" t="s">
        <v>3511</v>
      </c>
      <c r="O129" s="5" t="s">
        <v>13</v>
      </c>
      <c r="P129" s="5">
        <v>10</v>
      </c>
      <c r="Q129" s="5">
        <v>90</v>
      </c>
      <c r="R129" s="5">
        <v>0</v>
      </c>
      <c r="S129" s="5">
        <v>3.161</v>
      </c>
      <c r="T129" s="5" t="s">
        <v>12</v>
      </c>
      <c r="U129" s="5" t="s">
        <v>12</v>
      </c>
      <c r="V129" s="5" t="s">
        <v>12</v>
      </c>
      <c r="W129" s="5">
        <v>0.13</v>
      </c>
      <c r="X129" s="5">
        <v>1.3</v>
      </c>
      <c r="Y129" s="5">
        <v>24</v>
      </c>
      <c r="Z129" s="5" t="s">
        <v>3512</v>
      </c>
      <c r="AA129" s="5" t="s">
        <v>1845</v>
      </c>
      <c r="AB129" s="5" t="s">
        <v>19</v>
      </c>
      <c r="AC129" s="5" t="s">
        <v>19</v>
      </c>
      <c r="AD129" s="5" t="s">
        <v>19</v>
      </c>
      <c r="AE129" s="5" t="s">
        <v>2225</v>
      </c>
      <c r="AF129" s="5" t="s">
        <v>12</v>
      </c>
      <c r="AG129" s="5"/>
      <c r="AH129" s="5"/>
      <c r="AI129" s="5"/>
      <c r="AJ129" s="5"/>
      <c r="AK129" s="5"/>
      <c r="AL129" s="5" t="s">
        <v>3513</v>
      </c>
      <c r="AM129" s="5" t="s">
        <v>3514</v>
      </c>
      <c r="AN129" s="5" t="s">
        <v>1927</v>
      </c>
      <c r="AO129" s="5" t="s">
        <v>115</v>
      </c>
      <c r="AP129" s="5" t="s">
        <v>114</v>
      </c>
      <c r="AQ129" s="5" t="s">
        <v>99</v>
      </c>
      <c r="AR129" s="5" t="s">
        <v>98</v>
      </c>
    </row>
    <row r="130" spans="1:44" ht="31.5" x14ac:dyDescent="0.25">
      <c r="A130" s="10">
        <v>46096</v>
      </c>
      <c r="B130" s="5" t="s">
        <v>1255</v>
      </c>
      <c r="C130" s="5" t="s">
        <v>2227</v>
      </c>
      <c r="D130" s="5" t="s">
        <v>11</v>
      </c>
      <c r="E130" s="5" t="s">
        <v>0</v>
      </c>
      <c r="F130" s="5" t="s">
        <v>0</v>
      </c>
      <c r="G130" s="5" t="s">
        <v>3515</v>
      </c>
      <c r="H130" s="5" t="s">
        <v>3516</v>
      </c>
      <c r="I130" s="6" t="str">
        <f>HYPERLINK("http://maps.yandex.ru/?ll=39.77869,47.1189&amp;spn=0.011598,0.004531&amp;z=17&amp;l=map&amp;pt=39.77869,47.1189", "47.11895//39.77869")</f>
        <v>47.11895//39.77869</v>
      </c>
      <c r="J130" s="5" t="s">
        <v>64</v>
      </c>
      <c r="K130" s="6" t="str">
        <f>HYPERLINK("http://maps.yandex.ru/?ll=38.008327,53.79111&amp;spn=0.011598,0.004531&amp;z=17&amp;l=map&amp;pt=38.008327,53.79111", "53.791115//38.008327")</f>
        <v>53.791115//38.008327</v>
      </c>
      <c r="L130" s="5" t="s">
        <v>168</v>
      </c>
      <c r="M130" s="5" t="s">
        <v>992</v>
      </c>
      <c r="N130" s="5" t="s">
        <v>3517</v>
      </c>
      <c r="O130" s="5" t="s">
        <v>631</v>
      </c>
      <c r="P130" s="5">
        <v>44</v>
      </c>
      <c r="Q130" s="5">
        <v>51</v>
      </c>
      <c r="R130" s="5">
        <v>5</v>
      </c>
      <c r="S130" s="5">
        <v>815.37800000000004</v>
      </c>
      <c r="T130" s="5" t="s">
        <v>1604</v>
      </c>
      <c r="U130" s="5" t="s">
        <v>3518</v>
      </c>
      <c r="V130" s="5" t="s">
        <v>3519</v>
      </c>
      <c r="W130" s="5">
        <v>33.97</v>
      </c>
      <c r="X130" s="5">
        <v>76.63</v>
      </c>
      <c r="Y130" s="5">
        <v>117</v>
      </c>
      <c r="Z130" s="5" t="s">
        <v>2422</v>
      </c>
      <c r="AA130" s="5" t="s">
        <v>1585</v>
      </c>
      <c r="AB130" s="5" t="s">
        <v>19</v>
      </c>
      <c r="AC130" s="5" t="s">
        <v>19</v>
      </c>
      <c r="AD130" s="5" t="s">
        <v>19</v>
      </c>
      <c r="AE130" s="5" t="s">
        <v>2138</v>
      </c>
      <c r="AF130" s="5" t="s">
        <v>857</v>
      </c>
      <c r="AG130" s="5">
        <v>282</v>
      </c>
      <c r="AH130" s="5">
        <v>4</v>
      </c>
      <c r="AI130" s="5">
        <v>278</v>
      </c>
      <c r="AJ130" s="5">
        <v>32.450000000000003</v>
      </c>
      <c r="AK130" s="5">
        <v>31.99</v>
      </c>
      <c r="AL130" s="5" t="s">
        <v>12</v>
      </c>
      <c r="AM130" s="5" t="s">
        <v>12</v>
      </c>
      <c r="AN130" s="5" t="s">
        <v>12</v>
      </c>
      <c r="AO130" s="5" t="s">
        <v>11</v>
      </c>
      <c r="AP130" s="5" t="s">
        <v>11</v>
      </c>
      <c r="AQ130" s="5" t="s">
        <v>53</v>
      </c>
      <c r="AR130" s="5" t="s">
        <v>52</v>
      </c>
    </row>
    <row r="131" spans="1:44" ht="15.75" x14ac:dyDescent="0.25">
      <c r="A131" s="10">
        <v>46096</v>
      </c>
      <c r="B131" s="5" t="s">
        <v>1254</v>
      </c>
      <c r="C131" s="5" t="s">
        <v>2230</v>
      </c>
      <c r="D131" s="5" t="s">
        <v>11</v>
      </c>
      <c r="E131" s="5" t="s">
        <v>5</v>
      </c>
      <c r="F131" s="5" t="s">
        <v>5</v>
      </c>
      <c r="G131" s="5" t="s">
        <v>3520</v>
      </c>
      <c r="H131" s="5" t="s">
        <v>3521</v>
      </c>
      <c r="I131" s="6" t="str">
        <f>HYPERLINK("http://maps.yandex.ru/?ll=37.47429,55.3410&amp;spn=0.011598,0.004531&amp;z=17&amp;l=map&amp;pt=37.47429,55.3410", "55.34106//37.47429")</f>
        <v>55.34106//37.47429</v>
      </c>
      <c r="J131" s="5" t="s">
        <v>56</v>
      </c>
      <c r="K131" s="6" t="str">
        <f>HYPERLINK("http://maps.yandex.ru/?ll=46.32906,53.0905&amp;spn=0.011598,0.004531&amp;z=17&amp;l=map&amp;pt=46.32906,53.0905", "53.09056//46.32906")</f>
        <v>53.09056//46.32906</v>
      </c>
      <c r="L131" s="5" t="s">
        <v>94</v>
      </c>
      <c r="M131" s="5" t="s">
        <v>1396</v>
      </c>
      <c r="N131" s="5" t="s">
        <v>1351</v>
      </c>
      <c r="O131" s="5" t="s">
        <v>13</v>
      </c>
      <c r="P131" s="5">
        <v>43</v>
      </c>
      <c r="Q131" s="5">
        <v>57</v>
      </c>
      <c r="R131" s="5">
        <v>0</v>
      </c>
      <c r="S131" s="5">
        <v>734.90099999999995</v>
      </c>
      <c r="T131" s="5" t="s">
        <v>2540</v>
      </c>
      <c r="U131" s="5" t="s">
        <v>3522</v>
      </c>
      <c r="V131" s="5" t="s">
        <v>3523</v>
      </c>
      <c r="W131" s="5">
        <v>30.62</v>
      </c>
      <c r="X131" s="5">
        <v>70.430000000000007</v>
      </c>
      <c r="Y131" s="5">
        <v>106</v>
      </c>
      <c r="Z131" s="5" t="s">
        <v>1954</v>
      </c>
      <c r="AA131" s="5" t="s">
        <v>1738</v>
      </c>
      <c r="AB131" s="5" t="s">
        <v>2211</v>
      </c>
      <c r="AC131" s="5" t="s">
        <v>1673</v>
      </c>
      <c r="AD131" s="5" t="s">
        <v>19</v>
      </c>
      <c r="AE131" s="5" t="s">
        <v>1857</v>
      </c>
      <c r="AF131" s="5" t="s">
        <v>3524</v>
      </c>
      <c r="AG131" s="5">
        <v>210</v>
      </c>
      <c r="AH131" s="5">
        <v>1</v>
      </c>
      <c r="AI131" s="5">
        <v>209</v>
      </c>
      <c r="AJ131" s="5">
        <v>28.23</v>
      </c>
      <c r="AK131" s="5">
        <v>28.09</v>
      </c>
      <c r="AL131" s="5" t="s">
        <v>12</v>
      </c>
      <c r="AM131" s="5" t="s">
        <v>12</v>
      </c>
      <c r="AN131" s="5" t="s">
        <v>12</v>
      </c>
      <c r="AO131" s="5" t="s">
        <v>11</v>
      </c>
      <c r="AP131" s="5" t="s">
        <v>11</v>
      </c>
      <c r="AQ131" s="5" t="s">
        <v>53</v>
      </c>
      <c r="AR131" s="5" t="s">
        <v>52</v>
      </c>
    </row>
    <row r="132" spans="1:44" ht="31.5" x14ac:dyDescent="0.25">
      <c r="A132" s="10">
        <v>46096</v>
      </c>
      <c r="B132" s="5" t="s">
        <v>1253</v>
      </c>
      <c r="C132" s="5" t="s">
        <v>2233</v>
      </c>
      <c r="D132" s="5" t="s">
        <v>11</v>
      </c>
      <c r="E132" s="5" t="s">
        <v>0</v>
      </c>
      <c r="F132" s="5" t="s">
        <v>0</v>
      </c>
      <c r="G132" s="5" t="s">
        <v>3525</v>
      </c>
      <c r="H132" s="5" t="s">
        <v>3526</v>
      </c>
      <c r="I132" s="6" t="str">
        <f>HYPERLINK("http://maps.yandex.ru/?ll=32.554825,58.24538&amp;spn=0.011598,0.004531&amp;z=17&amp;l=map&amp;pt=32.554825,58.24538", "58.245384//32.554825")</f>
        <v>58.245384//32.554825</v>
      </c>
      <c r="J132" s="5" t="s">
        <v>148</v>
      </c>
      <c r="K132" s="6" t="str">
        <f>HYPERLINK("http://maps.yandex.ru/?ll=34.44121,61.7357&amp;spn=0.011598,0.004531&amp;z=17&amp;l=map&amp;pt=34.44121,61.7357", "61.73576//34.44121")</f>
        <v>61.73576//34.44121</v>
      </c>
      <c r="L132" s="5" t="s">
        <v>263</v>
      </c>
      <c r="M132" s="5" t="s">
        <v>1358</v>
      </c>
      <c r="N132" s="5" t="s">
        <v>3527</v>
      </c>
      <c r="O132" s="5" t="s">
        <v>87</v>
      </c>
      <c r="P132" s="5">
        <v>42</v>
      </c>
      <c r="Q132" s="5">
        <v>56</v>
      </c>
      <c r="R132" s="5">
        <v>1</v>
      </c>
      <c r="S132" s="5">
        <v>700.47199999999998</v>
      </c>
      <c r="T132" s="5" t="s">
        <v>3528</v>
      </c>
      <c r="U132" s="5" t="s">
        <v>3529</v>
      </c>
      <c r="V132" s="5" t="s">
        <v>3530</v>
      </c>
      <c r="W132" s="5">
        <v>29.19</v>
      </c>
      <c r="X132" s="5">
        <v>69.11</v>
      </c>
      <c r="Y132" s="5">
        <v>111</v>
      </c>
      <c r="Z132" s="5" t="s">
        <v>2228</v>
      </c>
      <c r="AA132" s="5" t="s">
        <v>2497</v>
      </c>
      <c r="AB132" s="5" t="s">
        <v>1952</v>
      </c>
      <c r="AC132" s="5" t="s">
        <v>1673</v>
      </c>
      <c r="AD132" s="5" t="s">
        <v>19</v>
      </c>
      <c r="AE132" s="5" t="s">
        <v>2607</v>
      </c>
      <c r="AF132" s="5" t="s">
        <v>3221</v>
      </c>
      <c r="AG132" s="5">
        <v>194</v>
      </c>
      <c r="AH132" s="5">
        <v>5</v>
      </c>
      <c r="AI132" s="5">
        <v>189</v>
      </c>
      <c r="AJ132" s="5">
        <v>27.32</v>
      </c>
      <c r="AK132" s="5">
        <v>26.62</v>
      </c>
      <c r="AL132" s="5" t="s">
        <v>12</v>
      </c>
      <c r="AM132" s="5" t="s">
        <v>12</v>
      </c>
      <c r="AN132" s="5" t="s">
        <v>12</v>
      </c>
      <c r="AO132" s="5" t="s">
        <v>11</v>
      </c>
      <c r="AP132" s="5" t="s">
        <v>11</v>
      </c>
      <c r="AQ132" s="5" t="s">
        <v>53</v>
      </c>
      <c r="AR132" s="5" t="s">
        <v>52</v>
      </c>
    </row>
    <row r="133" spans="1:44" ht="31.5" x14ac:dyDescent="0.25">
      <c r="A133" s="10">
        <v>46096</v>
      </c>
      <c r="B133" s="5" t="s">
        <v>1172</v>
      </c>
      <c r="C133" s="5" t="s">
        <v>2236</v>
      </c>
      <c r="D133" s="5" t="s">
        <v>11</v>
      </c>
      <c r="E133" s="5" t="s">
        <v>0</v>
      </c>
      <c r="F133" s="5" t="s">
        <v>0</v>
      </c>
      <c r="G133" s="5" t="s">
        <v>3531</v>
      </c>
      <c r="H133" s="5" t="s">
        <v>3532</v>
      </c>
      <c r="I133" s="6" t="str">
        <f>HYPERLINK("http://maps.yandex.ru/?ll=37.66529,55.33822&amp;spn=0.011598,0.004531&amp;z=17&amp;l=map&amp;pt=37.66529,55.33822", "55.338226//37.66529")</f>
        <v>55.338226//37.66529</v>
      </c>
      <c r="J133" s="5" t="s">
        <v>56</v>
      </c>
      <c r="K133" s="6" t="str">
        <f>HYPERLINK("http://maps.yandex.ru/?ll=39.176334,52.10069&amp;spn=0.011598,0.004531&amp;z=17&amp;l=map&amp;pt=39.176334,52.10069", "52.100697//39.176334")</f>
        <v>52.100697//39.176334</v>
      </c>
      <c r="L133" s="5" t="s">
        <v>151</v>
      </c>
      <c r="M133" s="5" t="s">
        <v>1029</v>
      </c>
      <c r="N133" s="5" t="s">
        <v>1436</v>
      </c>
      <c r="O133" s="5" t="s">
        <v>651</v>
      </c>
      <c r="P133" s="5">
        <v>19</v>
      </c>
      <c r="Q133" s="5">
        <v>75</v>
      </c>
      <c r="R133" s="5">
        <v>6</v>
      </c>
      <c r="S133" s="5">
        <v>356.85199999999998</v>
      </c>
      <c r="T133" s="5" t="s">
        <v>2995</v>
      </c>
      <c r="U133" s="5" t="s">
        <v>3533</v>
      </c>
      <c r="V133" s="5" t="s">
        <v>3534</v>
      </c>
      <c r="W133" s="5">
        <v>14.87</v>
      </c>
      <c r="X133" s="5">
        <v>78.430000000000007</v>
      </c>
      <c r="Y133" s="5">
        <v>190</v>
      </c>
      <c r="Z133" s="5" t="s">
        <v>1479</v>
      </c>
      <c r="AA133" s="5" t="s">
        <v>1838</v>
      </c>
      <c r="AB133" s="5" t="s">
        <v>1697</v>
      </c>
      <c r="AC133" s="5" t="s">
        <v>1673</v>
      </c>
      <c r="AD133" s="5" t="s">
        <v>19</v>
      </c>
      <c r="AE133" s="5" t="s">
        <v>1717</v>
      </c>
      <c r="AF133" s="5" t="s">
        <v>3535</v>
      </c>
      <c r="AG133" s="5">
        <v>108</v>
      </c>
      <c r="AH133" s="5">
        <v>2</v>
      </c>
      <c r="AI133" s="5">
        <v>106</v>
      </c>
      <c r="AJ133" s="5">
        <v>25</v>
      </c>
      <c r="AK133" s="5">
        <v>24.54</v>
      </c>
      <c r="AL133" s="5" t="s">
        <v>12</v>
      </c>
      <c r="AM133" s="5" t="s">
        <v>12</v>
      </c>
      <c r="AN133" s="5" t="s">
        <v>12</v>
      </c>
      <c r="AO133" s="5" t="s">
        <v>11</v>
      </c>
      <c r="AP133" s="5" t="s">
        <v>11</v>
      </c>
      <c r="AQ133" s="5" t="s">
        <v>53</v>
      </c>
      <c r="AR133" s="5" t="s">
        <v>52</v>
      </c>
    </row>
    <row r="134" spans="1:44" ht="31.5" x14ac:dyDescent="0.25">
      <c r="A134" s="10">
        <v>46096</v>
      </c>
      <c r="B134" s="5" t="s">
        <v>1170</v>
      </c>
      <c r="C134" s="5" t="s">
        <v>2314</v>
      </c>
      <c r="D134" s="5" t="s">
        <v>11</v>
      </c>
      <c r="E134" s="5" t="s">
        <v>8</v>
      </c>
      <c r="F134" s="5" t="s">
        <v>8</v>
      </c>
      <c r="G134" s="5" t="s">
        <v>3103</v>
      </c>
      <c r="H134" s="5" t="s">
        <v>3536</v>
      </c>
      <c r="I134" s="6" t="str">
        <f>HYPERLINK("http://maps.yandex.ru/?ll=31.405153,59.25805&amp;spn=0.011598,0.004531&amp;z=17&amp;l=map&amp;pt=31.405153,59.25805", "59.258053//31.405153")</f>
        <v>59.258053//31.405153</v>
      </c>
      <c r="J134" s="5" t="s">
        <v>22</v>
      </c>
      <c r="K134" s="6" t="str">
        <f>HYPERLINK("http://maps.yandex.ru/?ll=30.596212,59.70075&amp;spn=0.011598,0.004531&amp;z=17&amp;l=map&amp;pt=30.596212,59.70075", "59.700756//30.596212")</f>
        <v>59.700756//30.596212</v>
      </c>
      <c r="L134" s="5" t="s">
        <v>22</v>
      </c>
      <c r="M134" s="5" t="s">
        <v>249</v>
      </c>
      <c r="N134" s="5" t="s">
        <v>716</v>
      </c>
      <c r="O134" s="5" t="s">
        <v>299</v>
      </c>
      <c r="P134" s="5">
        <v>6</v>
      </c>
      <c r="Q134" s="5">
        <v>62</v>
      </c>
      <c r="R134" s="5">
        <v>32</v>
      </c>
      <c r="S134" s="5">
        <v>74.201999999999998</v>
      </c>
      <c r="T134" s="5" t="s">
        <v>3537</v>
      </c>
      <c r="U134" s="5" t="s">
        <v>3538</v>
      </c>
      <c r="V134" s="5" t="s">
        <v>3539</v>
      </c>
      <c r="W134" s="5">
        <v>3.09</v>
      </c>
      <c r="X134" s="5">
        <v>50.34</v>
      </c>
      <c r="Y134" s="5">
        <v>75</v>
      </c>
      <c r="Z134" s="5" t="s">
        <v>1730</v>
      </c>
      <c r="AA134" s="5" t="s">
        <v>2770</v>
      </c>
      <c r="AB134" s="5" t="s">
        <v>19</v>
      </c>
      <c r="AC134" s="5" t="s">
        <v>19</v>
      </c>
      <c r="AD134" s="5" t="s">
        <v>19</v>
      </c>
      <c r="AE134" s="5" t="s">
        <v>2549</v>
      </c>
      <c r="AF134" s="5" t="s">
        <v>3540</v>
      </c>
      <c r="AG134" s="5">
        <v>33</v>
      </c>
      <c r="AH134" s="5">
        <v>3</v>
      </c>
      <c r="AI134" s="5">
        <v>30</v>
      </c>
      <c r="AJ134" s="5">
        <v>42.86</v>
      </c>
      <c r="AK134" s="5">
        <v>38.96</v>
      </c>
      <c r="AL134" s="5" t="s">
        <v>12</v>
      </c>
      <c r="AM134" s="5" t="s">
        <v>12</v>
      </c>
      <c r="AN134" s="5" t="s">
        <v>12</v>
      </c>
      <c r="AO134" s="5" t="s">
        <v>11</v>
      </c>
      <c r="AP134" s="5" t="s">
        <v>11</v>
      </c>
      <c r="AQ134" s="5" t="s">
        <v>53</v>
      </c>
      <c r="AR134" s="5" t="s">
        <v>52</v>
      </c>
    </row>
    <row r="135" spans="1:44" ht="31.5" x14ac:dyDescent="0.25">
      <c r="A135" s="10">
        <v>46096</v>
      </c>
      <c r="B135" s="5" t="s">
        <v>1169</v>
      </c>
      <c r="C135" s="5" t="s">
        <v>2316</v>
      </c>
      <c r="D135" s="5" t="s">
        <v>11</v>
      </c>
      <c r="E135" s="5" t="s">
        <v>0</v>
      </c>
      <c r="F135" s="5" t="s">
        <v>0</v>
      </c>
      <c r="G135" s="5" t="s">
        <v>3541</v>
      </c>
      <c r="H135" s="5" t="s">
        <v>3542</v>
      </c>
      <c r="I135" s="6" t="str">
        <f>HYPERLINK("http://maps.yandex.ru/?ll=30.460716,59.77298&amp;spn=0.011598,0.004531&amp;z=17&amp;l=map&amp;pt=30.460716,59.77298", "59.772987//30.460716")</f>
        <v>59.772987//30.460716</v>
      </c>
      <c r="J135" s="5" t="s">
        <v>23</v>
      </c>
      <c r="K135" s="6" t="str">
        <f>HYPERLINK("http://maps.yandex.ru/?ll=30.609509,59.77060&amp;spn=0.011598,0.004531&amp;z=17&amp;l=map&amp;pt=30.609509,59.77060", "59.770603//30.609509")</f>
        <v>59.770603//30.609509</v>
      </c>
      <c r="L135" s="5" t="s">
        <v>23</v>
      </c>
      <c r="M135" s="5" t="s">
        <v>3543</v>
      </c>
      <c r="N135" s="5" t="s">
        <v>800</v>
      </c>
      <c r="O135" s="5" t="s">
        <v>3544</v>
      </c>
      <c r="P135" s="5">
        <v>6</v>
      </c>
      <c r="Q135" s="5">
        <v>90</v>
      </c>
      <c r="R135" s="5">
        <v>3</v>
      </c>
      <c r="S135" s="5">
        <v>38.914000000000001</v>
      </c>
      <c r="T135" s="5" t="s">
        <v>12</v>
      </c>
      <c r="U135" s="5" t="s">
        <v>12</v>
      </c>
      <c r="V135" s="5" t="s">
        <v>12</v>
      </c>
      <c r="W135" s="5">
        <v>1.62</v>
      </c>
      <c r="X135" s="5">
        <v>26</v>
      </c>
      <c r="Y135" s="5">
        <v>81</v>
      </c>
      <c r="Z135" s="5" t="s">
        <v>2317</v>
      </c>
      <c r="AA135" s="5" t="s">
        <v>3138</v>
      </c>
      <c r="AB135" s="5" t="s">
        <v>19</v>
      </c>
      <c r="AC135" s="5" t="s">
        <v>19</v>
      </c>
      <c r="AD135" s="5" t="s">
        <v>19</v>
      </c>
      <c r="AE135" s="5" t="s">
        <v>2049</v>
      </c>
      <c r="AF135" s="5" t="s">
        <v>12</v>
      </c>
      <c r="AG135" s="5"/>
      <c r="AH135" s="5"/>
      <c r="AI135" s="5"/>
      <c r="AJ135" s="5"/>
      <c r="AK135" s="5"/>
      <c r="AL135" s="5" t="s">
        <v>2319</v>
      </c>
      <c r="AM135" s="5" t="s">
        <v>3545</v>
      </c>
      <c r="AN135" s="5" t="s">
        <v>1807</v>
      </c>
      <c r="AO135" s="5" t="s">
        <v>115</v>
      </c>
      <c r="AP135" s="5" t="s">
        <v>114</v>
      </c>
      <c r="AQ135" s="5" t="s">
        <v>99</v>
      </c>
      <c r="AR135" s="5" t="s">
        <v>98</v>
      </c>
    </row>
    <row r="136" spans="1:44" ht="31.5" x14ac:dyDescent="0.25">
      <c r="A136" s="10">
        <v>46096</v>
      </c>
      <c r="B136" s="5" t="s">
        <v>1167</v>
      </c>
      <c r="C136" s="5" t="s">
        <v>2320</v>
      </c>
      <c r="D136" s="5" t="s">
        <v>11</v>
      </c>
      <c r="E136" s="5" t="s">
        <v>8</v>
      </c>
      <c r="F136" s="5" t="s">
        <v>8</v>
      </c>
      <c r="G136" s="5" t="s">
        <v>3546</v>
      </c>
      <c r="H136" s="5" t="s">
        <v>3547</v>
      </c>
      <c r="I136" s="6" t="str">
        <f>HYPERLINK("http://maps.yandex.ru/?ll=39.547047,45.2122&amp;spn=0.011598,0.004531&amp;z=17&amp;l=map&amp;pt=39.547047,45.2122", "45.21221//39.547047")</f>
        <v>45.21221//39.547047</v>
      </c>
      <c r="J136" s="5" t="s">
        <v>88</v>
      </c>
      <c r="K136" s="6" t="str">
        <f>HYPERLINK("http://maps.yandex.ru/?ll=39.135353,45.11204&amp;spn=0.011598,0.004531&amp;z=17&amp;l=map&amp;pt=39.135353,45.11204", "45.112045//39.135353")</f>
        <v>45.112045//39.135353</v>
      </c>
      <c r="L136" s="5" t="s">
        <v>88</v>
      </c>
      <c r="M136" s="5" t="s">
        <v>756</v>
      </c>
      <c r="N136" s="5" t="s">
        <v>3548</v>
      </c>
      <c r="O136" s="5" t="s">
        <v>13</v>
      </c>
      <c r="P136" s="5">
        <v>5</v>
      </c>
      <c r="Q136" s="5">
        <v>95</v>
      </c>
      <c r="R136" s="5">
        <v>0</v>
      </c>
      <c r="S136" s="5">
        <v>70.936999999999998</v>
      </c>
      <c r="T136" s="5" t="s">
        <v>1693</v>
      </c>
      <c r="U136" s="5" t="s">
        <v>3549</v>
      </c>
      <c r="V136" s="5" t="s">
        <v>3550</v>
      </c>
      <c r="W136" s="5">
        <v>2.96</v>
      </c>
      <c r="X136" s="5">
        <v>56.83</v>
      </c>
      <c r="Y136" s="5">
        <v>86</v>
      </c>
      <c r="Z136" s="5" t="s">
        <v>277</v>
      </c>
      <c r="AA136" s="5" t="s">
        <v>3551</v>
      </c>
      <c r="AB136" s="5" t="s">
        <v>19</v>
      </c>
      <c r="AC136" s="5" t="s">
        <v>19</v>
      </c>
      <c r="AD136" s="5" t="s">
        <v>19</v>
      </c>
      <c r="AE136" s="5" t="s">
        <v>2253</v>
      </c>
      <c r="AF136" s="5" t="s">
        <v>3552</v>
      </c>
      <c r="AG136" s="5">
        <v>26</v>
      </c>
      <c r="AH136" s="5">
        <v>6</v>
      </c>
      <c r="AI136" s="5">
        <v>20</v>
      </c>
      <c r="AJ136" s="5">
        <v>42.62</v>
      </c>
      <c r="AK136" s="5">
        <v>32.79</v>
      </c>
      <c r="AL136" s="5" t="s">
        <v>12</v>
      </c>
      <c r="AM136" s="5" t="s">
        <v>12</v>
      </c>
      <c r="AN136" s="5" t="s">
        <v>12</v>
      </c>
      <c r="AO136" s="5" t="s">
        <v>11</v>
      </c>
      <c r="AP136" s="5" t="s">
        <v>11</v>
      </c>
      <c r="AQ136" s="5" t="s">
        <v>53</v>
      </c>
      <c r="AR136" s="5" t="s">
        <v>52</v>
      </c>
    </row>
    <row r="137" spans="1:44" ht="31.5" x14ac:dyDescent="0.25">
      <c r="A137" s="10">
        <v>46096</v>
      </c>
      <c r="B137" s="5" t="s">
        <v>1166</v>
      </c>
      <c r="C137" s="5" t="s">
        <v>2322</v>
      </c>
      <c r="D137" s="5" t="s">
        <v>11</v>
      </c>
      <c r="E137" s="5" t="s">
        <v>40</v>
      </c>
      <c r="F137" s="5" t="s">
        <v>11</v>
      </c>
      <c r="G137" s="5" t="s">
        <v>3553</v>
      </c>
      <c r="H137" s="5" t="s">
        <v>3554</v>
      </c>
      <c r="I137" s="6" t="str">
        <f>HYPERLINK("http://maps.yandex.ru/?ll=38.24362,55.8277&amp;spn=0.011598,0.004531&amp;z=17&amp;l=map&amp;pt=38.24362,55.8277", "55.82775//38.24362")</f>
        <v>55.82775//38.24362</v>
      </c>
      <c r="J137" s="5" t="s">
        <v>56</v>
      </c>
      <c r="K137" s="6" t="str">
        <f>HYPERLINK("http://maps.yandex.ru/?ll=47.81904,55.79419&amp;spn=0.011598,0.004531&amp;z=17&amp;l=map&amp;pt=47.81904,55.79419", "55.794197//47.81904")</f>
        <v>55.794197//47.81904</v>
      </c>
      <c r="L137" s="5" t="s">
        <v>46</v>
      </c>
      <c r="M137" s="5" t="s">
        <v>3279</v>
      </c>
      <c r="N137" s="5" t="s">
        <v>711</v>
      </c>
      <c r="O137" s="5" t="s">
        <v>193</v>
      </c>
      <c r="P137" s="5">
        <v>41</v>
      </c>
      <c r="Q137" s="5">
        <v>57</v>
      </c>
      <c r="R137" s="5">
        <v>2</v>
      </c>
      <c r="S137" s="5">
        <v>666.56</v>
      </c>
      <c r="T137" s="5" t="s">
        <v>2002</v>
      </c>
      <c r="U137" s="5" t="s">
        <v>3555</v>
      </c>
      <c r="V137" s="5" t="s">
        <v>3556</v>
      </c>
      <c r="W137" s="5">
        <v>27.77</v>
      </c>
      <c r="X137" s="5">
        <v>67.05</v>
      </c>
      <c r="Y137" s="5">
        <v>110</v>
      </c>
      <c r="Z137" s="5" t="s">
        <v>2323</v>
      </c>
      <c r="AA137" s="5" t="s">
        <v>2732</v>
      </c>
      <c r="AB137" s="5" t="s">
        <v>1512</v>
      </c>
      <c r="AC137" s="5" t="s">
        <v>1673</v>
      </c>
      <c r="AD137" s="5" t="s">
        <v>19</v>
      </c>
      <c r="AE137" s="5" t="s">
        <v>2197</v>
      </c>
      <c r="AF137" s="5" t="s">
        <v>3557</v>
      </c>
      <c r="AG137" s="5">
        <v>177</v>
      </c>
      <c r="AH137" s="5">
        <v>1</v>
      </c>
      <c r="AI137" s="5">
        <v>176</v>
      </c>
      <c r="AJ137" s="5">
        <v>25.73</v>
      </c>
      <c r="AK137" s="5">
        <v>25.58</v>
      </c>
      <c r="AL137" s="5" t="s">
        <v>12</v>
      </c>
      <c r="AM137" s="5" t="s">
        <v>12</v>
      </c>
      <c r="AN137" s="5" t="s">
        <v>12</v>
      </c>
      <c r="AO137" s="5" t="s">
        <v>11</v>
      </c>
      <c r="AP137" s="5" t="s">
        <v>11</v>
      </c>
      <c r="AQ137" s="5" t="s">
        <v>123</v>
      </c>
      <c r="AR137" s="5" t="s">
        <v>122</v>
      </c>
    </row>
    <row r="138" spans="1:44" ht="31.5" x14ac:dyDescent="0.25">
      <c r="A138" s="10">
        <v>46096</v>
      </c>
      <c r="B138" s="5" t="s">
        <v>1165</v>
      </c>
      <c r="C138" s="5" t="s">
        <v>2324</v>
      </c>
      <c r="D138" s="5" t="s">
        <v>11</v>
      </c>
      <c r="E138" s="5" t="s">
        <v>8</v>
      </c>
      <c r="F138" s="5" t="s">
        <v>8</v>
      </c>
      <c r="G138" s="5" t="s">
        <v>3558</v>
      </c>
      <c r="H138" s="5" t="s">
        <v>3559</v>
      </c>
      <c r="I138" s="6" t="str">
        <f>HYPERLINK("http://maps.yandex.ru/?ll=37.80052,55.9585&amp;spn=0.011598,0.004531&amp;z=17&amp;l=map&amp;pt=37.80052,55.9585", "55.95852//37.80052")</f>
        <v>55.95852//37.80052</v>
      </c>
      <c r="J138" s="5" t="s">
        <v>56</v>
      </c>
      <c r="K138" s="6" t="str">
        <f>HYPERLINK("http://maps.yandex.ru/?ll=36.68058,56.37475&amp;spn=0.011598,0.004531&amp;z=17&amp;l=map&amp;pt=36.68058,56.37475", "56.374756//36.68058")</f>
        <v>56.374756//36.68058</v>
      </c>
      <c r="L138" s="5" t="s">
        <v>56</v>
      </c>
      <c r="M138" s="5" t="s">
        <v>1108</v>
      </c>
      <c r="N138" s="5" t="s">
        <v>1481</v>
      </c>
      <c r="O138" s="5" t="s">
        <v>1396</v>
      </c>
      <c r="P138" s="5">
        <v>6</v>
      </c>
      <c r="Q138" s="5">
        <v>50</v>
      </c>
      <c r="R138" s="5">
        <v>43</v>
      </c>
      <c r="S138" s="5">
        <v>76.245000000000005</v>
      </c>
      <c r="T138" s="5" t="s">
        <v>3560</v>
      </c>
      <c r="U138" s="5" t="s">
        <v>3561</v>
      </c>
      <c r="V138" s="5" t="s">
        <v>3562</v>
      </c>
      <c r="W138" s="5">
        <v>3.18</v>
      </c>
      <c r="X138" s="5">
        <v>52.62</v>
      </c>
      <c r="Y138" s="5">
        <v>109</v>
      </c>
      <c r="Z138" s="5" t="s">
        <v>2325</v>
      </c>
      <c r="AA138" s="5" t="s">
        <v>1680</v>
      </c>
      <c r="AB138" s="5" t="s">
        <v>19</v>
      </c>
      <c r="AC138" s="5" t="s">
        <v>19</v>
      </c>
      <c r="AD138" s="5" t="s">
        <v>19</v>
      </c>
      <c r="AE138" s="5" t="s">
        <v>1751</v>
      </c>
      <c r="AF138" s="5" t="s">
        <v>3563</v>
      </c>
      <c r="AG138" s="5">
        <v>70</v>
      </c>
      <c r="AH138" s="5">
        <v>1</v>
      </c>
      <c r="AI138" s="5">
        <v>69</v>
      </c>
      <c r="AJ138" s="5">
        <v>28.23</v>
      </c>
      <c r="AK138" s="5">
        <v>27.82</v>
      </c>
      <c r="AL138" s="5" t="s">
        <v>12</v>
      </c>
      <c r="AM138" s="5" t="s">
        <v>12</v>
      </c>
      <c r="AN138" s="5" t="s">
        <v>12</v>
      </c>
      <c r="AO138" s="5" t="s">
        <v>11</v>
      </c>
      <c r="AP138" s="5" t="s">
        <v>11</v>
      </c>
      <c r="AQ138" s="5" t="s">
        <v>123</v>
      </c>
      <c r="AR138" s="5" t="s">
        <v>122</v>
      </c>
    </row>
    <row r="139" spans="1:44" ht="31.5" x14ac:dyDescent="0.25">
      <c r="A139" s="10">
        <v>46096</v>
      </c>
      <c r="B139" s="5" t="s">
        <v>1163</v>
      </c>
      <c r="C139" s="5" t="s">
        <v>2326</v>
      </c>
      <c r="D139" s="5" t="s">
        <v>11</v>
      </c>
      <c r="E139" s="5" t="s">
        <v>6</v>
      </c>
      <c r="F139" s="5" t="s">
        <v>6</v>
      </c>
      <c r="G139" s="5" t="s">
        <v>3564</v>
      </c>
      <c r="H139" s="5" t="s">
        <v>3565</v>
      </c>
      <c r="I139" s="6" t="str">
        <f>HYPERLINK("http://maps.yandex.ru/?ll=39.233192,51.81553&amp;spn=0.011598,0.004531&amp;z=17&amp;l=map&amp;pt=39.233192,51.81553", "51.815536//39.233192")</f>
        <v>51.815536//39.233192</v>
      </c>
      <c r="J139" s="5" t="s">
        <v>101</v>
      </c>
      <c r="K139" s="6" t="str">
        <f>HYPERLINK("http://maps.yandex.ru/?ll=39.233192,51.81553&amp;spn=0.011598,0.004531&amp;z=17&amp;l=map&amp;pt=39.233192,51.81553", "51.815536//39.233192")</f>
        <v>51.815536//39.233192</v>
      </c>
      <c r="L139" s="5" t="s">
        <v>101</v>
      </c>
      <c r="M139" s="5" t="s">
        <v>13</v>
      </c>
      <c r="N139" s="5" t="s">
        <v>58</v>
      </c>
      <c r="O139" s="5" t="s">
        <v>13</v>
      </c>
      <c r="P139" s="5">
        <v>0</v>
      </c>
      <c r="Q139" s="5">
        <v>100</v>
      </c>
      <c r="R139" s="5">
        <v>0</v>
      </c>
      <c r="S139" s="5">
        <v>0</v>
      </c>
      <c r="T139" s="5" t="s">
        <v>12</v>
      </c>
      <c r="U139" s="5" t="s">
        <v>12</v>
      </c>
      <c r="V139" s="5" t="s">
        <v>12</v>
      </c>
      <c r="W139" s="5">
        <v>0</v>
      </c>
      <c r="X139" s="5">
        <v>0</v>
      </c>
      <c r="Y139" s="5">
        <v>30</v>
      </c>
      <c r="Z139" s="5" t="s">
        <v>1782</v>
      </c>
      <c r="AA139" s="5" t="s">
        <v>2688</v>
      </c>
      <c r="AB139" s="5" t="s">
        <v>19</v>
      </c>
      <c r="AC139" s="5" t="s">
        <v>19</v>
      </c>
      <c r="AD139" s="5" t="s">
        <v>19</v>
      </c>
      <c r="AE139" s="5" t="s">
        <v>1807</v>
      </c>
      <c r="AF139" s="5" t="s">
        <v>12</v>
      </c>
      <c r="AG139" s="5"/>
      <c r="AH139" s="5">
        <v>0</v>
      </c>
      <c r="AI139" s="5"/>
      <c r="AJ139" s="5"/>
      <c r="AK139" s="5"/>
      <c r="AL139" s="5" t="s">
        <v>12</v>
      </c>
      <c r="AM139" s="5" t="s">
        <v>12</v>
      </c>
      <c r="AN139" s="5" t="s">
        <v>12</v>
      </c>
      <c r="AO139" s="5" t="s">
        <v>11</v>
      </c>
      <c r="AP139" s="5" t="s">
        <v>11</v>
      </c>
      <c r="AQ139" s="5" t="s">
        <v>18</v>
      </c>
      <c r="AR139" s="5" t="s">
        <v>17</v>
      </c>
    </row>
    <row r="140" spans="1:44" ht="31.5" x14ac:dyDescent="0.25">
      <c r="A140" s="10">
        <v>46096</v>
      </c>
      <c r="B140" s="5" t="s">
        <v>1162</v>
      </c>
      <c r="C140" s="5" t="s">
        <v>2328</v>
      </c>
      <c r="D140" s="5" t="s">
        <v>11</v>
      </c>
      <c r="E140" s="5" t="s">
        <v>8</v>
      </c>
      <c r="F140" s="5" t="s">
        <v>8</v>
      </c>
      <c r="G140" s="5" t="s">
        <v>3566</v>
      </c>
      <c r="H140" s="5" t="s">
        <v>3567</v>
      </c>
      <c r="I140" s="6" t="str">
        <f>HYPERLINK("http://maps.yandex.ru/?ll=49.292625,53.26996&amp;spn=0.011598,0.004531&amp;z=17&amp;l=map&amp;pt=49.292625,53.26996", "53.269966//49.292625")</f>
        <v>53.269966//49.292625</v>
      </c>
      <c r="J140" s="5" t="s">
        <v>76</v>
      </c>
      <c r="K140" s="6" t="str">
        <f>HYPERLINK("http://maps.yandex.ru/?ll=50.156162,53.08490&amp;spn=0.011598,0.004531&amp;z=17&amp;l=map&amp;pt=50.156162,53.08490", "53.084904//50.156162")</f>
        <v>53.084904//50.156162</v>
      </c>
      <c r="L140" s="5" t="s">
        <v>76</v>
      </c>
      <c r="M140" s="5" t="s">
        <v>571</v>
      </c>
      <c r="N140" s="5" t="s">
        <v>3568</v>
      </c>
      <c r="O140" s="5" t="s">
        <v>238</v>
      </c>
      <c r="P140" s="5">
        <v>11</v>
      </c>
      <c r="Q140" s="5">
        <v>86</v>
      </c>
      <c r="R140" s="5">
        <v>3</v>
      </c>
      <c r="S140" s="5">
        <v>154.66</v>
      </c>
      <c r="T140" s="5" t="s">
        <v>2006</v>
      </c>
      <c r="U140" s="5" t="s">
        <v>3569</v>
      </c>
      <c r="V140" s="5" t="s">
        <v>3570</v>
      </c>
      <c r="W140" s="5">
        <v>6.44</v>
      </c>
      <c r="X140" s="5">
        <v>58.26</v>
      </c>
      <c r="Y140" s="5">
        <v>126</v>
      </c>
      <c r="Z140" s="5" t="s">
        <v>1808</v>
      </c>
      <c r="AA140" s="5" t="s">
        <v>1588</v>
      </c>
      <c r="AB140" s="5" t="s">
        <v>1563</v>
      </c>
      <c r="AC140" s="5" t="s">
        <v>1673</v>
      </c>
      <c r="AD140" s="5" t="s">
        <v>19</v>
      </c>
      <c r="AE140" s="5" t="s">
        <v>1582</v>
      </c>
      <c r="AF140" s="5" t="s">
        <v>3571</v>
      </c>
      <c r="AG140" s="5">
        <v>49</v>
      </c>
      <c r="AH140" s="5">
        <v>0</v>
      </c>
      <c r="AI140" s="5">
        <v>49</v>
      </c>
      <c r="AJ140" s="5">
        <v>26.34</v>
      </c>
      <c r="AK140" s="5">
        <v>26.34</v>
      </c>
      <c r="AL140" s="5" t="s">
        <v>12</v>
      </c>
      <c r="AM140" s="5" t="s">
        <v>12</v>
      </c>
      <c r="AN140" s="5" t="s">
        <v>12</v>
      </c>
      <c r="AO140" s="5" t="s">
        <v>11</v>
      </c>
      <c r="AP140" s="5" t="s">
        <v>11</v>
      </c>
      <c r="AQ140" s="5" t="s">
        <v>18</v>
      </c>
      <c r="AR140" s="5" t="s">
        <v>17</v>
      </c>
    </row>
    <row r="141" spans="1:44" ht="31.5" x14ac:dyDescent="0.25">
      <c r="A141" s="10">
        <v>46096</v>
      </c>
      <c r="B141" s="5" t="s">
        <v>1161</v>
      </c>
      <c r="C141" s="5" t="s">
        <v>2329</v>
      </c>
      <c r="D141" s="5" t="s">
        <v>11</v>
      </c>
      <c r="E141" s="5" t="s">
        <v>8</v>
      </c>
      <c r="F141" s="5" t="s">
        <v>8</v>
      </c>
      <c r="G141" s="5" t="s">
        <v>3103</v>
      </c>
      <c r="H141" s="5" t="s">
        <v>3572</v>
      </c>
      <c r="I141" s="6" t="str">
        <f>HYPERLINK("http://maps.yandex.ru/?ll=39.220016,51.97669&amp;spn=0.011598,0.004531&amp;z=17&amp;l=map&amp;pt=39.220016,51.97669", "51.976692//39.220016")</f>
        <v>51.976692//39.220016</v>
      </c>
      <c r="J141" s="5" t="s">
        <v>101</v>
      </c>
      <c r="K141" s="6" t="str">
        <f>HYPERLINK("http://maps.yandex.ru/?ll=38.15337,54.3540&amp;spn=0.011598,0.004531&amp;z=17&amp;l=map&amp;pt=38.15337,54.3540", "54.35409//38.15337")</f>
        <v>54.35409//38.15337</v>
      </c>
      <c r="L141" s="5" t="s">
        <v>168</v>
      </c>
      <c r="M141" s="5" t="s">
        <v>785</v>
      </c>
      <c r="N141" s="5" t="s">
        <v>3573</v>
      </c>
      <c r="O141" s="5" t="s">
        <v>507</v>
      </c>
      <c r="P141" s="5">
        <v>17</v>
      </c>
      <c r="Q141" s="5">
        <v>9</v>
      </c>
      <c r="R141" s="5">
        <v>74</v>
      </c>
      <c r="S141" s="5">
        <v>292.96899999999999</v>
      </c>
      <c r="T141" s="5" t="s">
        <v>12</v>
      </c>
      <c r="U141" s="5" t="s">
        <v>12</v>
      </c>
      <c r="V141" s="5" t="s">
        <v>12</v>
      </c>
      <c r="W141" s="5">
        <v>12.21</v>
      </c>
      <c r="X141" s="5">
        <v>73.849999999999994</v>
      </c>
      <c r="Y141" s="5">
        <v>105</v>
      </c>
      <c r="Z141" s="5" t="s">
        <v>2330</v>
      </c>
      <c r="AA141" s="5" t="s">
        <v>1515</v>
      </c>
      <c r="AB141" s="5" t="s">
        <v>2177</v>
      </c>
      <c r="AC141" s="5" t="s">
        <v>1673</v>
      </c>
      <c r="AD141" s="5" t="s">
        <v>19</v>
      </c>
      <c r="AE141" s="5" t="s">
        <v>1671</v>
      </c>
      <c r="AF141" s="5" t="s">
        <v>12</v>
      </c>
      <c r="AG141" s="5"/>
      <c r="AH141" s="5"/>
      <c r="AI141" s="5"/>
      <c r="AJ141" s="5"/>
      <c r="AK141" s="5"/>
      <c r="AL141" s="5" t="s">
        <v>2332</v>
      </c>
      <c r="AM141" s="5" t="s">
        <v>3574</v>
      </c>
      <c r="AN141" s="5" t="s">
        <v>1671</v>
      </c>
      <c r="AO141" s="5" t="s">
        <v>115</v>
      </c>
      <c r="AP141" s="5" t="s">
        <v>114</v>
      </c>
      <c r="AQ141" s="5" t="s">
        <v>99</v>
      </c>
      <c r="AR141" s="5" t="s">
        <v>98</v>
      </c>
    </row>
    <row r="142" spans="1:44" ht="31.5" x14ac:dyDescent="0.25">
      <c r="A142" s="10">
        <v>46096</v>
      </c>
      <c r="B142" s="5" t="s">
        <v>1160</v>
      </c>
      <c r="C142" s="5" t="s">
        <v>2333</v>
      </c>
      <c r="D142" s="5" t="s">
        <v>11</v>
      </c>
      <c r="E142" s="5" t="s">
        <v>6</v>
      </c>
      <c r="F142" s="5" t="s">
        <v>6</v>
      </c>
      <c r="G142" s="5" t="s">
        <v>3103</v>
      </c>
      <c r="H142" s="5" t="s">
        <v>3575</v>
      </c>
      <c r="I142" s="6" t="str">
        <f>HYPERLINK("http://maps.yandex.ru/?ll=36.50499,45.3091&amp;spn=0.011598,0.004531&amp;z=17&amp;l=map&amp;pt=36.50499,45.3091", "45.30912//36.50499")</f>
        <v>45.30912//36.50499</v>
      </c>
      <c r="J142" s="5" t="s">
        <v>1360</v>
      </c>
      <c r="K142" s="6" t="str">
        <f>HYPERLINK("http://maps.yandex.ru/?ll=42.869408,48.63493&amp;spn=0.011598,0.004531&amp;z=17&amp;l=map&amp;pt=42.869408,48.63493", "48.634937//42.869408")</f>
        <v>48.634937//42.869408</v>
      </c>
      <c r="L142" s="5" t="s">
        <v>95</v>
      </c>
      <c r="M142" s="5" t="s">
        <v>698</v>
      </c>
      <c r="N142" s="5" t="s">
        <v>980</v>
      </c>
      <c r="O142" s="5" t="s">
        <v>1194</v>
      </c>
      <c r="P142" s="5">
        <v>30</v>
      </c>
      <c r="Q142" s="5">
        <v>22</v>
      </c>
      <c r="R142" s="5">
        <v>48</v>
      </c>
      <c r="S142" s="5">
        <v>525.404</v>
      </c>
      <c r="T142" s="5" t="s">
        <v>12</v>
      </c>
      <c r="U142" s="5" t="s">
        <v>12</v>
      </c>
      <c r="V142" s="5" t="s">
        <v>12</v>
      </c>
      <c r="W142" s="5">
        <v>21.89</v>
      </c>
      <c r="X142" s="5">
        <v>73.92</v>
      </c>
      <c r="Y142" s="5">
        <v>143</v>
      </c>
      <c r="Z142" s="5" t="s">
        <v>1894</v>
      </c>
      <c r="AA142" s="5" t="s">
        <v>2190</v>
      </c>
      <c r="AB142" s="5" t="s">
        <v>19</v>
      </c>
      <c r="AC142" s="5" t="s">
        <v>19</v>
      </c>
      <c r="AD142" s="5" t="s">
        <v>19</v>
      </c>
      <c r="AE142" s="5" t="s">
        <v>1936</v>
      </c>
      <c r="AF142" s="5" t="s">
        <v>12</v>
      </c>
      <c r="AG142" s="5"/>
      <c r="AH142" s="5"/>
      <c r="AI142" s="5"/>
      <c r="AJ142" s="5"/>
      <c r="AK142" s="5"/>
      <c r="AL142" s="5" t="s">
        <v>3576</v>
      </c>
      <c r="AM142" s="5" t="s">
        <v>3577</v>
      </c>
      <c r="AN142" s="5" t="s">
        <v>1927</v>
      </c>
      <c r="AO142" s="5" t="s">
        <v>115</v>
      </c>
      <c r="AP142" s="5" t="s">
        <v>114</v>
      </c>
      <c r="AQ142" s="5" t="s">
        <v>99</v>
      </c>
      <c r="AR142" s="5" t="s">
        <v>98</v>
      </c>
    </row>
    <row r="143" spans="1:44" ht="15.75" x14ac:dyDescent="0.25">
      <c r="A143" s="10">
        <v>46096</v>
      </c>
      <c r="B143" s="5" t="s">
        <v>1159</v>
      </c>
      <c r="C143" s="5" t="s">
        <v>2334</v>
      </c>
      <c r="D143" s="5" t="s">
        <v>11</v>
      </c>
      <c r="E143" s="5" t="s">
        <v>6</v>
      </c>
      <c r="F143" s="5" t="s">
        <v>6</v>
      </c>
      <c r="G143" s="5" t="s">
        <v>11</v>
      </c>
      <c r="H143" s="5" t="s">
        <v>11</v>
      </c>
      <c r="I143" s="6" t="str">
        <f>HYPERLINK("http://maps.yandex.ru/?ll=,&amp;spn=0.011598,0.004531&amp;z=17&amp;l=map&amp;pt=,", "")</f>
        <v/>
      </c>
      <c r="J143" s="5" t="s">
        <v>84</v>
      </c>
      <c r="K143" s="6" t="str">
        <f>HYPERLINK("http://maps.yandex.ru/?ll=,&amp;spn=0.011598,0.004531&amp;z=17&amp;l=map&amp;pt=,", "")</f>
        <v/>
      </c>
      <c r="L143" s="5" t="s">
        <v>84</v>
      </c>
      <c r="M143" s="5" t="s">
        <v>13</v>
      </c>
      <c r="N143" s="5" t="s">
        <v>58</v>
      </c>
      <c r="O143" s="5" t="s">
        <v>13</v>
      </c>
      <c r="P143" s="5">
        <v>0</v>
      </c>
      <c r="Q143" s="5">
        <v>100</v>
      </c>
      <c r="R143" s="5">
        <v>0</v>
      </c>
      <c r="S143" s="5">
        <v>0</v>
      </c>
      <c r="T143" s="5" t="s">
        <v>12</v>
      </c>
      <c r="U143" s="5" t="s">
        <v>12</v>
      </c>
      <c r="V143" s="5" t="s">
        <v>12</v>
      </c>
      <c r="W143" s="5">
        <v>0</v>
      </c>
      <c r="X143" s="5">
        <v>0</v>
      </c>
      <c r="Y143" s="5">
        <v>0</v>
      </c>
      <c r="Z143" s="5" t="s">
        <v>1884</v>
      </c>
      <c r="AA143" s="5" t="s">
        <v>1884</v>
      </c>
      <c r="AB143" s="5" t="s">
        <v>19</v>
      </c>
      <c r="AC143" s="5" t="s">
        <v>19</v>
      </c>
      <c r="AD143" s="5" t="s">
        <v>19</v>
      </c>
      <c r="AE143" s="5" t="s">
        <v>19</v>
      </c>
      <c r="AF143" s="5" t="s">
        <v>12</v>
      </c>
      <c r="AG143" s="5"/>
      <c r="AH143" s="5"/>
      <c r="AI143" s="5"/>
      <c r="AJ143" s="5"/>
      <c r="AK143" s="5"/>
      <c r="AL143" s="5" t="s">
        <v>12</v>
      </c>
      <c r="AM143" s="5" t="s">
        <v>12</v>
      </c>
      <c r="AN143" s="5" t="s">
        <v>12</v>
      </c>
      <c r="AO143" s="5" t="s">
        <v>115</v>
      </c>
      <c r="AP143" s="5" t="s">
        <v>114</v>
      </c>
      <c r="AQ143" s="5" t="s">
        <v>99</v>
      </c>
      <c r="AR143" s="5" t="s">
        <v>98</v>
      </c>
    </row>
    <row r="144" spans="1:44" ht="31.5" x14ac:dyDescent="0.25">
      <c r="A144" s="10">
        <v>46096</v>
      </c>
      <c r="B144" s="5" t="s">
        <v>1158</v>
      </c>
      <c r="C144" s="5" t="s">
        <v>2335</v>
      </c>
      <c r="D144" s="5" t="s">
        <v>11</v>
      </c>
      <c r="E144" s="5" t="s">
        <v>0</v>
      </c>
      <c r="F144" s="5" t="s">
        <v>0</v>
      </c>
      <c r="G144" s="5" t="s">
        <v>3578</v>
      </c>
      <c r="H144" s="5" t="s">
        <v>3579</v>
      </c>
      <c r="I144" s="6" t="str">
        <f>HYPERLINK("http://maps.yandex.ru/?ll=73.36556,61.2461&amp;spn=0.011598,0.004531&amp;z=17&amp;l=map&amp;pt=73.36556,61.2461", "61.24619//73.36556")</f>
        <v>61.24619//73.36556</v>
      </c>
      <c r="J144" s="5" t="s">
        <v>519</v>
      </c>
      <c r="K144" s="6" t="str">
        <f>HYPERLINK("http://maps.yandex.ru/?ll=66.45123,56.52725&amp;spn=0.011598,0.004531&amp;z=17&amp;l=map&amp;pt=66.45123,56.52725", "56.527252//66.45123")</f>
        <v>56.527252//66.45123</v>
      </c>
      <c r="L144" s="5" t="s">
        <v>503</v>
      </c>
      <c r="M144" s="5" t="s">
        <v>823</v>
      </c>
      <c r="N144" s="5" t="s">
        <v>746</v>
      </c>
      <c r="O144" s="5" t="s">
        <v>13</v>
      </c>
      <c r="P144" s="5">
        <v>45</v>
      </c>
      <c r="Q144" s="5">
        <v>55</v>
      </c>
      <c r="R144" s="5">
        <v>0</v>
      </c>
      <c r="S144" s="5">
        <v>816.28700000000003</v>
      </c>
      <c r="T144" s="5" t="s">
        <v>12</v>
      </c>
      <c r="U144" s="5" t="s">
        <v>12</v>
      </c>
      <c r="V144" s="5" t="s">
        <v>12</v>
      </c>
      <c r="W144" s="5">
        <v>34.01</v>
      </c>
      <c r="X144" s="5">
        <v>75.849999999999994</v>
      </c>
      <c r="Y144" s="5">
        <v>104</v>
      </c>
      <c r="Z144" s="5" t="s">
        <v>2336</v>
      </c>
      <c r="AA144" s="5" t="s">
        <v>1685</v>
      </c>
      <c r="AB144" s="5" t="s">
        <v>19</v>
      </c>
      <c r="AC144" s="5" t="s">
        <v>19</v>
      </c>
      <c r="AD144" s="5" t="s">
        <v>19</v>
      </c>
      <c r="AE144" s="5" t="s">
        <v>1673</v>
      </c>
      <c r="AF144" s="5" t="s">
        <v>12</v>
      </c>
      <c r="AG144" s="5"/>
      <c r="AH144" s="5"/>
      <c r="AI144" s="5"/>
      <c r="AJ144" s="5"/>
      <c r="AK144" s="5"/>
      <c r="AL144" s="5" t="s">
        <v>12</v>
      </c>
      <c r="AM144" s="5" t="s">
        <v>12</v>
      </c>
      <c r="AN144" s="5" t="s">
        <v>12</v>
      </c>
      <c r="AO144" s="5" t="s">
        <v>115</v>
      </c>
      <c r="AP144" s="5" t="s">
        <v>114</v>
      </c>
      <c r="AQ144" s="5" t="s">
        <v>99</v>
      </c>
      <c r="AR144" s="5" t="s">
        <v>98</v>
      </c>
    </row>
    <row r="145" spans="1:44" ht="31.5" x14ac:dyDescent="0.25">
      <c r="A145" s="10">
        <v>46096</v>
      </c>
      <c r="B145" s="5" t="s">
        <v>1157</v>
      </c>
      <c r="C145" s="5" t="s">
        <v>2338</v>
      </c>
      <c r="D145" s="5" t="s">
        <v>11</v>
      </c>
      <c r="E145" s="5" t="s">
        <v>0</v>
      </c>
      <c r="F145" s="5" t="s">
        <v>0</v>
      </c>
      <c r="G145" s="5" t="s">
        <v>3103</v>
      </c>
      <c r="H145" s="5" t="s">
        <v>3580</v>
      </c>
      <c r="I145" s="6" t="str">
        <f>HYPERLINK("http://maps.yandex.ru/?ll=30.398067,59.90057&amp;spn=0.011598,0.004531&amp;z=17&amp;l=map&amp;pt=30.398067,59.90057", "59.900578//30.398067")</f>
        <v>59.900578//30.398067</v>
      </c>
      <c r="J145" s="5" t="s">
        <v>23</v>
      </c>
      <c r="K145" s="6" t="str">
        <f>HYPERLINK("http://maps.yandex.ru/?ll=30.652271,59.6425&amp;spn=0.011598,0.004531&amp;z=17&amp;l=map&amp;pt=30.652271,59.6425", "59.64255//30.652271")</f>
        <v>59.64255//30.652271</v>
      </c>
      <c r="L145" s="5" t="s">
        <v>22</v>
      </c>
      <c r="M145" s="5" t="s">
        <v>33</v>
      </c>
      <c r="N145" s="5" t="s">
        <v>3581</v>
      </c>
      <c r="O145" s="5" t="s">
        <v>13</v>
      </c>
      <c r="P145" s="5">
        <v>4</v>
      </c>
      <c r="Q145" s="5">
        <v>96</v>
      </c>
      <c r="R145" s="5">
        <v>0</v>
      </c>
      <c r="S145" s="5">
        <v>44.970999999999997</v>
      </c>
      <c r="T145" s="5" t="s">
        <v>2483</v>
      </c>
      <c r="U145" s="5" t="s">
        <v>2339</v>
      </c>
      <c r="V145" s="5" t="s">
        <v>3582</v>
      </c>
      <c r="W145" s="5">
        <v>1.87</v>
      </c>
      <c r="X145" s="5">
        <v>46.47</v>
      </c>
      <c r="Y145" s="5">
        <v>91</v>
      </c>
      <c r="Z145" s="5" t="s">
        <v>2340</v>
      </c>
      <c r="AA145" s="5" t="s">
        <v>3583</v>
      </c>
      <c r="AB145" s="5" t="s">
        <v>19</v>
      </c>
      <c r="AC145" s="5" t="s">
        <v>19</v>
      </c>
      <c r="AD145" s="5" t="s">
        <v>19</v>
      </c>
      <c r="AE145" s="5" t="s">
        <v>2253</v>
      </c>
      <c r="AF145" s="5" t="s">
        <v>3584</v>
      </c>
      <c r="AG145" s="5">
        <v>20</v>
      </c>
      <c r="AH145" s="5">
        <v>8</v>
      </c>
      <c r="AI145" s="5">
        <v>12</v>
      </c>
      <c r="AJ145" s="5">
        <v>43.48</v>
      </c>
      <c r="AK145" s="5">
        <v>26.09</v>
      </c>
      <c r="AL145" s="5" t="s">
        <v>12</v>
      </c>
      <c r="AM145" s="5" t="s">
        <v>12</v>
      </c>
      <c r="AN145" s="5" t="s">
        <v>12</v>
      </c>
      <c r="AO145" s="5" t="s">
        <v>11</v>
      </c>
      <c r="AP145" s="5" t="s">
        <v>11</v>
      </c>
      <c r="AQ145" s="5" t="s">
        <v>53</v>
      </c>
      <c r="AR145" s="5" t="s">
        <v>52</v>
      </c>
    </row>
    <row r="146" spans="1:44" ht="15.75" x14ac:dyDescent="0.25">
      <c r="A146" s="10">
        <v>46096</v>
      </c>
      <c r="B146" s="5" t="s">
        <v>1154</v>
      </c>
      <c r="C146" s="5" t="s">
        <v>2341</v>
      </c>
      <c r="D146" s="5" t="s">
        <v>11</v>
      </c>
      <c r="E146" s="5" t="s">
        <v>8</v>
      </c>
      <c r="F146" s="5" t="s">
        <v>8</v>
      </c>
      <c r="G146" s="5" t="s">
        <v>3585</v>
      </c>
      <c r="H146" s="5" t="s">
        <v>3586</v>
      </c>
      <c r="I146" s="6" t="str">
        <f>HYPERLINK("http://maps.yandex.ru/?ll=37.53237,54.9395&amp;spn=0.011598,0.004531&amp;z=17&amp;l=map&amp;pt=37.53237,54.9395", "54.93956//37.53237")</f>
        <v>54.93956//37.53237</v>
      </c>
      <c r="J146" s="5" t="s">
        <v>56</v>
      </c>
      <c r="K146" s="6" t="str">
        <f>HYPERLINK("http://maps.yandex.ru/?ll=30.5693,59.7095&amp;spn=0.011598,0.004531&amp;z=17&amp;l=map&amp;pt=30.5693,59.7095", "59.70952//30.5693")</f>
        <v>59.70952//30.5693</v>
      </c>
      <c r="L146" s="5" t="s">
        <v>22</v>
      </c>
      <c r="M146" s="5" t="s">
        <v>273</v>
      </c>
      <c r="N146" s="5" t="s">
        <v>3587</v>
      </c>
      <c r="O146" s="5" t="s">
        <v>396</v>
      </c>
      <c r="P146" s="5">
        <v>42</v>
      </c>
      <c r="Q146" s="5">
        <v>56</v>
      </c>
      <c r="R146" s="5">
        <v>2</v>
      </c>
      <c r="S146" s="5">
        <v>764.04399999999998</v>
      </c>
      <c r="T146" s="5" t="s">
        <v>1733</v>
      </c>
      <c r="U146" s="5" t="s">
        <v>3588</v>
      </c>
      <c r="V146" s="5" t="s">
        <v>3589</v>
      </c>
      <c r="W146" s="5">
        <v>31.84</v>
      </c>
      <c r="X146" s="5">
        <v>75.45</v>
      </c>
      <c r="Y146" s="5">
        <v>96</v>
      </c>
      <c r="Z146" s="5" t="s">
        <v>2342</v>
      </c>
      <c r="AA146" s="5" t="s">
        <v>3590</v>
      </c>
      <c r="AB146" s="5" t="s">
        <v>19</v>
      </c>
      <c r="AC146" s="5" t="s">
        <v>19</v>
      </c>
      <c r="AD146" s="5" t="s">
        <v>19</v>
      </c>
      <c r="AE146" s="5" t="s">
        <v>2377</v>
      </c>
      <c r="AF146" s="5" t="s">
        <v>3591</v>
      </c>
      <c r="AG146" s="5">
        <v>200</v>
      </c>
      <c r="AH146" s="5">
        <v>1</v>
      </c>
      <c r="AI146" s="5">
        <v>199</v>
      </c>
      <c r="AJ146" s="5">
        <v>25.19</v>
      </c>
      <c r="AK146" s="5">
        <v>25.06</v>
      </c>
      <c r="AL146" s="5" t="s">
        <v>12</v>
      </c>
      <c r="AM146" s="5" t="s">
        <v>12</v>
      </c>
      <c r="AN146" s="5" t="s">
        <v>12</v>
      </c>
      <c r="AO146" s="5" t="s">
        <v>11</v>
      </c>
      <c r="AP146" s="5" t="s">
        <v>11</v>
      </c>
      <c r="AQ146" s="5" t="s">
        <v>123</v>
      </c>
      <c r="AR146" s="5" t="s">
        <v>122</v>
      </c>
    </row>
    <row r="147" spans="1:44" ht="31.5" x14ac:dyDescent="0.25">
      <c r="A147" s="10">
        <v>46096</v>
      </c>
      <c r="B147" s="5" t="s">
        <v>1152</v>
      </c>
      <c r="C147" s="5" t="s">
        <v>2343</v>
      </c>
      <c r="D147" s="5" t="s">
        <v>11</v>
      </c>
      <c r="E147" s="5" t="s">
        <v>4</v>
      </c>
      <c r="F147" s="5" t="s">
        <v>4</v>
      </c>
      <c r="G147" s="5" t="s">
        <v>3592</v>
      </c>
      <c r="H147" s="5" t="s">
        <v>3593</v>
      </c>
      <c r="I147" s="6" t="str">
        <f>HYPERLINK("http://maps.yandex.ru/?ll=44.929157,49.0825&amp;spn=0.011598,0.004531&amp;z=17&amp;l=map&amp;pt=44.929157,49.0825", "49.08256//44.929157")</f>
        <v>49.08256//44.929157</v>
      </c>
      <c r="J147" s="5" t="s">
        <v>95</v>
      </c>
      <c r="K147" s="6" t="str">
        <f>HYPERLINK("http://maps.yandex.ru/?ll=47.9259,52.30901&amp;spn=0.011598,0.004531&amp;z=17&amp;l=map&amp;pt=47.9259,52.30901", "52.309013//47.9259")</f>
        <v>52.309013//47.9259</v>
      </c>
      <c r="L147" s="5" t="s">
        <v>213</v>
      </c>
      <c r="M147" s="5" t="s">
        <v>3098</v>
      </c>
      <c r="N147" s="5" t="s">
        <v>1293</v>
      </c>
      <c r="O147" s="5" t="s">
        <v>132</v>
      </c>
      <c r="P147" s="5">
        <v>23</v>
      </c>
      <c r="Q147" s="5">
        <v>44</v>
      </c>
      <c r="R147" s="5">
        <v>33</v>
      </c>
      <c r="S147" s="5">
        <v>396.25400000000002</v>
      </c>
      <c r="T147" s="5" t="s">
        <v>1596</v>
      </c>
      <c r="U147" s="5" t="s">
        <v>3594</v>
      </c>
      <c r="V147" s="5" t="s">
        <v>3595</v>
      </c>
      <c r="W147" s="5">
        <v>16.510000000000002</v>
      </c>
      <c r="X147" s="5">
        <v>72.22</v>
      </c>
      <c r="Y147" s="5">
        <v>100</v>
      </c>
      <c r="Z147" s="5" t="s">
        <v>2275</v>
      </c>
      <c r="AA147" s="5" t="s">
        <v>2708</v>
      </c>
      <c r="AB147" s="5" t="s">
        <v>19</v>
      </c>
      <c r="AC147" s="5" t="s">
        <v>19</v>
      </c>
      <c r="AD147" s="5" t="s">
        <v>19</v>
      </c>
      <c r="AE147" s="5" t="s">
        <v>1371</v>
      </c>
      <c r="AF147" s="5" t="s">
        <v>3596</v>
      </c>
      <c r="AG147" s="5">
        <v>179</v>
      </c>
      <c r="AH147" s="5">
        <v>0</v>
      </c>
      <c r="AI147" s="5">
        <v>179</v>
      </c>
      <c r="AJ147" s="5">
        <v>32.72</v>
      </c>
      <c r="AK147" s="5">
        <v>32.72</v>
      </c>
      <c r="AL147" s="5" t="s">
        <v>12</v>
      </c>
      <c r="AM147" s="5" t="s">
        <v>12</v>
      </c>
      <c r="AN147" s="5" t="s">
        <v>12</v>
      </c>
      <c r="AO147" s="5" t="s">
        <v>11</v>
      </c>
      <c r="AP147" s="5" t="s">
        <v>11</v>
      </c>
      <c r="AQ147" s="5" t="s">
        <v>123</v>
      </c>
      <c r="AR147" s="5" t="s">
        <v>122</v>
      </c>
    </row>
    <row r="148" spans="1:44" ht="31.5" x14ac:dyDescent="0.25">
      <c r="A148" s="10">
        <v>46096</v>
      </c>
      <c r="B148" s="5" t="s">
        <v>1201</v>
      </c>
      <c r="C148" s="5" t="s">
        <v>2345</v>
      </c>
      <c r="D148" s="5" t="s">
        <v>11</v>
      </c>
      <c r="E148" s="5" t="s">
        <v>8</v>
      </c>
      <c r="F148" s="5" t="s">
        <v>8</v>
      </c>
      <c r="G148" s="5" t="s">
        <v>3597</v>
      </c>
      <c r="H148" s="5" t="s">
        <v>3121</v>
      </c>
      <c r="I148" s="6" t="str">
        <f>HYPERLINK("http://maps.yandex.ru/?ll=41.03652,54.21191&amp;spn=0.011598,0.004531&amp;z=17&amp;l=map&amp;pt=41.03652,54.21191", "54.211918//41.03652")</f>
        <v>54.211918//41.03652</v>
      </c>
      <c r="J148" s="5" t="s">
        <v>118</v>
      </c>
      <c r="K148" s="6" t="str">
        <f>HYPERLINK("http://maps.yandex.ru/?ll=49.340725,53.43940&amp;spn=0.011598,0.004531&amp;z=17&amp;l=map&amp;pt=49.340725,53.43940", "53.439404//49.340725")</f>
        <v>53.439404//49.340725</v>
      </c>
      <c r="L148" s="5" t="s">
        <v>76</v>
      </c>
      <c r="M148" s="5" t="s">
        <v>1465</v>
      </c>
      <c r="N148" s="5" t="s">
        <v>3598</v>
      </c>
      <c r="O148" s="5" t="s">
        <v>3598</v>
      </c>
      <c r="P148" s="5">
        <v>51</v>
      </c>
      <c r="Q148" s="5">
        <v>24</v>
      </c>
      <c r="R148" s="5">
        <v>24</v>
      </c>
      <c r="S148" s="5">
        <v>971.98699999999997</v>
      </c>
      <c r="T148" s="5" t="s">
        <v>1726</v>
      </c>
      <c r="U148" s="5" t="s">
        <v>2346</v>
      </c>
      <c r="V148" s="5" t="s">
        <v>3599</v>
      </c>
      <c r="W148" s="5">
        <v>40.5</v>
      </c>
      <c r="X148" s="5">
        <v>78.92</v>
      </c>
      <c r="Y148" s="5">
        <v>141</v>
      </c>
      <c r="Z148" s="5" t="s">
        <v>2025</v>
      </c>
      <c r="AA148" s="5" t="s">
        <v>3600</v>
      </c>
      <c r="AB148" s="5" t="s">
        <v>2808</v>
      </c>
      <c r="AC148" s="5" t="s">
        <v>1673</v>
      </c>
      <c r="AD148" s="5" t="s">
        <v>19</v>
      </c>
      <c r="AE148" s="5" t="s">
        <v>1858</v>
      </c>
      <c r="AF148" s="5" t="s">
        <v>3601</v>
      </c>
      <c r="AG148" s="5">
        <v>211</v>
      </c>
      <c r="AH148" s="5">
        <v>1</v>
      </c>
      <c r="AI148" s="5">
        <v>210</v>
      </c>
      <c r="AJ148" s="5">
        <v>31.26</v>
      </c>
      <c r="AK148" s="5">
        <v>31.11</v>
      </c>
      <c r="AL148" s="5" t="s">
        <v>12</v>
      </c>
      <c r="AM148" s="5" t="s">
        <v>12</v>
      </c>
      <c r="AN148" s="5" t="s">
        <v>12</v>
      </c>
      <c r="AO148" s="5" t="s">
        <v>11</v>
      </c>
      <c r="AP148" s="5" t="s">
        <v>11</v>
      </c>
      <c r="AQ148" s="5" t="s">
        <v>123</v>
      </c>
      <c r="AR148" s="5" t="s">
        <v>122</v>
      </c>
    </row>
    <row r="149" spans="1:44" ht="31.5" x14ac:dyDescent="0.25">
      <c r="A149" s="10">
        <v>46096</v>
      </c>
      <c r="B149" s="5" t="s">
        <v>1200</v>
      </c>
      <c r="C149" s="5" t="s">
        <v>2347</v>
      </c>
      <c r="D149" s="5" t="s">
        <v>11</v>
      </c>
      <c r="E149" s="5" t="s">
        <v>5</v>
      </c>
      <c r="F149" s="5" t="s">
        <v>5</v>
      </c>
      <c r="G149" s="5" t="s">
        <v>3602</v>
      </c>
      <c r="H149" s="5" t="s">
        <v>3603</v>
      </c>
      <c r="I149" s="6" t="str">
        <f>HYPERLINK("http://maps.yandex.ru/?ll=30.609707,59.77042&amp;spn=0.011598,0.004531&amp;z=17&amp;l=map&amp;pt=30.609707,59.77042", "59.770428//30.609707")</f>
        <v>59.770428//30.609707</v>
      </c>
      <c r="J149" s="5" t="s">
        <v>23</v>
      </c>
      <c r="K149" s="6" t="str">
        <f>HYPERLINK("http://maps.yandex.ru/?ll=30.609653,59.77083&amp;spn=0.011598,0.004531&amp;z=17&amp;l=map&amp;pt=30.609653,59.77083", "59.770836//30.609653")</f>
        <v>59.770836//30.609653</v>
      </c>
      <c r="L149" s="5" t="s">
        <v>23</v>
      </c>
      <c r="M149" s="5" t="s">
        <v>322</v>
      </c>
      <c r="N149" s="5" t="s">
        <v>942</v>
      </c>
      <c r="O149" s="5" t="s">
        <v>13</v>
      </c>
      <c r="P149" s="5">
        <v>1</v>
      </c>
      <c r="Q149" s="5">
        <v>99</v>
      </c>
      <c r="R149" s="5">
        <v>0</v>
      </c>
      <c r="S149" s="5">
        <v>1.228</v>
      </c>
      <c r="T149" s="5" t="s">
        <v>1671</v>
      </c>
      <c r="U149" s="5" t="s">
        <v>3604</v>
      </c>
      <c r="V149" s="5" t="s">
        <v>3605</v>
      </c>
      <c r="W149" s="5">
        <v>0.05</v>
      </c>
      <c r="X149" s="5">
        <v>4.63</v>
      </c>
      <c r="Y149" s="5">
        <v>35</v>
      </c>
      <c r="Z149" s="5" t="s">
        <v>2349</v>
      </c>
      <c r="AA149" s="5" t="s">
        <v>3606</v>
      </c>
      <c r="AB149" s="5" t="s">
        <v>19</v>
      </c>
      <c r="AC149" s="5" t="s">
        <v>19</v>
      </c>
      <c r="AD149" s="5" t="s">
        <v>19</v>
      </c>
      <c r="AE149" s="5" t="s">
        <v>1698</v>
      </c>
      <c r="AF149" s="5" t="s">
        <v>3607</v>
      </c>
      <c r="AG149" s="5">
        <v>7</v>
      </c>
      <c r="AH149" s="5">
        <v>3</v>
      </c>
      <c r="AI149" s="5">
        <v>4</v>
      </c>
      <c r="AJ149" s="5">
        <v>350</v>
      </c>
      <c r="AK149" s="5">
        <v>200</v>
      </c>
      <c r="AL149" s="5" t="s">
        <v>12</v>
      </c>
      <c r="AM149" s="5" t="s">
        <v>12</v>
      </c>
      <c r="AN149" s="5" t="s">
        <v>12</v>
      </c>
      <c r="AO149" s="5" t="s">
        <v>11</v>
      </c>
      <c r="AP149" s="5" t="s">
        <v>11</v>
      </c>
      <c r="AQ149" s="5" t="s">
        <v>123</v>
      </c>
      <c r="AR149" s="5" t="s">
        <v>122</v>
      </c>
    </row>
    <row r="150" spans="1:44" ht="31.5" x14ac:dyDescent="0.25">
      <c r="A150" s="10">
        <v>46096</v>
      </c>
      <c r="B150" s="5" t="s">
        <v>1197</v>
      </c>
      <c r="C150" s="5" t="s">
        <v>2350</v>
      </c>
      <c r="D150" s="5" t="s">
        <v>11</v>
      </c>
      <c r="E150" s="5" t="s">
        <v>0</v>
      </c>
      <c r="F150" s="5" t="s">
        <v>0</v>
      </c>
      <c r="G150" s="5" t="s">
        <v>3608</v>
      </c>
      <c r="H150" s="5" t="s">
        <v>3609</v>
      </c>
      <c r="I150" s="6" t="str">
        <f>HYPERLINK("http://maps.yandex.ru/?ll=50.151775,53.08534&amp;spn=0.011598,0.004531&amp;z=17&amp;l=map&amp;pt=50.151775,53.08534", "53.085346//50.151775")</f>
        <v>53.085346//50.151775</v>
      </c>
      <c r="J150" s="5" t="s">
        <v>76</v>
      </c>
      <c r="K150" s="6" t="str">
        <f>HYPERLINK("http://maps.yandex.ru/?ll=50.151775,53.08534&amp;spn=0.011598,0.004531&amp;z=17&amp;l=map&amp;pt=50.151775,53.08534", "53.085346//50.151775")</f>
        <v>53.085346//50.151775</v>
      </c>
      <c r="L150" s="5" t="s">
        <v>76</v>
      </c>
      <c r="M150" s="5" t="s">
        <v>13</v>
      </c>
      <c r="N150" s="5" t="s">
        <v>967</v>
      </c>
      <c r="O150" s="5" t="s">
        <v>3610</v>
      </c>
      <c r="P150" s="5">
        <v>0</v>
      </c>
      <c r="Q150" s="5">
        <v>71</v>
      </c>
      <c r="R150" s="5">
        <v>29</v>
      </c>
      <c r="S150" s="5">
        <v>0</v>
      </c>
      <c r="T150" s="5" t="s">
        <v>12</v>
      </c>
      <c r="U150" s="5" t="s">
        <v>12</v>
      </c>
      <c r="V150" s="5" t="s">
        <v>12</v>
      </c>
      <c r="W150" s="5">
        <v>0</v>
      </c>
      <c r="X150" s="5">
        <v>0</v>
      </c>
      <c r="Y150" s="5">
        <v>5</v>
      </c>
      <c r="Z150" s="5" t="s">
        <v>2190</v>
      </c>
      <c r="AA150" s="5" t="s">
        <v>1845</v>
      </c>
      <c r="AB150" s="5" t="s">
        <v>19</v>
      </c>
      <c r="AC150" s="5" t="s">
        <v>19</v>
      </c>
      <c r="AD150" s="5" t="s">
        <v>19</v>
      </c>
      <c r="AE150" s="5" t="s">
        <v>2318</v>
      </c>
      <c r="AF150" s="5" t="s">
        <v>12</v>
      </c>
      <c r="AG150" s="5"/>
      <c r="AH150" s="5"/>
      <c r="AI150" s="5"/>
      <c r="AJ150" s="5"/>
      <c r="AK150" s="5"/>
      <c r="AL150" s="5" t="s">
        <v>1592</v>
      </c>
      <c r="AM150" s="5" t="s">
        <v>3611</v>
      </c>
      <c r="AN150" s="5" t="s">
        <v>1756</v>
      </c>
      <c r="AO150" s="5" t="s">
        <v>115</v>
      </c>
      <c r="AP150" s="5" t="s">
        <v>114</v>
      </c>
      <c r="AQ150" s="5" t="s">
        <v>99</v>
      </c>
      <c r="AR150" s="5" t="s">
        <v>98</v>
      </c>
    </row>
    <row r="151" spans="1:44" ht="31.5" x14ac:dyDescent="0.25">
      <c r="A151" s="10">
        <v>46096</v>
      </c>
      <c r="B151" s="5" t="s">
        <v>1196</v>
      </c>
      <c r="C151" s="5" t="s">
        <v>2351</v>
      </c>
      <c r="D151" s="5" t="s">
        <v>11</v>
      </c>
      <c r="E151" s="5" t="s">
        <v>8</v>
      </c>
      <c r="F151" s="5" t="s">
        <v>8</v>
      </c>
      <c r="G151" s="5" t="s">
        <v>3612</v>
      </c>
      <c r="H151" s="5" t="s">
        <v>3613</v>
      </c>
      <c r="I151" s="6" t="str">
        <f>HYPERLINK("http://maps.yandex.ru/?ll=85.991714,55.2284&amp;spn=0.011598,0.004531&amp;z=17&amp;l=map&amp;pt=85.991714,55.2284", "55.22847//85.991714")</f>
        <v>55.22847//85.991714</v>
      </c>
      <c r="J151" s="5" t="s">
        <v>497</v>
      </c>
      <c r="K151" s="6" t="str">
        <f>HYPERLINK("http://maps.yandex.ru/?ll=86.90974,53.7888&amp;spn=0.011598,0.004531&amp;z=17&amp;l=map&amp;pt=86.90974,53.7888", "53.78888//86.90974")</f>
        <v>53.78888//86.90974</v>
      </c>
      <c r="L151" s="5" t="s">
        <v>497</v>
      </c>
      <c r="M151" s="5" t="s">
        <v>628</v>
      </c>
      <c r="N151" s="5" t="s">
        <v>1456</v>
      </c>
      <c r="O151" s="5" t="s">
        <v>13</v>
      </c>
      <c r="P151" s="5">
        <v>22</v>
      </c>
      <c r="Q151" s="5">
        <v>78</v>
      </c>
      <c r="R151" s="5">
        <v>0</v>
      </c>
      <c r="S151" s="5">
        <v>240.905</v>
      </c>
      <c r="T151" s="5" t="s">
        <v>12</v>
      </c>
      <c r="U151" s="5" t="s">
        <v>12</v>
      </c>
      <c r="V151" s="5" t="s">
        <v>12</v>
      </c>
      <c r="W151" s="5">
        <v>10.039999999999999</v>
      </c>
      <c r="X151" s="5">
        <v>44.65</v>
      </c>
      <c r="Y151" s="5">
        <v>98</v>
      </c>
      <c r="Z151" s="5" t="s">
        <v>2352</v>
      </c>
      <c r="AA151" s="5" t="s">
        <v>1501</v>
      </c>
      <c r="AB151" s="5" t="s">
        <v>19</v>
      </c>
      <c r="AC151" s="5" t="s">
        <v>19</v>
      </c>
      <c r="AD151" s="5" t="s">
        <v>19</v>
      </c>
      <c r="AE151" s="5" t="s">
        <v>1929</v>
      </c>
      <c r="AF151" s="5" t="s">
        <v>12</v>
      </c>
      <c r="AG151" s="5"/>
      <c r="AH151" s="5"/>
      <c r="AI151" s="5"/>
      <c r="AJ151" s="5"/>
      <c r="AK151" s="5"/>
      <c r="AL151" s="5" t="s">
        <v>2353</v>
      </c>
      <c r="AM151" s="5" t="s">
        <v>3614</v>
      </c>
      <c r="AN151" s="5" t="s">
        <v>1746</v>
      </c>
      <c r="AO151" s="5" t="s">
        <v>115</v>
      </c>
      <c r="AP151" s="5" t="s">
        <v>114</v>
      </c>
      <c r="AQ151" s="5" t="s">
        <v>99</v>
      </c>
      <c r="AR151" s="5" t="s">
        <v>98</v>
      </c>
    </row>
    <row r="152" spans="1:44" ht="31.5" x14ac:dyDescent="0.25">
      <c r="A152" s="10">
        <v>46096</v>
      </c>
      <c r="B152" s="5" t="s">
        <v>1195</v>
      </c>
      <c r="C152" s="5" t="s">
        <v>2354</v>
      </c>
      <c r="D152" s="5" t="s">
        <v>11</v>
      </c>
      <c r="E152" s="5" t="s">
        <v>8</v>
      </c>
      <c r="F152" s="5" t="s">
        <v>8</v>
      </c>
      <c r="G152" s="5" t="s">
        <v>3615</v>
      </c>
      <c r="H152" s="5" t="s">
        <v>3616</v>
      </c>
      <c r="I152" s="6" t="str">
        <f>HYPERLINK("http://maps.yandex.ru/?ll=39.546917,45.21233&amp;spn=0.011598,0.004531&amp;z=17&amp;l=map&amp;pt=39.546917,45.21233", "45.212337//39.546917")</f>
        <v>45.212337//39.546917</v>
      </c>
      <c r="J152" s="5" t="s">
        <v>88</v>
      </c>
      <c r="K152" s="6" t="str">
        <f>HYPERLINK("http://maps.yandex.ru/?ll=39.135185,45.11202&amp;spn=0.011598,0.004531&amp;z=17&amp;l=map&amp;pt=39.135185,45.11202", "45.112022//39.135185")</f>
        <v>45.112022//39.135185</v>
      </c>
      <c r="L152" s="5" t="s">
        <v>88</v>
      </c>
      <c r="M152" s="5" t="s">
        <v>1192</v>
      </c>
      <c r="N152" s="5" t="s">
        <v>3617</v>
      </c>
      <c r="O152" s="5" t="s">
        <v>13</v>
      </c>
      <c r="P152" s="5">
        <v>5</v>
      </c>
      <c r="Q152" s="5">
        <v>95</v>
      </c>
      <c r="R152" s="5">
        <v>0</v>
      </c>
      <c r="S152" s="5">
        <v>52.512999999999998</v>
      </c>
      <c r="T152" s="5" t="s">
        <v>12</v>
      </c>
      <c r="U152" s="5" t="s">
        <v>12</v>
      </c>
      <c r="V152" s="5" t="s">
        <v>12</v>
      </c>
      <c r="W152" s="5">
        <v>2.19</v>
      </c>
      <c r="X152" s="5">
        <v>47.32</v>
      </c>
      <c r="Y152" s="5">
        <v>123</v>
      </c>
      <c r="Z152" s="5" t="s">
        <v>2015</v>
      </c>
      <c r="AA152" s="5" t="s">
        <v>1727</v>
      </c>
      <c r="AB152" s="5" t="s">
        <v>19</v>
      </c>
      <c r="AC152" s="5" t="s">
        <v>19</v>
      </c>
      <c r="AD152" s="5" t="s">
        <v>19</v>
      </c>
      <c r="AE152" s="5" t="s">
        <v>1848</v>
      </c>
      <c r="AF152" s="5" t="s">
        <v>12</v>
      </c>
      <c r="AG152" s="5"/>
      <c r="AH152" s="5"/>
      <c r="AI152" s="5"/>
      <c r="AJ152" s="5"/>
      <c r="AK152" s="5"/>
      <c r="AL152" s="5" t="s">
        <v>3618</v>
      </c>
      <c r="AM152" s="5" t="s">
        <v>3619</v>
      </c>
      <c r="AN152" s="5" t="s">
        <v>1607</v>
      </c>
      <c r="AO152" s="5" t="s">
        <v>115</v>
      </c>
      <c r="AP152" s="5" t="s">
        <v>114</v>
      </c>
      <c r="AQ152" s="5" t="s">
        <v>99</v>
      </c>
      <c r="AR152" s="5" t="s">
        <v>98</v>
      </c>
    </row>
    <row r="153" spans="1:44" ht="15.75" x14ac:dyDescent="0.25">
      <c r="A153" s="10">
        <v>46096</v>
      </c>
      <c r="B153" s="5" t="s">
        <v>1193</v>
      </c>
      <c r="C153" s="5" t="s">
        <v>2356</v>
      </c>
      <c r="D153" s="5" t="s">
        <v>11</v>
      </c>
      <c r="E153" s="5" t="s">
        <v>8</v>
      </c>
      <c r="F153" s="5" t="s">
        <v>8</v>
      </c>
      <c r="G153" s="5" t="s">
        <v>3620</v>
      </c>
      <c r="H153" s="5" t="s">
        <v>3621</v>
      </c>
      <c r="I153" s="6" t="str">
        <f>HYPERLINK("http://maps.yandex.ru/?ll=39.12264,44.9526&amp;spn=0.011598,0.004531&amp;z=17&amp;l=map&amp;pt=39.12264,44.9526", "44.95265//39.12264")</f>
        <v>44.95265//39.12264</v>
      </c>
      <c r="J153" s="5" t="s">
        <v>23</v>
      </c>
      <c r="K153" s="6" t="str">
        <f>HYPERLINK("http://maps.yandex.ru/?ll=39.12264,44.9526&amp;spn=0.011598,0.004531&amp;z=17&amp;l=map&amp;pt=39.12264,44.9526", "44.95265//39.12264")</f>
        <v>44.95265//39.12264</v>
      </c>
      <c r="L153" s="5" t="s">
        <v>23</v>
      </c>
      <c r="M153" s="5" t="s">
        <v>13</v>
      </c>
      <c r="N153" s="5" t="s">
        <v>58</v>
      </c>
      <c r="O153" s="5" t="s">
        <v>13</v>
      </c>
      <c r="P153" s="5">
        <v>0</v>
      </c>
      <c r="Q153" s="5">
        <v>100</v>
      </c>
      <c r="R153" s="5">
        <v>0</v>
      </c>
      <c r="S153" s="5">
        <v>0</v>
      </c>
      <c r="T153" s="5" t="s">
        <v>12</v>
      </c>
      <c r="U153" s="5" t="s">
        <v>12</v>
      </c>
      <c r="V153" s="5" t="s">
        <v>12</v>
      </c>
      <c r="W153" s="5">
        <v>0</v>
      </c>
      <c r="X153" s="5">
        <v>0</v>
      </c>
      <c r="Y153" s="5">
        <v>5</v>
      </c>
      <c r="Z153" s="5" t="s">
        <v>2317</v>
      </c>
      <c r="AA153" s="5" t="s">
        <v>2317</v>
      </c>
      <c r="AB153" s="5" t="s">
        <v>19</v>
      </c>
      <c r="AC153" s="5" t="s">
        <v>19</v>
      </c>
      <c r="AD153" s="5" t="s">
        <v>19</v>
      </c>
      <c r="AE153" s="5" t="s">
        <v>19</v>
      </c>
      <c r="AF153" s="5" t="s">
        <v>12</v>
      </c>
      <c r="AG153" s="5"/>
      <c r="AH153" s="5"/>
      <c r="AI153" s="5"/>
      <c r="AJ153" s="5"/>
      <c r="AK153" s="5"/>
      <c r="AL153" s="5" t="s">
        <v>12</v>
      </c>
      <c r="AM153" s="5" t="s">
        <v>12</v>
      </c>
      <c r="AN153" s="5" t="s">
        <v>12</v>
      </c>
      <c r="AO153" s="5" t="s">
        <v>115</v>
      </c>
      <c r="AP153" s="5" t="s">
        <v>114</v>
      </c>
      <c r="AQ153" s="5" t="s">
        <v>99</v>
      </c>
      <c r="AR153" s="5" t="s">
        <v>98</v>
      </c>
    </row>
    <row r="154" spans="1:44" ht="31.5" x14ac:dyDescent="0.25">
      <c r="A154" s="10">
        <v>46096</v>
      </c>
      <c r="B154" s="5" t="s">
        <v>1191</v>
      </c>
      <c r="C154" s="5" t="s">
        <v>2357</v>
      </c>
      <c r="D154" s="5" t="s">
        <v>11</v>
      </c>
      <c r="E154" s="5" t="s">
        <v>8</v>
      </c>
      <c r="F154" s="5" t="s">
        <v>8</v>
      </c>
      <c r="G154" s="5" t="s">
        <v>3622</v>
      </c>
      <c r="H154" s="5" t="s">
        <v>3623</v>
      </c>
      <c r="I154" s="6" t="str">
        <f>HYPERLINK("http://maps.yandex.ru/?ll=44.47584,56.03528&amp;spn=0.011598,0.004531&amp;z=17&amp;l=map&amp;pt=44.47584,56.03528", "56.035282//44.47584")</f>
        <v>56.035282//44.47584</v>
      </c>
      <c r="J154" s="5" t="s">
        <v>15</v>
      </c>
      <c r="K154" s="6" t="str">
        <f>HYPERLINK("http://maps.yandex.ru/?ll=53.752155,54.46792&amp;spn=0.011598,0.004531&amp;z=17&amp;l=map&amp;pt=53.752155,54.46792", "54.467922//53.752155")</f>
        <v>54.467922//53.752155</v>
      </c>
      <c r="L154" s="5" t="s">
        <v>34</v>
      </c>
      <c r="M154" s="5" t="s">
        <v>908</v>
      </c>
      <c r="N154" s="5" t="s">
        <v>3224</v>
      </c>
      <c r="O154" s="5" t="s">
        <v>130</v>
      </c>
      <c r="P154" s="5">
        <v>45</v>
      </c>
      <c r="Q154" s="5">
        <v>47</v>
      </c>
      <c r="R154" s="5">
        <v>8</v>
      </c>
      <c r="S154" s="5">
        <v>751.202</v>
      </c>
      <c r="T154" s="5" t="s">
        <v>3624</v>
      </c>
      <c r="U154" s="5" t="s">
        <v>3625</v>
      </c>
      <c r="V154" s="5" t="s">
        <v>3626</v>
      </c>
      <c r="W154" s="5">
        <v>31.3</v>
      </c>
      <c r="X154" s="5">
        <v>69.180000000000007</v>
      </c>
      <c r="Y154" s="5">
        <v>108</v>
      </c>
      <c r="Z154" s="5" t="s">
        <v>1362</v>
      </c>
      <c r="AA154" s="5" t="s">
        <v>3627</v>
      </c>
      <c r="AB154" s="5" t="s">
        <v>19</v>
      </c>
      <c r="AC154" s="5" t="s">
        <v>19</v>
      </c>
      <c r="AD154" s="5" t="s">
        <v>19</v>
      </c>
      <c r="AE154" s="5" t="s">
        <v>1611</v>
      </c>
      <c r="AF154" s="5" t="s">
        <v>1347</v>
      </c>
      <c r="AG154" s="5">
        <v>264</v>
      </c>
      <c r="AH154" s="5">
        <v>13</v>
      </c>
      <c r="AI154" s="5">
        <v>251</v>
      </c>
      <c r="AJ154" s="5">
        <v>34.69</v>
      </c>
      <c r="AK154" s="5">
        <v>32.979999999999997</v>
      </c>
      <c r="AL154" s="5" t="s">
        <v>12</v>
      </c>
      <c r="AM154" s="5" t="s">
        <v>12</v>
      </c>
      <c r="AN154" s="5" t="s">
        <v>12</v>
      </c>
      <c r="AO154" s="5" t="s">
        <v>11</v>
      </c>
      <c r="AP154" s="5" t="s">
        <v>11</v>
      </c>
      <c r="AQ154" s="5" t="s">
        <v>18</v>
      </c>
      <c r="AR154" s="5" t="s">
        <v>17</v>
      </c>
    </row>
    <row r="155" spans="1:44" ht="31.5" x14ac:dyDescent="0.25">
      <c r="A155" s="10">
        <v>46096</v>
      </c>
      <c r="B155" s="5" t="s">
        <v>1190</v>
      </c>
      <c r="C155" s="5" t="s">
        <v>2360</v>
      </c>
      <c r="D155" s="5" t="s">
        <v>11</v>
      </c>
      <c r="E155" s="5" t="s">
        <v>8</v>
      </c>
      <c r="F155" s="5" t="s">
        <v>8</v>
      </c>
      <c r="G155" s="5" t="s">
        <v>3628</v>
      </c>
      <c r="H155" s="5" t="s">
        <v>3629</v>
      </c>
      <c r="I155" s="6" t="str">
        <f>HYPERLINK("http://maps.yandex.ru/?ll=39.67268,46.58087&amp;spn=0.011598,0.004531&amp;z=17&amp;l=map&amp;pt=39.67268,46.58087", "46.580875//39.67268")</f>
        <v>46.580875//39.67268</v>
      </c>
      <c r="J155" s="5" t="s">
        <v>88</v>
      </c>
      <c r="K155" s="6" t="str">
        <f>HYPERLINK("http://maps.yandex.ru/?ll=38.215466,52.9312&amp;spn=0.011598,0.004531&amp;z=17&amp;l=map&amp;pt=38.215466,52.9312", "52.93121//38.215466")</f>
        <v>52.93121//38.215466</v>
      </c>
      <c r="L155" s="5" t="s">
        <v>151</v>
      </c>
      <c r="M155" s="5" t="s">
        <v>1072</v>
      </c>
      <c r="N155" s="5" t="s">
        <v>493</v>
      </c>
      <c r="O155" s="5" t="s">
        <v>1288</v>
      </c>
      <c r="P155" s="5">
        <v>40</v>
      </c>
      <c r="Q155" s="5">
        <v>58</v>
      </c>
      <c r="R155" s="5">
        <v>3</v>
      </c>
      <c r="S155" s="5">
        <v>759.87199999999996</v>
      </c>
      <c r="T155" s="5" t="s">
        <v>12</v>
      </c>
      <c r="U155" s="5" t="s">
        <v>12</v>
      </c>
      <c r="V155" s="5" t="s">
        <v>12</v>
      </c>
      <c r="W155" s="5">
        <v>31.66</v>
      </c>
      <c r="X155" s="5">
        <v>80.069999999999993</v>
      </c>
      <c r="Y155" s="5">
        <v>118</v>
      </c>
      <c r="Z155" s="5" t="s">
        <v>1683</v>
      </c>
      <c r="AA155" s="5" t="s">
        <v>1847</v>
      </c>
      <c r="AB155" s="5" t="s">
        <v>19</v>
      </c>
      <c r="AC155" s="5" t="s">
        <v>19</v>
      </c>
      <c r="AD155" s="5" t="s">
        <v>19</v>
      </c>
      <c r="AE155" s="5" t="s">
        <v>2203</v>
      </c>
      <c r="AF155" s="5" t="s">
        <v>12</v>
      </c>
      <c r="AG155" s="5"/>
      <c r="AH155" s="5"/>
      <c r="AI155" s="5"/>
      <c r="AJ155" s="5"/>
      <c r="AK155" s="5"/>
      <c r="AL155" s="5" t="s">
        <v>1562</v>
      </c>
      <c r="AM155" s="5" t="s">
        <v>3630</v>
      </c>
      <c r="AN155" s="5" t="s">
        <v>2253</v>
      </c>
      <c r="AO155" s="5" t="s">
        <v>69</v>
      </c>
      <c r="AP155" s="5" t="s">
        <v>68</v>
      </c>
      <c r="AQ155" s="5" t="s">
        <v>99</v>
      </c>
      <c r="AR155" s="5" t="s">
        <v>98</v>
      </c>
    </row>
    <row r="156" spans="1:44" ht="31.5" x14ac:dyDescent="0.25">
      <c r="A156" s="10">
        <v>46096</v>
      </c>
      <c r="B156" s="5" t="s">
        <v>1189</v>
      </c>
      <c r="C156" s="5" t="s">
        <v>2362</v>
      </c>
      <c r="D156" s="5" t="s">
        <v>11</v>
      </c>
      <c r="E156" s="5" t="s">
        <v>7</v>
      </c>
      <c r="F156" s="5" t="s">
        <v>7</v>
      </c>
      <c r="G156" s="5" t="s">
        <v>3631</v>
      </c>
      <c r="H156" s="5" t="s">
        <v>3632</v>
      </c>
      <c r="I156" s="6" t="str">
        <f>HYPERLINK("http://maps.yandex.ru/?ll=32.44469,58.28186&amp;spn=0.011598,0.004531&amp;z=17&amp;l=map&amp;pt=32.44469,58.28186", "58.281868//32.44469")</f>
        <v>58.281868//32.44469</v>
      </c>
      <c r="J156" s="5" t="s">
        <v>148</v>
      </c>
      <c r="K156" s="6" t="str">
        <f>HYPERLINK("http://maps.yandex.ru/?ll=33.64207,57.9012&amp;spn=0.011598,0.004531&amp;z=17&amp;l=map&amp;pt=33.64207,57.9012", "57.90129//33.64207")</f>
        <v>57.90129//33.64207</v>
      </c>
      <c r="L156" s="5" t="s">
        <v>148</v>
      </c>
      <c r="M156" s="5" t="s">
        <v>378</v>
      </c>
      <c r="N156" s="5" t="s">
        <v>3633</v>
      </c>
      <c r="O156" s="5" t="s">
        <v>13</v>
      </c>
      <c r="P156" s="5">
        <v>35</v>
      </c>
      <c r="Q156" s="5">
        <v>65</v>
      </c>
      <c r="R156" s="5">
        <v>0</v>
      </c>
      <c r="S156" s="5">
        <v>579.94100000000003</v>
      </c>
      <c r="T156" s="5" t="s">
        <v>12</v>
      </c>
      <c r="U156" s="5" t="s">
        <v>12</v>
      </c>
      <c r="V156" s="5" t="s">
        <v>12</v>
      </c>
      <c r="W156" s="5">
        <v>24.16</v>
      </c>
      <c r="X156" s="5">
        <v>69.89</v>
      </c>
      <c r="Y156" s="5">
        <v>111</v>
      </c>
      <c r="Z156" s="5" t="s">
        <v>1577</v>
      </c>
      <c r="AA156" s="5" t="s">
        <v>2151</v>
      </c>
      <c r="AB156" s="5" t="s">
        <v>19</v>
      </c>
      <c r="AC156" s="5" t="s">
        <v>19</v>
      </c>
      <c r="AD156" s="5" t="s">
        <v>19</v>
      </c>
      <c r="AE156" s="5" t="s">
        <v>2743</v>
      </c>
      <c r="AF156" s="5" t="s">
        <v>12</v>
      </c>
      <c r="AG156" s="5"/>
      <c r="AH156" s="5"/>
      <c r="AI156" s="5"/>
      <c r="AJ156" s="5"/>
      <c r="AK156" s="5"/>
      <c r="AL156" s="5" t="s">
        <v>12</v>
      </c>
      <c r="AM156" s="5" t="s">
        <v>12</v>
      </c>
      <c r="AN156" s="5" t="s">
        <v>12</v>
      </c>
      <c r="AO156" s="5" t="s">
        <v>83</v>
      </c>
      <c r="AP156" s="5" t="s">
        <v>82</v>
      </c>
      <c r="AQ156" s="5" t="s">
        <v>67</v>
      </c>
      <c r="AR156" s="5" t="s">
        <v>66</v>
      </c>
    </row>
    <row r="157" spans="1:44" ht="31.5" x14ac:dyDescent="0.25">
      <c r="A157" s="10">
        <v>46096</v>
      </c>
      <c r="B157" s="5" t="s">
        <v>1188</v>
      </c>
      <c r="C157" s="5" t="s">
        <v>2363</v>
      </c>
      <c r="D157" s="5" t="s">
        <v>11</v>
      </c>
      <c r="E157" s="5" t="s">
        <v>1</v>
      </c>
      <c r="F157" s="5" t="s">
        <v>1</v>
      </c>
      <c r="G157" s="5" t="s">
        <v>3634</v>
      </c>
      <c r="H157" s="5" t="s">
        <v>3635</v>
      </c>
      <c r="I157" s="6" t="str">
        <f>HYPERLINK("http://maps.yandex.ru/?ll=132.12683,43.356&amp;spn=0.011598,0.004531&amp;z=17&amp;l=map&amp;pt=132.12683,43.356", "43.3561//132.12683")</f>
        <v>43.3561//132.12683</v>
      </c>
      <c r="J157" s="5" t="s">
        <v>108</v>
      </c>
      <c r="K157" s="6" t="str">
        <f>HYPERLINK("http://maps.yandex.ru/?ll=131.98541,43.3901&amp;spn=0.011598,0.004531&amp;z=17&amp;l=map&amp;pt=131.98541,43.3901", "43.39013//131.98541")</f>
        <v>43.39013//131.98541</v>
      </c>
      <c r="L157" s="5" t="s">
        <v>108</v>
      </c>
      <c r="M157" s="5" t="s">
        <v>367</v>
      </c>
      <c r="N157" s="5" t="s">
        <v>1533</v>
      </c>
      <c r="O157" s="5" t="s">
        <v>13</v>
      </c>
      <c r="P157" s="5">
        <v>6</v>
      </c>
      <c r="Q157" s="5">
        <v>94</v>
      </c>
      <c r="R157" s="5">
        <v>0</v>
      </c>
      <c r="S157" s="5">
        <v>46.029000000000003</v>
      </c>
      <c r="T157" s="5" t="s">
        <v>1788</v>
      </c>
      <c r="U157" s="5" t="s">
        <v>3636</v>
      </c>
      <c r="V157" s="5" t="s">
        <v>3637</v>
      </c>
      <c r="W157" s="5">
        <v>1.92</v>
      </c>
      <c r="X157" s="5">
        <v>33.21</v>
      </c>
      <c r="Y157" s="5">
        <v>98</v>
      </c>
      <c r="Z157" s="5" t="s">
        <v>2364</v>
      </c>
      <c r="AA157" s="5" t="s">
        <v>3638</v>
      </c>
      <c r="AB157" s="5" t="s">
        <v>19</v>
      </c>
      <c r="AC157" s="5" t="s">
        <v>19</v>
      </c>
      <c r="AD157" s="5" t="s">
        <v>19</v>
      </c>
      <c r="AE157" s="5" t="s">
        <v>1927</v>
      </c>
      <c r="AF157" s="5" t="s">
        <v>3639</v>
      </c>
      <c r="AG157" s="5"/>
      <c r="AH157" s="5">
        <v>0</v>
      </c>
      <c r="AI157" s="5"/>
      <c r="AJ157" s="5">
        <v>0</v>
      </c>
      <c r="AK157" s="5">
        <v>0</v>
      </c>
      <c r="AL157" s="5" t="s">
        <v>12</v>
      </c>
      <c r="AM157" s="5" t="s">
        <v>12</v>
      </c>
      <c r="AN157" s="5" t="s">
        <v>12</v>
      </c>
      <c r="AO157" s="5" t="s">
        <v>11</v>
      </c>
      <c r="AP157" s="5" t="s">
        <v>11</v>
      </c>
      <c r="AQ157" s="5" t="s">
        <v>92</v>
      </c>
      <c r="AR157" s="5" t="s">
        <v>91</v>
      </c>
    </row>
    <row r="158" spans="1:44" ht="31.5" x14ac:dyDescent="0.25">
      <c r="A158" s="10">
        <v>46096</v>
      </c>
      <c r="B158" s="5" t="s">
        <v>1187</v>
      </c>
      <c r="C158" s="5" t="s">
        <v>2366</v>
      </c>
      <c r="D158" s="5" t="s">
        <v>11</v>
      </c>
      <c r="E158" s="5" t="s">
        <v>4</v>
      </c>
      <c r="F158" s="5" t="s">
        <v>4</v>
      </c>
      <c r="G158" s="5" t="s">
        <v>3640</v>
      </c>
      <c r="H158" s="5" t="s">
        <v>3641</v>
      </c>
      <c r="I158" s="6" t="str">
        <f>HYPERLINK("http://maps.yandex.ru/?ll=63.24551,55.25303&amp;spn=0.011598,0.004531&amp;z=17&amp;l=map&amp;pt=63.24551,55.25303", "55.253033//63.24551")</f>
        <v>55.253033//63.24551</v>
      </c>
      <c r="J158" s="5" t="s">
        <v>361</v>
      </c>
      <c r="K158" s="6" t="str">
        <f>HYPERLINK("http://maps.yandex.ru/?ll=73.20599,55.0012&amp;spn=0.011598,0.004531&amp;z=17&amp;l=map&amp;pt=73.20599,55.0012", "55.00128//73.20599")</f>
        <v>55.00128//73.20599</v>
      </c>
      <c r="L158" s="5" t="s">
        <v>190</v>
      </c>
      <c r="M158" s="5" t="s">
        <v>3251</v>
      </c>
      <c r="N158" s="5" t="s">
        <v>3642</v>
      </c>
      <c r="O158" s="5" t="s">
        <v>13</v>
      </c>
      <c r="P158" s="5">
        <v>44</v>
      </c>
      <c r="Q158" s="5">
        <v>56</v>
      </c>
      <c r="R158" s="5">
        <v>0</v>
      </c>
      <c r="S158" s="5">
        <v>779.98299999999995</v>
      </c>
      <c r="T158" s="5" t="s">
        <v>2450</v>
      </c>
      <c r="U158" s="5" t="s">
        <v>3643</v>
      </c>
      <c r="V158" s="5" t="s">
        <v>3644</v>
      </c>
      <c r="W158" s="5">
        <v>32.5</v>
      </c>
      <c r="X158" s="5">
        <v>74.55</v>
      </c>
      <c r="Y158" s="5">
        <v>103</v>
      </c>
      <c r="Z158" s="5" t="s">
        <v>1702</v>
      </c>
      <c r="AA158" s="5" t="s">
        <v>3627</v>
      </c>
      <c r="AB158" s="5" t="s">
        <v>1822</v>
      </c>
      <c r="AC158" s="5" t="s">
        <v>1673</v>
      </c>
      <c r="AD158" s="5" t="s">
        <v>19</v>
      </c>
      <c r="AE158" s="5" t="s">
        <v>2536</v>
      </c>
      <c r="AF158" s="5" t="s">
        <v>3645</v>
      </c>
      <c r="AG158" s="5"/>
      <c r="AH158" s="5">
        <v>0</v>
      </c>
      <c r="AI158" s="5"/>
      <c r="AJ158" s="5">
        <v>0</v>
      </c>
      <c r="AK158" s="5">
        <v>0</v>
      </c>
      <c r="AL158" s="5" t="s">
        <v>12</v>
      </c>
      <c r="AM158" s="5" t="s">
        <v>12</v>
      </c>
      <c r="AN158" s="5" t="s">
        <v>12</v>
      </c>
      <c r="AO158" s="5" t="s">
        <v>11</v>
      </c>
      <c r="AP158" s="5" t="s">
        <v>11</v>
      </c>
      <c r="AQ158" s="5" t="s">
        <v>92</v>
      </c>
      <c r="AR158" s="5" t="s">
        <v>91</v>
      </c>
    </row>
    <row r="159" spans="1:44" ht="15.75" x14ac:dyDescent="0.25">
      <c r="A159" s="10">
        <v>46096</v>
      </c>
      <c r="B159" s="5" t="s">
        <v>1185</v>
      </c>
      <c r="C159" s="5" t="s">
        <v>2367</v>
      </c>
      <c r="D159" s="5" t="s">
        <v>11</v>
      </c>
      <c r="E159" s="5" t="s">
        <v>164</v>
      </c>
      <c r="F159" s="5" t="s">
        <v>368</v>
      </c>
      <c r="G159" s="5" t="s">
        <v>3646</v>
      </c>
      <c r="H159" s="5" t="s">
        <v>3647</v>
      </c>
      <c r="I159" s="6" t="str">
        <f>HYPERLINK("http://maps.yandex.ru/?ll=78.38721,55.315&amp;spn=0.011598,0.004531&amp;z=17&amp;l=map&amp;pt=78.38721,55.315", "55.3151//78.38721")</f>
        <v>55.3151//78.38721</v>
      </c>
      <c r="J159" s="5" t="s">
        <v>39</v>
      </c>
      <c r="K159" s="6" t="str">
        <f>HYPERLINK("http://maps.yandex.ru/?ll=70.12228,56.2080&amp;spn=0.011598,0.004531&amp;z=17&amp;l=map&amp;pt=70.12228,56.2080", "56.20802//70.12228")</f>
        <v>56.20802//70.12228</v>
      </c>
      <c r="L159" s="5" t="s">
        <v>503</v>
      </c>
      <c r="M159" s="5" t="s">
        <v>1394</v>
      </c>
      <c r="N159" s="5" t="s">
        <v>1503</v>
      </c>
      <c r="O159" s="5" t="s">
        <v>13</v>
      </c>
      <c r="P159" s="5">
        <v>38</v>
      </c>
      <c r="Q159" s="5">
        <v>62</v>
      </c>
      <c r="R159" s="5">
        <v>0</v>
      </c>
      <c r="S159" s="5">
        <v>653.19600000000003</v>
      </c>
      <c r="T159" s="5" t="s">
        <v>12</v>
      </c>
      <c r="U159" s="5" t="s">
        <v>12</v>
      </c>
      <c r="V159" s="5" t="s">
        <v>12</v>
      </c>
      <c r="W159" s="5">
        <v>27.22</v>
      </c>
      <c r="X159" s="5">
        <v>72.13</v>
      </c>
      <c r="Y159" s="5">
        <v>103</v>
      </c>
      <c r="Z159" s="5" t="s">
        <v>1530</v>
      </c>
      <c r="AA159" s="5" t="s">
        <v>1530</v>
      </c>
      <c r="AB159" s="5" t="s">
        <v>19</v>
      </c>
      <c r="AC159" s="5" t="s">
        <v>19</v>
      </c>
      <c r="AD159" s="5" t="s">
        <v>19</v>
      </c>
      <c r="AE159" s="5" t="s">
        <v>19</v>
      </c>
      <c r="AF159" s="5" t="s">
        <v>12</v>
      </c>
      <c r="AG159" s="5"/>
      <c r="AH159" s="5"/>
      <c r="AI159" s="5"/>
      <c r="AJ159" s="5"/>
      <c r="AK159" s="5"/>
      <c r="AL159" s="5" t="s">
        <v>12</v>
      </c>
      <c r="AM159" s="5" t="s">
        <v>12</v>
      </c>
      <c r="AN159" s="5" t="s">
        <v>12</v>
      </c>
      <c r="AO159" s="5" t="s">
        <v>69</v>
      </c>
      <c r="AP159" s="5" t="s">
        <v>68</v>
      </c>
      <c r="AQ159" s="5" t="s">
        <v>67</v>
      </c>
      <c r="AR159" s="5" t="s">
        <v>66</v>
      </c>
    </row>
    <row r="160" spans="1:44" ht="31.5" x14ac:dyDescent="0.25">
      <c r="A160" s="10">
        <v>46096</v>
      </c>
      <c r="B160" s="5" t="s">
        <v>1183</v>
      </c>
      <c r="C160" s="5" t="s">
        <v>2368</v>
      </c>
      <c r="D160" s="5" t="s">
        <v>11</v>
      </c>
      <c r="E160" s="5" t="s">
        <v>3</v>
      </c>
      <c r="F160" s="5" t="s">
        <v>3</v>
      </c>
      <c r="G160" s="5" t="s">
        <v>3648</v>
      </c>
      <c r="H160" s="5" t="s">
        <v>3649</v>
      </c>
      <c r="I160" s="6" t="str">
        <f>HYPERLINK("http://maps.yandex.ru/?ll=39.135643,45.0365&amp;spn=0.011598,0.004531&amp;z=17&amp;l=map&amp;pt=39.135643,45.0365", "45.03652//39.135643")</f>
        <v>45.03652//39.135643</v>
      </c>
      <c r="J160" s="5" t="s">
        <v>88</v>
      </c>
      <c r="K160" s="6" t="str">
        <f>HYPERLINK("http://maps.yandex.ru/?ll=43.137707,44.171&amp;spn=0.011598,0.004531&amp;z=17&amp;l=map&amp;pt=43.137707,44.171", "44.1717//43.137707")</f>
        <v>44.1717//43.137707</v>
      </c>
      <c r="L160" s="5" t="s">
        <v>208</v>
      </c>
      <c r="M160" s="5" t="s">
        <v>1227</v>
      </c>
      <c r="N160" s="5" t="s">
        <v>1032</v>
      </c>
      <c r="O160" s="5" t="s">
        <v>1014</v>
      </c>
      <c r="P160" s="5">
        <v>35</v>
      </c>
      <c r="Q160" s="5">
        <v>57</v>
      </c>
      <c r="R160" s="5">
        <v>8</v>
      </c>
      <c r="S160" s="5">
        <v>500.71</v>
      </c>
      <c r="T160" s="5" t="s">
        <v>3650</v>
      </c>
      <c r="U160" s="5" t="s">
        <v>3651</v>
      </c>
      <c r="V160" s="5" t="s">
        <v>3652</v>
      </c>
      <c r="W160" s="5">
        <v>20.86</v>
      </c>
      <c r="X160" s="5">
        <v>59.76</v>
      </c>
      <c r="Y160" s="5">
        <v>126</v>
      </c>
      <c r="Z160" s="5" t="s">
        <v>12</v>
      </c>
      <c r="AA160" s="5" t="s">
        <v>12</v>
      </c>
      <c r="AB160" s="5" t="s">
        <v>19</v>
      </c>
      <c r="AC160" s="5" t="s">
        <v>19</v>
      </c>
      <c r="AD160" s="5" t="s">
        <v>19</v>
      </c>
      <c r="AE160" s="5" t="s">
        <v>12</v>
      </c>
      <c r="AF160" s="5" t="s">
        <v>12</v>
      </c>
      <c r="AG160" s="5">
        <v>140</v>
      </c>
      <c r="AH160" s="5">
        <v>2</v>
      </c>
      <c r="AI160" s="5">
        <v>138</v>
      </c>
      <c r="AJ160" s="5">
        <v>33.33</v>
      </c>
      <c r="AK160" s="5">
        <v>32.86</v>
      </c>
      <c r="AL160" s="5" t="s">
        <v>12</v>
      </c>
      <c r="AM160" s="5" t="s">
        <v>12</v>
      </c>
      <c r="AN160" s="5" t="s">
        <v>12</v>
      </c>
      <c r="AO160" s="5" t="s">
        <v>11</v>
      </c>
      <c r="AP160" s="5" t="s">
        <v>11</v>
      </c>
      <c r="AQ160" s="5" t="s">
        <v>18</v>
      </c>
      <c r="AR160" s="5" t="s">
        <v>74</v>
      </c>
    </row>
    <row r="161" spans="1:44" ht="31.5" x14ac:dyDescent="0.25">
      <c r="A161" s="10">
        <v>46096</v>
      </c>
      <c r="B161" s="5" t="s">
        <v>1182</v>
      </c>
      <c r="C161" s="5" t="s">
        <v>2370</v>
      </c>
      <c r="D161" s="5" t="s">
        <v>11</v>
      </c>
      <c r="E161" s="5" t="s">
        <v>3</v>
      </c>
      <c r="F161" s="5" t="s">
        <v>3</v>
      </c>
      <c r="G161" s="5" t="s">
        <v>3103</v>
      </c>
      <c r="H161" s="5" t="s">
        <v>3121</v>
      </c>
      <c r="I161" s="6" t="str">
        <f>HYPERLINK("http://maps.yandex.ru/?ll=37.830063,45.2014&amp;spn=0.011598,0.004531&amp;z=17&amp;l=map&amp;pt=37.830063,45.2014", "45.20148//37.830063")</f>
        <v>45.20148//37.830063</v>
      </c>
      <c r="J161" s="5" t="s">
        <v>88</v>
      </c>
      <c r="K161" s="6" t="str">
        <f>HYPERLINK("http://maps.yandex.ru/?ll=41.581776,44.7677&amp;spn=0.011598,0.004531&amp;z=17&amp;l=map&amp;pt=41.581776,44.7677", "44.76772//41.581776")</f>
        <v>44.76772//41.581776</v>
      </c>
      <c r="L161" s="5" t="s">
        <v>88</v>
      </c>
      <c r="M161" s="5" t="s">
        <v>3653</v>
      </c>
      <c r="N161" s="5" t="s">
        <v>3654</v>
      </c>
      <c r="O161" s="5" t="s">
        <v>810</v>
      </c>
      <c r="P161" s="5">
        <v>47</v>
      </c>
      <c r="Q161" s="5">
        <v>24</v>
      </c>
      <c r="R161" s="5">
        <v>29</v>
      </c>
      <c r="S161" s="5">
        <v>742.53099999999995</v>
      </c>
      <c r="T161" s="5" t="s">
        <v>2455</v>
      </c>
      <c r="U161" s="5" t="s">
        <v>3655</v>
      </c>
      <c r="V161" s="5" t="s">
        <v>3656</v>
      </c>
      <c r="W161" s="5">
        <v>30.94</v>
      </c>
      <c r="X161" s="5">
        <v>65.37</v>
      </c>
      <c r="Y161" s="5">
        <v>138</v>
      </c>
      <c r="Z161" s="5" t="s">
        <v>1561</v>
      </c>
      <c r="AA161" s="5" t="s">
        <v>3657</v>
      </c>
      <c r="AB161" s="5" t="s">
        <v>3325</v>
      </c>
      <c r="AC161" s="5" t="s">
        <v>1673</v>
      </c>
      <c r="AD161" s="5" t="s">
        <v>19</v>
      </c>
      <c r="AE161" s="5" t="s">
        <v>2151</v>
      </c>
      <c r="AF161" s="5" t="s">
        <v>3658</v>
      </c>
      <c r="AG161" s="5">
        <v>151</v>
      </c>
      <c r="AH161" s="5">
        <v>0</v>
      </c>
      <c r="AI161" s="5">
        <v>151</v>
      </c>
      <c r="AJ161" s="5">
        <v>33.71</v>
      </c>
      <c r="AK161" s="5">
        <v>33.71</v>
      </c>
      <c r="AL161" s="5" t="s">
        <v>12</v>
      </c>
      <c r="AM161" s="5" t="s">
        <v>12</v>
      </c>
      <c r="AN161" s="5" t="s">
        <v>12</v>
      </c>
      <c r="AO161" s="5" t="s">
        <v>11</v>
      </c>
      <c r="AP161" s="5" t="s">
        <v>11</v>
      </c>
      <c r="AQ161" s="5" t="s">
        <v>18</v>
      </c>
      <c r="AR161" s="5" t="s">
        <v>17</v>
      </c>
    </row>
    <row r="162" spans="1:44" ht="31.5" x14ac:dyDescent="0.25">
      <c r="A162" s="10">
        <v>46096</v>
      </c>
      <c r="B162" s="5" t="s">
        <v>1181</v>
      </c>
      <c r="C162" s="5" t="s">
        <v>2372</v>
      </c>
      <c r="D162" s="5" t="s">
        <v>11</v>
      </c>
      <c r="E162" s="5" t="s">
        <v>3</v>
      </c>
      <c r="F162" s="5" t="s">
        <v>3</v>
      </c>
      <c r="G162" s="5" t="s">
        <v>3103</v>
      </c>
      <c r="H162" s="5" t="s">
        <v>3659</v>
      </c>
      <c r="I162" s="6" t="str">
        <f>HYPERLINK("http://maps.yandex.ru/?ll=41.7854,45.32612&amp;spn=0.011598,0.004531&amp;z=17&amp;l=map&amp;pt=41.7854,45.32612", "45.326126//41.7854")</f>
        <v>45.326126//41.7854</v>
      </c>
      <c r="J162" s="5" t="s">
        <v>208</v>
      </c>
      <c r="K162" s="6" t="str">
        <f>HYPERLINK("http://maps.yandex.ru/?ll=41.46812,45.29649&amp;spn=0.011598,0.004531&amp;z=17&amp;l=map&amp;pt=41.46812,45.29649", "45.296497//41.46812")</f>
        <v>45.296497//41.46812</v>
      </c>
      <c r="L162" s="5" t="s">
        <v>208</v>
      </c>
      <c r="M162" s="5" t="s">
        <v>45</v>
      </c>
      <c r="N162" s="5" t="s">
        <v>1192</v>
      </c>
      <c r="O162" s="5" t="s">
        <v>1533</v>
      </c>
      <c r="P162" s="5">
        <v>1</v>
      </c>
      <c r="Q162" s="5">
        <v>5</v>
      </c>
      <c r="R162" s="5">
        <v>94</v>
      </c>
      <c r="S162" s="5">
        <v>3.6360000000000001</v>
      </c>
      <c r="T162" s="5" t="s">
        <v>1746</v>
      </c>
      <c r="U162" s="5" t="s">
        <v>3660</v>
      </c>
      <c r="V162" s="5" t="s">
        <v>3661</v>
      </c>
      <c r="W162" s="5">
        <v>0.15</v>
      </c>
      <c r="X162" s="5">
        <v>12.93</v>
      </c>
      <c r="Y162" s="5">
        <v>53</v>
      </c>
      <c r="Z162" s="5" t="s">
        <v>2217</v>
      </c>
      <c r="AA162" s="5" t="s">
        <v>1604</v>
      </c>
      <c r="AB162" s="5" t="s">
        <v>19</v>
      </c>
      <c r="AC162" s="5" t="s">
        <v>19</v>
      </c>
      <c r="AD162" s="5" t="s">
        <v>19</v>
      </c>
      <c r="AE162" s="5" t="s">
        <v>1889</v>
      </c>
      <c r="AF162" s="5" t="s">
        <v>3662</v>
      </c>
      <c r="AG162" s="5">
        <v>8</v>
      </c>
      <c r="AH162" s="5">
        <v>0</v>
      </c>
      <c r="AI162" s="5">
        <v>8</v>
      </c>
      <c r="AJ162" s="5">
        <v>100</v>
      </c>
      <c r="AK162" s="5">
        <v>100</v>
      </c>
      <c r="AL162" s="5" t="s">
        <v>12</v>
      </c>
      <c r="AM162" s="5" t="s">
        <v>12</v>
      </c>
      <c r="AN162" s="5" t="s">
        <v>12</v>
      </c>
      <c r="AO162" s="5" t="s">
        <v>11</v>
      </c>
      <c r="AP162" s="5" t="s">
        <v>11</v>
      </c>
      <c r="AQ162" s="5" t="s">
        <v>18</v>
      </c>
      <c r="AR162" s="5" t="s">
        <v>17</v>
      </c>
    </row>
    <row r="163" spans="1:44" ht="15.75" x14ac:dyDescent="0.25">
      <c r="A163" s="10">
        <v>46096</v>
      </c>
      <c r="B163" s="5" t="s">
        <v>1180</v>
      </c>
      <c r="C163" s="5" t="s">
        <v>2374</v>
      </c>
      <c r="D163" s="5" t="s">
        <v>11</v>
      </c>
      <c r="E163" s="5" t="s">
        <v>3</v>
      </c>
      <c r="F163" s="5" t="s">
        <v>3</v>
      </c>
      <c r="G163" s="5" t="s">
        <v>3663</v>
      </c>
      <c r="H163" s="5" t="s">
        <v>3664</v>
      </c>
      <c r="I163" s="6" t="str">
        <f>HYPERLINK("http://maps.yandex.ru/?ll=39.88982,55.9964&amp;spn=0.011598,0.004531&amp;z=17&amp;l=map&amp;pt=39.88982,55.9964", "55.99644//39.88982")</f>
        <v>55.99644//39.88982</v>
      </c>
      <c r="J163" s="5" t="s">
        <v>49</v>
      </c>
      <c r="K163" s="6" t="str">
        <f>HYPERLINK("http://maps.yandex.ru/?ll=39.07497,55.3658&amp;spn=0.011598,0.004531&amp;z=17&amp;l=map&amp;pt=39.07497,55.3658", "55.36587//39.07497")</f>
        <v>55.36587//39.07497</v>
      </c>
      <c r="L163" s="5" t="s">
        <v>56</v>
      </c>
      <c r="M163" s="5" t="s">
        <v>1029</v>
      </c>
      <c r="N163" s="5" t="s">
        <v>1055</v>
      </c>
      <c r="O163" s="5" t="s">
        <v>604</v>
      </c>
      <c r="P163" s="5">
        <v>19</v>
      </c>
      <c r="Q163" s="5">
        <v>75</v>
      </c>
      <c r="R163" s="5">
        <v>6</v>
      </c>
      <c r="S163" s="5">
        <v>296.30099999999999</v>
      </c>
      <c r="T163" s="5" t="s">
        <v>1766</v>
      </c>
      <c r="U163" s="5" t="s">
        <v>3665</v>
      </c>
      <c r="V163" s="5" t="s">
        <v>3666</v>
      </c>
      <c r="W163" s="5">
        <v>12.35</v>
      </c>
      <c r="X163" s="5">
        <v>65.23</v>
      </c>
      <c r="Y163" s="5">
        <v>94</v>
      </c>
      <c r="Z163" s="5" t="s">
        <v>2376</v>
      </c>
      <c r="AA163" s="5" t="s">
        <v>3667</v>
      </c>
      <c r="AB163" s="5" t="s">
        <v>19</v>
      </c>
      <c r="AC163" s="5" t="s">
        <v>19</v>
      </c>
      <c r="AD163" s="5" t="s">
        <v>19</v>
      </c>
      <c r="AE163" s="5" t="s">
        <v>2038</v>
      </c>
      <c r="AF163" s="5" t="s">
        <v>3267</v>
      </c>
      <c r="AG163" s="5">
        <v>111</v>
      </c>
      <c r="AH163" s="5">
        <v>3</v>
      </c>
      <c r="AI163" s="5">
        <v>108</v>
      </c>
      <c r="AJ163" s="5">
        <v>28.91</v>
      </c>
      <c r="AK163" s="5">
        <v>28.13</v>
      </c>
      <c r="AL163" s="5" t="s">
        <v>12</v>
      </c>
      <c r="AM163" s="5" t="s">
        <v>12</v>
      </c>
      <c r="AN163" s="5" t="s">
        <v>12</v>
      </c>
      <c r="AO163" s="5" t="s">
        <v>11</v>
      </c>
      <c r="AP163" s="5" t="s">
        <v>11</v>
      </c>
      <c r="AQ163" s="5" t="s">
        <v>18</v>
      </c>
      <c r="AR163" s="5" t="s">
        <v>74</v>
      </c>
    </row>
    <row r="164" spans="1:44" ht="31.5" x14ac:dyDescent="0.25">
      <c r="A164" s="10">
        <v>46096</v>
      </c>
      <c r="B164" s="5" t="s">
        <v>1179</v>
      </c>
      <c r="C164" s="5" t="s">
        <v>2378</v>
      </c>
      <c r="D164" s="5" t="s">
        <v>11</v>
      </c>
      <c r="E164" s="5" t="s">
        <v>5</v>
      </c>
      <c r="F164" s="5" t="s">
        <v>5</v>
      </c>
      <c r="G164" s="5" t="s">
        <v>3103</v>
      </c>
      <c r="H164" s="5" t="s">
        <v>3121</v>
      </c>
      <c r="I164" s="6" t="str">
        <f>HYPERLINK("http://maps.yandex.ru/?ll=30.288479,59.82886&amp;spn=0.011598,0.004531&amp;z=17&amp;l=map&amp;pt=30.288479,59.82886", "59.828865//30.288479")</f>
        <v>59.828865//30.288479</v>
      </c>
      <c r="J164" s="5" t="s">
        <v>23</v>
      </c>
      <c r="K164" s="6" t="str">
        <f>HYPERLINK("http://maps.yandex.ru/?ll=30.733053,59.6200&amp;spn=0.011598,0.004531&amp;z=17&amp;l=map&amp;pt=30.733053,59.6200", "59.62001//30.733053")</f>
        <v>59.62001//30.733053</v>
      </c>
      <c r="L164" s="5" t="s">
        <v>22</v>
      </c>
      <c r="M164" s="5" t="s">
        <v>982</v>
      </c>
      <c r="N164" s="5" t="s">
        <v>3668</v>
      </c>
      <c r="O164" s="5" t="s">
        <v>3464</v>
      </c>
      <c r="P164" s="5">
        <v>10</v>
      </c>
      <c r="Q164" s="5">
        <v>50</v>
      </c>
      <c r="R164" s="5">
        <v>40</v>
      </c>
      <c r="S164" s="5">
        <v>74.995999999999995</v>
      </c>
      <c r="T164" s="5" t="s">
        <v>12</v>
      </c>
      <c r="U164" s="5" t="s">
        <v>12</v>
      </c>
      <c r="V164" s="5" t="s">
        <v>12</v>
      </c>
      <c r="W164" s="5">
        <v>3.12</v>
      </c>
      <c r="X164" s="5">
        <v>31.82</v>
      </c>
      <c r="Y164" s="5">
        <v>96</v>
      </c>
      <c r="Z164" s="5" t="s">
        <v>12</v>
      </c>
      <c r="AA164" s="5" t="s">
        <v>12</v>
      </c>
      <c r="AB164" s="5" t="s">
        <v>19</v>
      </c>
      <c r="AC164" s="5" t="s">
        <v>19</v>
      </c>
      <c r="AD164" s="5" t="s">
        <v>19</v>
      </c>
      <c r="AE164" s="5" t="s">
        <v>12</v>
      </c>
      <c r="AF164" s="5" t="s">
        <v>12</v>
      </c>
      <c r="AG164" s="5"/>
      <c r="AH164" s="5"/>
      <c r="AI164" s="5"/>
      <c r="AJ164" s="5"/>
      <c r="AK164" s="5"/>
      <c r="AL164" s="5" t="s">
        <v>12</v>
      </c>
      <c r="AM164" s="5" t="s">
        <v>12</v>
      </c>
      <c r="AN164" s="5" t="s">
        <v>12</v>
      </c>
      <c r="AO164" s="5" t="s">
        <v>69</v>
      </c>
      <c r="AP164" s="5" t="s">
        <v>442</v>
      </c>
      <c r="AQ164" s="5" t="s">
        <v>67</v>
      </c>
      <c r="AR164" s="5" t="s">
        <v>66</v>
      </c>
    </row>
    <row r="165" spans="1:44" ht="31.5" x14ac:dyDescent="0.25">
      <c r="A165" s="10">
        <v>46096</v>
      </c>
      <c r="B165" s="5" t="s">
        <v>1178</v>
      </c>
      <c r="C165" s="5" t="s">
        <v>2379</v>
      </c>
      <c r="D165" s="5" t="s">
        <v>11</v>
      </c>
      <c r="E165" s="5" t="s">
        <v>3</v>
      </c>
      <c r="F165" s="5" t="s">
        <v>3</v>
      </c>
      <c r="G165" s="5" t="s">
        <v>3669</v>
      </c>
      <c r="H165" s="5" t="s">
        <v>3670</v>
      </c>
      <c r="I165" s="6" t="str">
        <f>HYPERLINK("http://maps.yandex.ru/?ll=39.073994,44.7664&amp;spn=0.011598,0.004531&amp;z=17&amp;l=map&amp;pt=39.073994,44.7664", "44.76643//39.073994")</f>
        <v>44.76643//39.073994</v>
      </c>
      <c r="J165" s="5" t="s">
        <v>88</v>
      </c>
      <c r="K165" s="6" t="str">
        <f>HYPERLINK("http://maps.yandex.ru/?ll=43.13751,44.1716&amp;spn=0.011598,0.004531&amp;z=17&amp;l=map&amp;pt=43.13751,44.1716", "44.17167//43.13751")</f>
        <v>44.17167//43.13751</v>
      </c>
      <c r="L165" s="5" t="s">
        <v>208</v>
      </c>
      <c r="M165" s="5" t="s">
        <v>376</v>
      </c>
      <c r="N165" s="5" t="s">
        <v>3671</v>
      </c>
      <c r="O165" s="5" t="s">
        <v>1434</v>
      </c>
      <c r="P165" s="5">
        <v>21</v>
      </c>
      <c r="Q165" s="5">
        <v>17</v>
      </c>
      <c r="R165" s="5">
        <v>62</v>
      </c>
      <c r="S165" s="5">
        <v>337.04399999999998</v>
      </c>
      <c r="T165" s="5" t="s">
        <v>3672</v>
      </c>
      <c r="U165" s="5" t="s">
        <v>3673</v>
      </c>
      <c r="V165" s="5" t="s">
        <v>3674</v>
      </c>
      <c r="W165" s="5">
        <v>14.04</v>
      </c>
      <c r="X165" s="5">
        <v>68.08</v>
      </c>
      <c r="Y165" s="5">
        <v>136</v>
      </c>
      <c r="Z165" s="5" t="s">
        <v>2821</v>
      </c>
      <c r="AA165" s="5" t="s">
        <v>3675</v>
      </c>
      <c r="AB165" s="5" t="s">
        <v>19</v>
      </c>
      <c r="AC165" s="5" t="s">
        <v>19</v>
      </c>
      <c r="AD165" s="5" t="s">
        <v>19</v>
      </c>
      <c r="AE165" s="5" t="s">
        <v>1901</v>
      </c>
      <c r="AF165" s="5" t="s">
        <v>3676</v>
      </c>
      <c r="AG165" s="5">
        <v>129</v>
      </c>
      <c r="AH165" s="5">
        <v>0</v>
      </c>
      <c r="AI165" s="5">
        <v>129</v>
      </c>
      <c r="AJ165" s="5">
        <v>29.72</v>
      </c>
      <c r="AK165" s="5">
        <v>29.72</v>
      </c>
      <c r="AL165" s="5" t="s">
        <v>12</v>
      </c>
      <c r="AM165" s="5" t="s">
        <v>12</v>
      </c>
      <c r="AN165" s="5" t="s">
        <v>12</v>
      </c>
      <c r="AO165" s="5" t="s">
        <v>11</v>
      </c>
      <c r="AP165" s="5" t="s">
        <v>11</v>
      </c>
      <c r="AQ165" s="5" t="s">
        <v>18</v>
      </c>
      <c r="AR165" s="5" t="s">
        <v>74</v>
      </c>
    </row>
    <row r="166" spans="1:44" ht="31.5" x14ac:dyDescent="0.25">
      <c r="A166" s="10">
        <v>46096</v>
      </c>
      <c r="B166" s="5" t="s">
        <v>1176</v>
      </c>
      <c r="C166" s="5" t="s">
        <v>2382</v>
      </c>
      <c r="D166" s="5" t="s">
        <v>11</v>
      </c>
      <c r="E166" s="5" t="s">
        <v>1</v>
      </c>
      <c r="F166" s="5" t="s">
        <v>1</v>
      </c>
      <c r="G166" s="5" t="s">
        <v>3103</v>
      </c>
      <c r="H166" s="5" t="s">
        <v>3121</v>
      </c>
      <c r="I166" s="6" t="str">
        <f>HYPERLINK("http://maps.yandex.ru/?ll=39.707413,47.36501&amp;spn=0.011598,0.004531&amp;z=17&amp;l=map&amp;pt=39.707413,47.36501", "47.365013//39.707413")</f>
        <v>47.365013//39.707413</v>
      </c>
      <c r="J166" s="5" t="s">
        <v>64</v>
      </c>
      <c r="K166" s="6" t="str">
        <f>HYPERLINK("http://maps.yandex.ru/?ll=38.01388,53.9959&amp;spn=0.011598,0.004531&amp;z=17&amp;l=map&amp;pt=38.01388,53.9959", "53.99591//38.01388")</f>
        <v>53.99591//38.01388</v>
      </c>
      <c r="L166" s="5" t="s">
        <v>168</v>
      </c>
      <c r="M166" s="5" t="s">
        <v>743</v>
      </c>
      <c r="N166" s="5" t="s">
        <v>1393</v>
      </c>
      <c r="O166" s="5" t="s">
        <v>107</v>
      </c>
      <c r="P166" s="5">
        <v>42</v>
      </c>
      <c r="Q166" s="5">
        <v>13</v>
      </c>
      <c r="R166" s="5">
        <v>45</v>
      </c>
      <c r="S166" s="5">
        <v>730.99400000000003</v>
      </c>
      <c r="T166" s="5" t="s">
        <v>2102</v>
      </c>
      <c r="U166" s="5" t="s">
        <v>3677</v>
      </c>
      <c r="V166" s="5" t="s">
        <v>3678</v>
      </c>
      <c r="W166" s="5">
        <v>30.46</v>
      </c>
      <c r="X166" s="5">
        <v>72.88</v>
      </c>
      <c r="Y166" s="5">
        <v>129</v>
      </c>
      <c r="Z166" s="5" t="s">
        <v>2384</v>
      </c>
      <c r="AA166" s="5" t="s">
        <v>3679</v>
      </c>
      <c r="AB166" s="5" t="s">
        <v>2129</v>
      </c>
      <c r="AC166" s="5" t="s">
        <v>1673</v>
      </c>
      <c r="AD166" s="5" t="s">
        <v>19</v>
      </c>
      <c r="AE166" s="5" t="s">
        <v>1571</v>
      </c>
      <c r="AF166" s="5" t="s">
        <v>3680</v>
      </c>
      <c r="AG166" s="5">
        <v>276</v>
      </c>
      <c r="AH166" s="5">
        <v>0</v>
      </c>
      <c r="AI166" s="5">
        <v>276</v>
      </c>
      <c r="AJ166" s="5">
        <v>30.33</v>
      </c>
      <c r="AK166" s="5">
        <v>30.33</v>
      </c>
      <c r="AL166" s="5" t="s">
        <v>12</v>
      </c>
      <c r="AM166" s="5" t="s">
        <v>12</v>
      </c>
      <c r="AN166" s="5" t="s">
        <v>12</v>
      </c>
      <c r="AO166" s="5" t="s">
        <v>11</v>
      </c>
      <c r="AP166" s="5" t="s">
        <v>11</v>
      </c>
      <c r="AQ166" s="5" t="s">
        <v>18</v>
      </c>
      <c r="AR166" s="5" t="s">
        <v>17</v>
      </c>
    </row>
    <row r="167" spans="1:44" ht="15.75" x14ac:dyDescent="0.25">
      <c r="A167" s="10">
        <v>46096</v>
      </c>
      <c r="B167" s="5" t="s">
        <v>1174</v>
      </c>
      <c r="C167" s="5" t="s">
        <v>2385</v>
      </c>
      <c r="D167" s="5" t="s">
        <v>11</v>
      </c>
      <c r="E167" s="5" t="s">
        <v>3</v>
      </c>
      <c r="F167" s="5" t="s">
        <v>3</v>
      </c>
      <c r="G167" s="5" t="s">
        <v>11</v>
      </c>
      <c r="H167" s="5" t="s">
        <v>11</v>
      </c>
      <c r="I167" s="6" t="str">
        <f>HYPERLINK("http://maps.yandex.ru/?ll=,&amp;spn=0.011598,0.004531&amp;z=17&amp;l=map&amp;pt=,", "")</f>
        <v/>
      </c>
      <c r="J167" s="5" t="s">
        <v>84</v>
      </c>
      <c r="K167" s="6" t="str">
        <f>HYPERLINK("http://maps.yandex.ru/?ll=,&amp;spn=0.011598,0.004531&amp;z=17&amp;l=map&amp;pt=,", "")</f>
        <v/>
      </c>
      <c r="L167" s="5" t="s">
        <v>84</v>
      </c>
      <c r="M167" s="5" t="s">
        <v>13</v>
      </c>
      <c r="N167" s="5" t="s">
        <v>58</v>
      </c>
      <c r="O167" s="5" t="s">
        <v>13</v>
      </c>
      <c r="P167" s="5">
        <v>0</v>
      </c>
      <c r="Q167" s="5">
        <v>100</v>
      </c>
      <c r="R167" s="5">
        <v>0</v>
      </c>
      <c r="S167" s="5">
        <v>0</v>
      </c>
      <c r="T167" s="5" t="s">
        <v>3681</v>
      </c>
      <c r="U167" s="5" t="s">
        <v>3682</v>
      </c>
      <c r="V167" s="5" t="s">
        <v>3683</v>
      </c>
      <c r="W167" s="5">
        <v>0</v>
      </c>
      <c r="X167" s="5">
        <v>0</v>
      </c>
      <c r="Y167" s="5">
        <v>0</v>
      </c>
      <c r="Z167" s="5" t="s">
        <v>1966</v>
      </c>
      <c r="AA167" s="5" t="s">
        <v>1995</v>
      </c>
      <c r="AB167" s="5" t="s">
        <v>19</v>
      </c>
      <c r="AC167" s="5" t="s">
        <v>19</v>
      </c>
      <c r="AD167" s="5" t="s">
        <v>19</v>
      </c>
      <c r="AE167" s="5" t="s">
        <v>2049</v>
      </c>
      <c r="AF167" s="5" t="s">
        <v>12</v>
      </c>
      <c r="AG167" s="5">
        <v>7</v>
      </c>
      <c r="AH167" s="5">
        <v>7</v>
      </c>
      <c r="AI167" s="5">
        <v>0</v>
      </c>
      <c r="AJ167" s="5">
        <v>0.04</v>
      </c>
      <c r="AK167" s="5">
        <v>0</v>
      </c>
      <c r="AL167" s="5" t="s">
        <v>12</v>
      </c>
      <c r="AM167" s="5" t="s">
        <v>12</v>
      </c>
      <c r="AN167" s="5" t="s">
        <v>12</v>
      </c>
      <c r="AO167" s="5" t="s">
        <v>11</v>
      </c>
      <c r="AP167" s="5" t="s">
        <v>11</v>
      </c>
      <c r="AQ167" s="5" t="s">
        <v>53</v>
      </c>
      <c r="AR167" s="5" t="s">
        <v>52</v>
      </c>
    </row>
    <row r="168" spans="1:44" ht="31.5" x14ac:dyDescent="0.25">
      <c r="A168" s="10">
        <v>46096</v>
      </c>
      <c r="B168" s="5" t="s">
        <v>1096</v>
      </c>
      <c r="C168" s="5" t="s">
        <v>2386</v>
      </c>
      <c r="D168" s="5" t="s">
        <v>11</v>
      </c>
      <c r="E168" s="5" t="s">
        <v>11</v>
      </c>
      <c r="F168" s="5" t="s">
        <v>11</v>
      </c>
      <c r="G168" s="5" t="s">
        <v>3684</v>
      </c>
      <c r="H168" s="5" t="s">
        <v>3685</v>
      </c>
      <c r="I168" s="6" t="str">
        <f>HYPERLINK("http://maps.yandex.ru/?ll=44.827065,48.77290&amp;spn=0.011598,0.004531&amp;z=17&amp;l=map&amp;pt=44.827065,48.77290", "48.772903//44.827065")</f>
        <v>48.772903//44.827065</v>
      </c>
      <c r="J168" s="5" t="s">
        <v>95</v>
      </c>
      <c r="K168" s="6" t="str">
        <f>HYPERLINK("http://maps.yandex.ru/?ll=42.924404,48.64229&amp;spn=0.011598,0.004531&amp;z=17&amp;l=map&amp;pt=42.924404,48.64229", "48.642296//42.924404")</f>
        <v>48.642296//42.924404</v>
      </c>
      <c r="L168" s="5" t="s">
        <v>95</v>
      </c>
      <c r="M168" s="5" t="s">
        <v>1357</v>
      </c>
      <c r="N168" s="5" t="s">
        <v>3686</v>
      </c>
      <c r="O168" s="5" t="s">
        <v>900</v>
      </c>
      <c r="P168" s="5">
        <v>14</v>
      </c>
      <c r="Q168" s="5">
        <v>48</v>
      </c>
      <c r="R168" s="5">
        <v>38</v>
      </c>
      <c r="S168" s="5">
        <v>173.18600000000001</v>
      </c>
      <c r="T168" s="5" t="s">
        <v>2221</v>
      </c>
      <c r="U168" s="5" t="s">
        <v>2387</v>
      </c>
      <c r="V168" s="5" t="s">
        <v>3687</v>
      </c>
      <c r="W168" s="5">
        <v>7.22</v>
      </c>
      <c r="X168" s="5">
        <v>53.04</v>
      </c>
      <c r="Y168" s="5">
        <v>97</v>
      </c>
      <c r="Z168" s="5" t="s">
        <v>2388</v>
      </c>
      <c r="AA168" s="5" t="s">
        <v>3688</v>
      </c>
      <c r="AB168" s="5" t="s">
        <v>19</v>
      </c>
      <c r="AC168" s="5" t="s">
        <v>19</v>
      </c>
      <c r="AD168" s="5" t="s">
        <v>19</v>
      </c>
      <c r="AE168" s="5" t="s">
        <v>2094</v>
      </c>
      <c r="AF168" s="5" t="s">
        <v>3689</v>
      </c>
      <c r="AG168" s="5">
        <v>64</v>
      </c>
      <c r="AH168" s="5">
        <v>1</v>
      </c>
      <c r="AI168" s="5">
        <v>63</v>
      </c>
      <c r="AJ168" s="5">
        <v>33.68</v>
      </c>
      <c r="AK168" s="5">
        <v>33.159999999999997</v>
      </c>
      <c r="AL168" s="5" t="s">
        <v>12</v>
      </c>
      <c r="AM168" s="5" t="s">
        <v>12</v>
      </c>
      <c r="AN168" s="5" t="s">
        <v>12</v>
      </c>
      <c r="AO168" s="5" t="s">
        <v>11</v>
      </c>
      <c r="AP168" s="5" t="s">
        <v>11</v>
      </c>
      <c r="AQ168" s="5" t="s">
        <v>43</v>
      </c>
      <c r="AR168" s="5" t="s">
        <v>42</v>
      </c>
    </row>
    <row r="169" spans="1:44" ht="31.5" x14ac:dyDescent="0.25">
      <c r="A169" s="10">
        <v>46096</v>
      </c>
      <c r="B169" s="5" t="s">
        <v>1095</v>
      </c>
      <c r="C169" s="5" t="s">
        <v>2462</v>
      </c>
      <c r="D169" s="5" t="s">
        <v>11</v>
      </c>
      <c r="E169" s="5" t="s">
        <v>3</v>
      </c>
      <c r="F169" s="5" t="s">
        <v>3</v>
      </c>
      <c r="G169" s="5" t="s">
        <v>3690</v>
      </c>
      <c r="H169" s="5" t="s">
        <v>3691</v>
      </c>
      <c r="I169" s="6" t="str">
        <f>HYPERLINK("http://maps.yandex.ru/?ll=37.108204,56.10075&amp;spn=0.011598,0.004531&amp;z=17&amp;l=map&amp;pt=37.108204,56.10075", "56.100758//37.108204")</f>
        <v>56.100758//37.108204</v>
      </c>
      <c r="J169" s="5" t="s">
        <v>56</v>
      </c>
      <c r="K169" s="6" t="str">
        <f>HYPERLINK("http://maps.yandex.ru/?ll=37.125553,56.05703&amp;spn=0.011598,0.004531&amp;z=17&amp;l=map&amp;pt=37.125553,56.05703", "56.057034//37.125553")</f>
        <v>56.057034//37.125553</v>
      </c>
      <c r="L169" s="5" t="s">
        <v>56</v>
      </c>
      <c r="M169" s="5" t="s">
        <v>1343</v>
      </c>
      <c r="N169" s="5" t="s">
        <v>3692</v>
      </c>
      <c r="O169" s="5" t="s">
        <v>198</v>
      </c>
      <c r="P169" s="5">
        <v>0</v>
      </c>
      <c r="Q169" s="5">
        <v>98</v>
      </c>
      <c r="R169" s="5">
        <v>2</v>
      </c>
      <c r="S169" s="5">
        <v>3.3159999999999998</v>
      </c>
      <c r="T169" s="5" t="s">
        <v>1671</v>
      </c>
      <c r="U169" s="5" t="s">
        <v>3693</v>
      </c>
      <c r="V169" s="5" t="s">
        <v>3694</v>
      </c>
      <c r="W169" s="5">
        <v>0.14000000000000001</v>
      </c>
      <c r="X169" s="5">
        <v>78.540000000000006</v>
      </c>
      <c r="Y169" s="5">
        <v>123</v>
      </c>
      <c r="Z169" s="5" t="s">
        <v>1507</v>
      </c>
      <c r="AA169" s="5" t="s">
        <v>3695</v>
      </c>
      <c r="AB169" s="5" t="s">
        <v>19</v>
      </c>
      <c r="AC169" s="5" t="s">
        <v>19</v>
      </c>
      <c r="AD169" s="5" t="s">
        <v>19</v>
      </c>
      <c r="AE169" s="5" t="s">
        <v>2195</v>
      </c>
      <c r="AF169" s="5" t="s">
        <v>3696</v>
      </c>
      <c r="AG169" s="5"/>
      <c r="AH169" s="5">
        <v>0</v>
      </c>
      <c r="AI169" s="5"/>
      <c r="AJ169" s="5">
        <v>0</v>
      </c>
      <c r="AK169" s="5">
        <v>0</v>
      </c>
      <c r="AL169" s="5" t="s">
        <v>12</v>
      </c>
      <c r="AM169" s="5" t="s">
        <v>12</v>
      </c>
      <c r="AN169" s="5" t="s">
        <v>12</v>
      </c>
      <c r="AO169" s="5" t="s">
        <v>11</v>
      </c>
      <c r="AP169" s="5" t="s">
        <v>11</v>
      </c>
      <c r="AQ169" s="5" t="s">
        <v>92</v>
      </c>
      <c r="AR169" s="5" t="s">
        <v>297</v>
      </c>
    </row>
    <row r="170" spans="1:44" ht="31.5" x14ac:dyDescent="0.25">
      <c r="A170" s="10">
        <v>46096</v>
      </c>
      <c r="B170" s="5" t="s">
        <v>1092</v>
      </c>
      <c r="C170" s="5" t="s">
        <v>2489</v>
      </c>
      <c r="D170" s="5" t="s">
        <v>11</v>
      </c>
      <c r="E170" s="5" t="s">
        <v>1</v>
      </c>
      <c r="F170" s="5" t="s">
        <v>1</v>
      </c>
      <c r="G170" s="5" t="s">
        <v>3697</v>
      </c>
      <c r="H170" s="5" t="s">
        <v>3698</v>
      </c>
      <c r="I170" s="6" t="str">
        <f>HYPERLINK("http://maps.yandex.ru/?ll=38.162083,54.6972&amp;spn=0.011598,0.004531&amp;z=17&amp;l=map&amp;pt=38.162083,54.6972", "54.69722//38.162083")</f>
        <v>54.69722//38.162083</v>
      </c>
      <c r="J170" s="5" t="s">
        <v>56</v>
      </c>
      <c r="K170" s="6" t="str">
        <f>HYPERLINK("http://maps.yandex.ru/?ll=40.474884,50.03893&amp;spn=0.011598,0.004531&amp;z=17&amp;l=map&amp;pt=40.474884,50.03893", "50.038937//40.474884")</f>
        <v>50.038937//40.474884</v>
      </c>
      <c r="L170" s="5" t="s">
        <v>101</v>
      </c>
      <c r="M170" s="5" t="s">
        <v>971</v>
      </c>
      <c r="N170" s="5" t="s">
        <v>783</v>
      </c>
      <c r="O170" s="5" t="s">
        <v>908</v>
      </c>
      <c r="P170" s="5">
        <v>23</v>
      </c>
      <c r="Q170" s="5">
        <v>32</v>
      </c>
      <c r="R170" s="5">
        <v>45</v>
      </c>
      <c r="S170" s="5">
        <v>392.79599999999999</v>
      </c>
      <c r="T170" s="5" t="s">
        <v>277</v>
      </c>
      <c r="U170" s="5" t="s">
        <v>3699</v>
      </c>
      <c r="V170" s="5" t="s">
        <v>3700</v>
      </c>
      <c r="W170" s="5">
        <v>16.37</v>
      </c>
      <c r="X170" s="5">
        <v>71.92</v>
      </c>
      <c r="Y170" s="5">
        <v>222</v>
      </c>
      <c r="Z170" s="5" t="s">
        <v>2490</v>
      </c>
      <c r="AA170" s="5" t="s">
        <v>1590</v>
      </c>
      <c r="AB170" s="5" t="s">
        <v>3187</v>
      </c>
      <c r="AC170" s="5" t="s">
        <v>1673</v>
      </c>
      <c r="AD170" s="5" t="s">
        <v>19</v>
      </c>
      <c r="AE170" s="5" t="s">
        <v>1598</v>
      </c>
      <c r="AF170" s="5" t="s">
        <v>3701</v>
      </c>
      <c r="AG170" s="5"/>
      <c r="AH170" s="5">
        <v>0</v>
      </c>
      <c r="AI170" s="5"/>
      <c r="AJ170" s="5">
        <v>0</v>
      </c>
      <c r="AK170" s="5">
        <v>0</v>
      </c>
      <c r="AL170" s="5" t="s">
        <v>12</v>
      </c>
      <c r="AM170" s="5" t="s">
        <v>12</v>
      </c>
      <c r="AN170" s="5" t="s">
        <v>12</v>
      </c>
      <c r="AO170" s="5" t="s">
        <v>11</v>
      </c>
      <c r="AP170" s="5" t="s">
        <v>11</v>
      </c>
      <c r="AQ170" s="5" t="s">
        <v>31</v>
      </c>
      <c r="AR170" s="5" t="s">
        <v>30</v>
      </c>
    </row>
    <row r="171" spans="1:44" ht="31.5" x14ac:dyDescent="0.25">
      <c r="A171" s="10">
        <v>46096</v>
      </c>
      <c r="B171" s="5" t="s">
        <v>1091</v>
      </c>
      <c r="C171" s="5" t="s">
        <v>2491</v>
      </c>
      <c r="D171" s="5" t="s">
        <v>11</v>
      </c>
      <c r="E171" s="5" t="s">
        <v>1</v>
      </c>
      <c r="F171" s="5" t="s">
        <v>1</v>
      </c>
      <c r="G171" s="5" t="s">
        <v>3702</v>
      </c>
      <c r="H171" s="5" t="s">
        <v>3703</v>
      </c>
      <c r="I171" s="6" t="str">
        <f>HYPERLINK("http://maps.yandex.ru/?ll=37.72978,55.47258&amp;spn=0.011598,0.004531&amp;z=17&amp;l=map&amp;pt=37.72978,55.47258", "55.472584//37.72978")</f>
        <v>55.472584//37.72978</v>
      </c>
      <c r="J171" s="5" t="s">
        <v>56</v>
      </c>
      <c r="K171" s="6" t="str">
        <f>HYPERLINK("http://maps.yandex.ru/?ll=40.47499,50.03895&amp;spn=0.011598,0.004531&amp;z=17&amp;l=map&amp;pt=40.47499,50.03895", "50.038956//40.47499")</f>
        <v>50.038956//40.47499</v>
      </c>
      <c r="L171" s="5" t="s">
        <v>101</v>
      </c>
      <c r="M171" s="5" t="s">
        <v>93</v>
      </c>
      <c r="N171" s="5" t="s">
        <v>3157</v>
      </c>
      <c r="O171" s="5" t="s">
        <v>910</v>
      </c>
      <c r="P171" s="5">
        <v>39</v>
      </c>
      <c r="Q171" s="5">
        <v>55</v>
      </c>
      <c r="R171" s="5">
        <v>7</v>
      </c>
      <c r="S171" s="5">
        <v>688.5</v>
      </c>
      <c r="T171" s="5" t="s">
        <v>12</v>
      </c>
      <c r="U171" s="5" t="s">
        <v>12</v>
      </c>
      <c r="V171" s="5" t="s">
        <v>12</v>
      </c>
      <c r="W171" s="5">
        <v>28.69</v>
      </c>
      <c r="X171" s="5">
        <v>73.989999999999995</v>
      </c>
      <c r="Y171" s="5">
        <v>110</v>
      </c>
      <c r="Z171" s="5" t="s">
        <v>2105</v>
      </c>
      <c r="AA171" s="5" t="s">
        <v>2029</v>
      </c>
      <c r="AB171" s="5" t="s">
        <v>19</v>
      </c>
      <c r="AC171" s="5" t="s">
        <v>19</v>
      </c>
      <c r="AD171" s="5" t="s">
        <v>19</v>
      </c>
      <c r="AE171" s="5" t="s">
        <v>1689</v>
      </c>
      <c r="AF171" s="5" t="s">
        <v>12</v>
      </c>
      <c r="AG171" s="5"/>
      <c r="AH171" s="5"/>
      <c r="AI171" s="5"/>
      <c r="AJ171" s="5"/>
      <c r="AK171" s="5"/>
      <c r="AL171" s="5" t="s">
        <v>12</v>
      </c>
      <c r="AM171" s="5" t="s">
        <v>12</v>
      </c>
      <c r="AN171" s="5" t="s">
        <v>12</v>
      </c>
      <c r="AO171" s="5" t="s">
        <v>69</v>
      </c>
      <c r="AP171" s="5" t="s">
        <v>68</v>
      </c>
      <c r="AQ171" s="5" t="s">
        <v>99</v>
      </c>
      <c r="AR171" s="5" t="s">
        <v>98</v>
      </c>
    </row>
    <row r="172" spans="1:44" ht="31.5" x14ac:dyDescent="0.25">
      <c r="A172" s="10">
        <v>46096</v>
      </c>
      <c r="B172" s="5" t="s">
        <v>1090</v>
      </c>
      <c r="C172" s="5" t="s">
        <v>2492</v>
      </c>
      <c r="D172" s="5" t="s">
        <v>11</v>
      </c>
      <c r="E172" s="5" t="s">
        <v>40</v>
      </c>
      <c r="F172" s="5" t="s">
        <v>11</v>
      </c>
      <c r="G172" s="5" t="s">
        <v>3704</v>
      </c>
      <c r="H172" s="5" t="s">
        <v>3705</v>
      </c>
      <c r="I172" s="6" t="str">
        <f>HYPERLINK("http://maps.yandex.ru/?ll=39.941708,47.39863&amp;spn=0.011598,0.004531&amp;z=17&amp;l=map&amp;pt=39.941708,47.39863", "47.398636//39.941708")</f>
        <v>47.398636//39.941708</v>
      </c>
      <c r="J172" s="5" t="s">
        <v>64</v>
      </c>
      <c r="K172" s="6" t="str">
        <f>HYPERLINK("http://maps.yandex.ru/?ll=43.487045,48.71166&amp;spn=0.011598,0.004531&amp;z=17&amp;l=map&amp;pt=43.487045,48.71166", "48.711666//43.487045")</f>
        <v>48.711666//43.487045</v>
      </c>
      <c r="L172" s="5" t="s">
        <v>95</v>
      </c>
      <c r="M172" s="5" t="s">
        <v>1379</v>
      </c>
      <c r="N172" s="5" t="s">
        <v>1270</v>
      </c>
      <c r="O172" s="5" t="s">
        <v>417</v>
      </c>
      <c r="P172" s="5">
        <v>18</v>
      </c>
      <c r="Q172" s="5">
        <v>80</v>
      </c>
      <c r="R172" s="5">
        <v>2</v>
      </c>
      <c r="S172" s="5">
        <v>331.06799999999998</v>
      </c>
      <c r="T172" s="5" t="s">
        <v>1534</v>
      </c>
      <c r="U172" s="5" t="s">
        <v>3706</v>
      </c>
      <c r="V172" s="5" t="s">
        <v>3707</v>
      </c>
      <c r="W172" s="5">
        <v>13.79</v>
      </c>
      <c r="X172" s="5">
        <v>75.22</v>
      </c>
      <c r="Y172" s="5">
        <v>113</v>
      </c>
      <c r="Z172" s="5" t="s">
        <v>2494</v>
      </c>
      <c r="AA172" s="5" t="s">
        <v>2904</v>
      </c>
      <c r="AB172" s="5" t="s">
        <v>19</v>
      </c>
      <c r="AC172" s="5" t="s">
        <v>19</v>
      </c>
      <c r="AD172" s="5" t="s">
        <v>19</v>
      </c>
      <c r="AE172" s="5" t="s">
        <v>2457</v>
      </c>
      <c r="AF172" s="5" t="s">
        <v>3708</v>
      </c>
      <c r="AG172" s="5">
        <v>120</v>
      </c>
      <c r="AH172" s="5">
        <v>2</v>
      </c>
      <c r="AI172" s="5">
        <v>118</v>
      </c>
      <c r="AJ172" s="5">
        <v>31.66</v>
      </c>
      <c r="AK172" s="5">
        <v>31.13</v>
      </c>
      <c r="AL172" s="5" t="s">
        <v>12</v>
      </c>
      <c r="AM172" s="5" t="s">
        <v>12</v>
      </c>
      <c r="AN172" s="5" t="s">
        <v>12</v>
      </c>
      <c r="AO172" s="5" t="s">
        <v>11</v>
      </c>
      <c r="AP172" s="5" t="s">
        <v>11</v>
      </c>
      <c r="AQ172" s="5" t="s">
        <v>18</v>
      </c>
      <c r="AR172" s="5" t="s">
        <v>17</v>
      </c>
    </row>
    <row r="173" spans="1:44" ht="31.5" x14ac:dyDescent="0.25">
      <c r="A173" s="10">
        <v>46096</v>
      </c>
      <c r="B173" s="5" t="s">
        <v>1089</v>
      </c>
      <c r="C173" s="5" t="s">
        <v>2495</v>
      </c>
      <c r="D173" s="5" t="s">
        <v>11</v>
      </c>
      <c r="E173" s="5" t="s">
        <v>6</v>
      </c>
      <c r="F173" s="5" t="s">
        <v>6</v>
      </c>
      <c r="G173" s="5" t="s">
        <v>3418</v>
      </c>
      <c r="H173" s="5" t="s">
        <v>3709</v>
      </c>
      <c r="I173" s="6" t="str">
        <f>HYPERLINK("http://maps.yandex.ru/?ll=51.998493,55.81465&amp;spn=0.011598,0.004531&amp;z=17&amp;l=map&amp;pt=51.998493,55.81465", "55.814655//51.998493")</f>
        <v>55.814655//51.998493</v>
      </c>
      <c r="J173" s="5" t="s">
        <v>28</v>
      </c>
      <c r="K173" s="6" t="str">
        <f>HYPERLINK("http://maps.yandex.ru/?ll=48.836555,55.84861&amp;spn=0.011598,0.004531&amp;z=17&amp;l=map&amp;pt=48.836555,55.84861", "55.848618//48.836555")</f>
        <v>55.848618//48.836555</v>
      </c>
      <c r="L173" s="5" t="s">
        <v>28</v>
      </c>
      <c r="M173" s="5" t="s">
        <v>647</v>
      </c>
      <c r="N173" s="5" t="s">
        <v>32</v>
      </c>
      <c r="O173" s="5" t="s">
        <v>13</v>
      </c>
      <c r="P173" s="5">
        <v>17</v>
      </c>
      <c r="Q173" s="5">
        <v>83</v>
      </c>
      <c r="R173" s="5">
        <v>0</v>
      </c>
      <c r="S173" s="5">
        <v>260.476</v>
      </c>
      <c r="T173" s="5" t="s">
        <v>12</v>
      </c>
      <c r="U173" s="5" t="s">
        <v>12</v>
      </c>
      <c r="V173" s="5" t="s">
        <v>12</v>
      </c>
      <c r="W173" s="5">
        <v>10.85</v>
      </c>
      <c r="X173" s="5">
        <v>64.34</v>
      </c>
      <c r="Y173" s="5">
        <v>103</v>
      </c>
      <c r="Z173" s="5" t="s">
        <v>1955</v>
      </c>
      <c r="AA173" s="5" t="s">
        <v>1964</v>
      </c>
      <c r="AB173" s="5" t="s">
        <v>19</v>
      </c>
      <c r="AC173" s="5" t="s">
        <v>19</v>
      </c>
      <c r="AD173" s="5" t="s">
        <v>19</v>
      </c>
      <c r="AE173" s="5" t="s">
        <v>1689</v>
      </c>
      <c r="AF173" s="5" t="s">
        <v>12</v>
      </c>
      <c r="AG173" s="5"/>
      <c r="AH173" s="5"/>
      <c r="AI173" s="5"/>
      <c r="AJ173" s="5"/>
      <c r="AK173" s="5"/>
      <c r="AL173" s="5" t="s">
        <v>12</v>
      </c>
      <c r="AM173" s="5" t="s">
        <v>12</v>
      </c>
      <c r="AN173" s="5" t="s">
        <v>12</v>
      </c>
      <c r="AO173" s="5" t="s">
        <v>69</v>
      </c>
      <c r="AP173" s="5" t="s">
        <v>68</v>
      </c>
      <c r="AQ173" s="5" t="s">
        <v>99</v>
      </c>
      <c r="AR173" s="5" t="s">
        <v>98</v>
      </c>
    </row>
    <row r="174" spans="1:44" ht="15.75" x14ac:dyDescent="0.25">
      <c r="A174" s="10">
        <v>46096</v>
      </c>
      <c r="B174" s="5" t="s">
        <v>1087</v>
      </c>
      <c r="C174" s="5" t="s">
        <v>2496</v>
      </c>
      <c r="D174" s="5" t="s">
        <v>11</v>
      </c>
      <c r="E174" s="5" t="s">
        <v>5</v>
      </c>
      <c r="F174" s="5" t="s">
        <v>5</v>
      </c>
      <c r="G174" s="5" t="s">
        <v>11</v>
      </c>
      <c r="H174" s="5" t="s">
        <v>11</v>
      </c>
      <c r="I174" s="6" t="str">
        <f>HYPERLINK("http://maps.yandex.ru/?ll=,&amp;spn=0.011598,0.004531&amp;z=17&amp;l=map&amp;pt=,", "")</f>
        <v/>
      </c>
      <c r="J174" s="5" t="s">
        <v>84</v>
      </c>
      <c r="K174" s="6" t="str">
        <f>HYPERLINK("http://maps.yandex.ru/?ll=,&amp;spn=0.011598,0.004531&amp;z=17&amp;l=map&amp;pt=,", "")</f>
        <v/>
      </c>
      <c r="L174" s="5" t="s">
        <v>84</v>
      </c>
      <c r="M174" s="5" t="s">
        <v>13</v>
      </c>
      <c r="N174" s="5" t="s">
        <v>13</v>
      </c>
      <c r="O174" s="5" t="s">
        <v>58</v>
      </c>
      <c r="P174" s="5">
        <v>0</v>
      </c>
      <c r="Q174" s="5">
        <v>0</v>
      </c>
      <c r="R174" s="5">
        <v>100</v>
      </c>
      <c r="S174" s="5">
        <v>0</v>
      </c>
      <c r="T174" s="5" t="s">
        <v>2127</v>
      </c>
      <c r="U174" s="5" t="s">
        <v>2498</v>
      </c>
      <c r="V174" s="5" t="s">
        <v>3710</v>
      </c>
      <c r="W174" s="5">
        <v>0</v>
      </c>
      <c r="X174" s="5">
        <v>0</v>
      </c>
      <c r="Y174" s="5">
        <v>0</v>
      </c>
      <c r="Z174" s="5" t="s">
        <v>1760</v>
      </c>
      <c r="AA174" s="5" t="s">
        <v>3711</v>
      </c>
      <c r="AB174" s="5" t="s">
        <v>1981</v>
      </c>
      <c r="AC174" s="5" t="s">
        <v>1673</v>
      </c>
      <c r="AD174" s="5" t="s">
        <v>19</v>
      </c>
      <c r="AE174" s="5" t="s">
        <v>2359</v>
      </c>
      <c r="AF174" s="5" t="s">
        <v>12</v>
      </c>
      <c r="AG174" s="5"/>
      <c r="AH174" s="5">
        <v>0</v>
      </c>
      <c r="AI174" s="5"/>
      <c r="AJ174" s="5">
        <v>0</v>
      </c>
      <c r="AK174" s="5">
        <v>0</v>
      </c>
      <c r="AL174" s="5" t="s">
        <v>12</v>
      </c>
      <c r="AM174" s="5" t="s">
        <v>12</v>
      </c>
      <c r="AN174" s="5" t="s">
        <v>12</v>
      </c>
      <c r="AO174" s="5" t="s">
        <v>11</v>
      </c>
      <c r="AP174" s="5" t="s">
        <v>11</v>
      </c>
      <c r="AQ174" s="5" t="s">
        <v>31</v>
      </c>
      <c r="AR174" s="5" t="s">
        <v>30</v>
      </c>
    </row>
    <row r="175" spans="1:44" ht="31.5" x14ac:dyDescent="0.25">
      <c r="A175" s="10">
        <v>46096</v>
      </c>
      <c r="B175" s="5" t="s">
        <v>1086</v>
      </c>
      <c r="C175" s="5" t="s">
        <v>2500</v>
      </c>
      <c r="D175" s="5" t="s">
        <v>11</v>
      </c>
      <c r="E175" s="5" t="s">
        <v>3</v>
      </c>
      <c r="F175" s="5" t="s">
        <v>3</v>
      </c>
      <c r="G175" s="5" t="s">
        <v>3712</v>
      </c>
      <c r="H175" s="5" t="s">
        <v>3713</v>
      </c>
      <c r="I175" s="6" t="str">
        <f>HYPERLINK("http://maps.yandex.ru/?ll=39.04908,52.29039&amp;spn=0.011598,0.004531&amp;z=17&amp;l=map&amp;pt=39.04908,52.29039", "52.290394//39.04908")</f>
        <v>52.290394//39.04908</v>
      </c>
      <c r="J175" s="5" t="s">
        <v>151</v>
      </c>
      <c r="K175" s="6" t="str">
        <f>HYPERLINK("http://maps.yandex.ru/?ll=39.50704,45.57945&amp;spn=0.011598,0.004531&amp;z=17&amp;l=map&amp;pt=39.50704,45.57945", "45.579453//39.50704")</f>
        <v>45.579453//39.50704</v>
      </c>
      <c r="L175" s="5" t="s">
        <v>88</v>
      </c>
      <c r="M175" s="5" t="s">
        <v>429</v>
      </c>
      <c r="N175" s="5" t="s">
        <v>3714</v>
      </c>
      <c r="O175" s="5" t="s">
        <v>154</v>
      </c>
      <c r="P175" s="5">
        <v>38</v>
      </c>
      <c r="Q175" s="5">
        <v>50</v>
      </c>
      <c r="R175" s="5">
        <v>12</v>
      </c>
      <c r="S175" s="5">
        <v>700.86</v>
      </c>
      <c r="T175" s="5" t="s">
        <v>3715</v>
      </c>
      <c r="U175" s="5" t="s">
        <v>3716</v>
      </c>
      <c r="V175" s="5" t="s">
        <v>3717</v>
      </c>
      <c r="W175" s="5">
        <v>29.2</v>
      </c>
      <c r="X175" s="5">
        <v>76.47</v>
      </c>
      <c r="Y175" s="5">
        <v>165</v>
      </c>
      <c r="Z175" s="5" t="s">
        <v>1790</v>
      </c>
      <c r="AA175" s="5" t="s">
        <v>2832</v>
      </c>
      <c r="AB175" s="5" t="s">
        <v>19</v>
      </c>
      <c r="AC175" s="5" t="s">
        <v>19</v>
      </c>
      <c r="AD175" s="5" t="s">
        <v>19</v>
      </c>
      <c r="AE175" s="5" t="s">
        <v>3255</v>
      </c>
      <c r="AF175" s="5" t="s">
        <v>3718</v>
      </c>
      <c r="AG175" s="5">
        <v>298</v>
      </c>
      <c r="AH175" s="5">
        <v>1</v>
      </c>
      <c r="AI175" s="5">
        <v>297</v>
      </c>
      <c r="AJ175" s="5">
        <v>36.56</v>
      </c>
      <c r="AK175" s="5">
        <v>36.44</v>
      </c>
      <c r="AL175" s="5" t="s">
        <v>12</v>
      </c>
      <c r="AM175" s="5" t="s">
        <v>12</v>
      </c>
      <c r="AN175" s="5" t="s">
        <v>12</v>
      </c>
      <c r="AO175" s="5" t="s">
        <v>11</v>
      </c>
      <c r="AP175" s="5" t="s">
        <v>11</v>
      </c>
      <c r="AQ175" s="5" t="s">
        <v>18</v>
      </c>
      <c r="AR175" s="5" t="s">
        <v>74</v>
      </c>
    </row>
    <row r="176" spans="1:44" ht="31.5" x14ac:dyDescent="0.25">
      <c r="A176" s="10">
        <v>46096</v>
      </c>
      <c r="B176" s="5" t="s">
        <v>1084</v>
      </c>
      <c r="C176" s="5" t="s">
        <v>2501</v>
      </c>
      <c r="D176" s="5" t="s">
        <v>11</v>
      </c>
      <c r="E176" s="5" t="s">
        <v>4</v>
      </c>
      <c r="F176" s="5" t="s">
        <v>4</v>
      </c>
      <c r="G176" s="5" t="s">
        <v>3719</v>
      </c>
      <c r="H176" s="5" t="s">
        <v>3720</v>
      </c>
      <c r="I176" s="6" t="str">
        <f>HYPERLINK("http://maps.yandex.ru/?ll=59.159832,55.06384&amp;spn=0.011598,0.004531&amp;z=17&amp;l=map&amp;pt=59.159832,55.06384", "55.063843//59.159832")</f>
        <v>55.063843//59.159832</v>
      </c>
      <c r="J176" s="5" t="s">
        <v>227</v>
      </c>
      <c r="K176" s="6" t="str">
        <f>HYPERLINK("http://maps.yandex.ru/?ll=55.90383,54.58137&amp;spn=0.011598,0.004531&amp;z=17&amp;l=map&amp;pt=55.90383,54.58137", "54.581375//55.90383")</f>
        <v>54.581375//55.90383</v>
      </c>
      <c r="L176" s="5" t="s">
        <v>34</v>
      </c>
      <c r="M176" s="5" t="s">
        <v>3721</v>
      </c>
      <c r="N176" s="5" t="s">
        <v>1363</v>
      </c>
      <c r="O176" s="5" t="s">
        <v>3722</v>
      </c>
      <c r="P176" s="5">
        <v>18</v>
      </c>
      <c r="Q176" s="5">
        <v>25</v>
      </c>
      <c r="R176" s="5">
        <v>57</v>
      </c>
      <c r="S176" s="5">
        <v>249.85</v>
      </c>
      <c r="T176" s="5" t="s">
        <v>12</v>
      </c>
      <c r="U176" s="5" t="s">
        <v>12</v>
      </c>
      <c r="V176" s="5" t="s">
        <v>12</v>
      </c>
      <c r="W176" s="5">
        <v>10.41</v>
      </c>
      <c r="X176" s="5">
        <v>57.81</v>
      </c>
      <c r="Y176" s="5">
        <v>99</v>
      </c>
      <c r="Z176" s="5" t="s">
        <v>1854</v>
      </c>
      <c r="AA176" s="5" t="s">
        <v>1610</v>
      </c>
      <c r="AB176" s="5" t="s">
        <v>19</v>
      </c>
      <c r="AC176" s="5" t="s">
        <v>19</v>
      </c>
      <c r="AD176" s="5" t="s">
        <v>19</v>
      </c>
      <c r="AE176" s="5" t="s">
        <v>1746</v>
      </c>
      <c r="AF176" s="5" t="s">
        <v>12</v>
      </c>
      <c r="AG176" s="5"/>
      <c r="AH176" s="5"/>
      <c r="AI176" s="5"/>
      <c r="AJ176" s="5"/>
      <c r="AK176" s="5"/>
      <c r="AL176" s="5" t="s">
        <v>3723</v>
      </c>
      <c r="AM176" s="5" t="s">
        <v>3724</v>
      </c>
      <c r="AN176" s="5" t="s">
        <v>1807</v>
      </c>
      <c r="AO176" s="5" t="s">
        <v>69</v>
      </c>
      <c r="AP176" s="5" t="s">
        <v>68</v>
      </c>
      <c r="AQ176" s="5" t="s">
        <v>67</v>
      </c>
      <c r="AR176" s="5" t="s">
        <v>66</v>
      </c>
    </row>
    <row r="177" spans="1:44" ht="31.5" x14ac:dyDescent="0.25">
      <c r="A177" s="10">
        <v>46096</v>
      </c>
      <c r="B177" s="5" t="s">
        <v>1083</v>
      </c>
      <c r="C177" s="5" t="s">
        <v>2502</v>
      </c>
      <c r="D177" s="5" t="s">
        <v>11</v>
      </c>
      <c r="E177" s="5" t="s">
        <v>3</v>
      </c>
      <c r="F177" s="5" t="s">
        <v>3</v>
      </c>
      <c r="G177" s="5" t="s">
        <v>3725</v>
      </c>
      <c r="H177" s="5" t="s">
        <v>3121</v>
      </c>
      <c r="I177" s="6" t="str">
        <f>HYPERLINK("http://maps.yandex.ru/?ll=38.469707,55.59286&amp;spn=0.011598,0.004531&amp;z=17&amp;l=map&amp;pt=38.469707,55.59286", "55.592865//38.469707")</f>
        <v>55.592865//38.469707</v>
      </c>
      <c r="J177" s="5" t="s">
        <v>56</v>
      </c>
      <c r="K177" s="6" t="str">
        <f>HYPERLINK("http://maps.yandex.ru/?ll=38.41295,55.64906&amp;spn=0.011598,0.004531&amp;z=17&amp;l=map&amp;pt=38.41295,55.64906", "55.649063//38.41295")</f>
        <v>55.649063//38.41295</v>
      </c>
      <c r="L177" s="5" t="s">
        <v>56</v>
      </c>
      <c r="M177" s="5" t="s">
        <v>1265</v>
      </c>
      <c r="N177" s="5" t="s">
        <v>347</v>
      </c>
      <c r="O177" s="5" t="s">
        <v>679</v>
      </c>
      <c r="P177" s="5">
        <v>13</v>
      </c>
      <c r="Q177" s="5">
        <v>46</v>
      </c>
      <c r="R177" s="5">
        <v>41</v>
      </c>
      <c r="S177" s="5">
        <v>128.03299999999999</v>
      </c>
      <c r="T177" s="5" t="s">
        <v>1807</v>
      </c>
      <c r="U177" s="5" t="s">
        <v>3726</v>
      </c>
      <c r="V177" s="5" t="s">
        <v>3727</v>
      </c>
      <c r="W177" s="5">
        <v>5.33</v>
      </c>
      <c r="X177" s="5">
        <v>41.23</v>
      </c>
      <c r="Y177" s="5">
        <v>157</v>
      </c>
      <c r="Z177" s="5" t="s">
        <v>2504</v>
      </c>
      <c r="AA177" s="5" t="s">
        <v>2246</v>
      </c>
      <c r="AB177" s="5" t="s">
        <v>19</v>
      </c>
      <c r="AC177" s="5" t="s">
        <v>19</v>
      </c>
      <c r="AD177" s="5" t="s">
        <v>19</v>
      </c>
      <c r="AE177" s="5" t="s">
        <v>1929</v>
      </c>
      <c r="AF177" s="5" t="s">
        <v>3728</v>
      </c>
      <c r="AG177" s="5">
        <v>8</v>
      </c>
      <c r="AH177" s="5">
        <v>2</v>
      </c>
      <c r="AI177" s="5">
        <v>6</v>
      </c>
      <c r="AJ177" s="5">
        <v>266.67</v>
      </c>
      <c r="AK177" s="5">
        <v>200</v>
      </c>
      <c r="AL177" s="5" t="s">
        <v>12</v>
      </c>
      <c r="AM177" s="5" t="s">
        <v>12</v>
      </c>
      <c r="AN177" s="5" t="s">
        <v>12</v>
      </c>
      <c r="AO177" s="5" t="s">
        <v>11</v>
      </c>
      <c r="AP177" s="5" t="s">
        <v>11</v>
      </c>
      <c r="AQ177" s="5" t="s">
        <v>18</v>
      </c>
      <c r="AR177" s="5" t="s">
        <v>74</v>
      </c>
    </row>
    <row r="178" spans="1:44" ht="31.5" x14ac:dyDescent="0.25">
      <c r="A178" s="10">
        <v>46096</v>
      </c>
      <c r="B178" s="5" t="s">
        <v>1081</v>
      </c>
      <c r="C178" s="5" t="s">
        <v>2506</v>
      </c>
      <c r="D178" s="5" t="s">
        <v>11</v>
      </c>
      <c r="E178" s="5" t="s">
        <v>1</v>
      </c>
      <c r="F178" s="5" t="s">
        <v>1</v>
      </c>
      <c r="G178" s="5" t="s">
        <v>3103</v>
      </c>
      <c r="H178" s="5" t="s">
        <v>3729</v>
      </c>
      <c r="I178" s="6" t="str">
        <f>HYPERLINK("http://maps.yandex.ru/?ll=39.25938,51.6556&amp;spn=0.011598,0.004531&amp;z=17&amp;l=map&amp;pt=39.25938,51.6556", "51.65561//39.25938")</f>
        <v>51.65561//39.25938</v>
      </c>
      <c r="J178" s="5" t="s">
        <v>101</v>
      </c>
      <c r="K178" s="6" t="str">
        <f>HYPERLINK("http://maps.yandex.ru/?ll=43.457985,56.29739&amp;spn=0.011598,0.004531&amp;z=17&amp;l=map&amp;pt=43.457985,56.29739", "56.297398//43.457985")</f>
        <v>56.297398//43.457985</v>
      </c>
      <c r="L178" s="5" t="s">
        <v>15</v>
      </c>
      <c r="M178" s="5" t="s">
        <v>378</v>
      </c>
      <c r="N178" s="5" t="s">
        <v>1244</v>
      </c>
      <c r="O178" s="5" t="s">
        <v>1125</v>
      </c>
      <c r="P178" s="5">
        <v>35</v>
      </c>
      <c r="Q178" s="5">
        <v>31</v>
      </c>
      <c r="R178" s="5">
        <v>35</v>
      </c>
      <c r="S178" s="5">
        <v>547.71199999999999</v>
      </c>
      <c r="T178" s="5" t="s">
        <v>3730</v>
      </c>
      <c r="U178" s="5" t="s">
        <v>3731</v>
      </c>
      <c r="V178" s="5" t="s">
        <v>3732</v>
      </c>
      <c r="W178" s="5">
        <v>22.82</v>
      </c>
      <c r="X178" s="5">
        <v>66.06</v>
      </c>
      <c r="Y178" s="5">
        <v>113</v>
      </c>
      <c r="Z178" s="5" t="s">
        <v>1985</v>
      </c>
      <c r="AA178" s="5" t="s">
        <v>1781</v>
      </c>
      <c r="AB178" s="5" t="s">
        <v>19</v>
      </c>
      <c r="AC178" s="5" t="s">
        <v>19</v>
      </c>
      <c r="AD178" s="5" t="s">
        <v>19</v>
      </c>
      <c r="AE178" s="5" t="s">
        <v>1923</v>
      </c>
      <c r="AF178" s="5" t="s">
        <v>3733</v>
      </c>
      <c r="AG178" s="5"/>
      <c r="AH178" s="5">
        <v>0</v>
      </c>
      <c r="AI178" s="5"/>
      <c r="AJ178" s="5">
        <v>0</v>
      </c>
      <c r="AK178" s="5">
        <v>0</v>
      </c>
      <c r="AL178" s="5" t="s">
        <v>12</v>
      </c>
      <c r="AM178" s="5" t="s">
        <v>12</v>
      </c>
      <c r="AN178" s="5" t="s">
        <v>12</v>
      </c>
      <c r="AO178" s="5" t="s">
        <v>11</v>
      </c>
      <c r="AP178" s="5" t="s">
        <v>11</v>
      </c>
      <c r="AQ178" s="5" t="s">
        <v>92</v>
      </c>
      <c r="AR178" s="5" t="s">
        <v>297</v>
      </c>
    </row>
    <row r="179" spans="1:44" ht="31.5" x14ac:dyDescent="0.25">
      <c r="A179" s="10">
        <v>46096</v>
      </c>
      <c r="B179" s="5" t="s">
        <v>1080</v>
      </c>
      <c r="C179" s="5" t="s">
        <v>2509</v>
      </c>
      <c r="D179" s="5" t="s">
        <v>11</v>
      </c>
      <c r="E179" s="5" t="s">
        <v>6</v>
      </c>
      <c r="F179" s="5" t="s">
        <v>6</v>
      </c>
      <c r="G179" s="5" t="s">
        <v>3103</v>
      </c>
      <c r="H179" s="5" t="s">
        <v>3734</v>
      </c>
      <c r="I179" s="6" t="str">
        <f>HYPERLINK("http://maps.yandex.ru/?ll=43.876568,44.3984&amp;spn=0.011598,0.004531&amp;z=17&amp;l=map&amp;pt=43.876568,44.3984", "44.39848//43.876568")</f>
        <v>44.39848//43.876568</v>
      </c>
      <c r="J179" s="5" t="s">
        <v>208</v>
      </c>
      <c r="K179" s="6" t="str">
        <f>HYPERLINK("http://maps.yandex.ru/?ll=40.5244,48.3964&amp;spn=0.011598,0.004531&amp;z=17&amp;l=map&amp;pt=40.5244,48.3964", "48.39646//40.5244")</f>
        <v>48.39646//40.5244</v>
      </c>
      <c r="L179" s="5" t="s">
        <v>64</v>
      </c>
      <c r="M179" s="5" t="s">
        <v>272</v>
      </c>
      <c r="N179" s="5" t="s">
        <v>552</v>
      </c>
      <c r="O179" s="5" t="s">
        <v>3361</v>
      </c>
      <c r="P179" s="5">
        <v>58</v>
      </c>
      <c r="Q179" s="5">
        <v>4</v>
      </c>
      <c r="R179" s="5">
        <v>38</v>
      </c>
      <c r="S179" s="5">
        <v>882.42700000000002</v>
      </c>
      <c r="T179" s="5" t="s">
        <v>1468</v>
      </c>
      <c r="U179" s="5" t="s">
        <v>3735</v>
      </c>
      <c r="V179" s="5" t="s">
        <v>3736</v>
      </c>
      <c r="W179" s="5">
        <v>36.770000000000003</v>
      </c>
      <c r="X179" s="5">
        <v>63.64</v>
      </c>
      <c r="Y179" s="5">
        <v>161</v>
      </c>
      <c r="Z179" s="5" t="s">
        <v>12</v>
      </c>
      <c r="AA179" s="5" t="s">
        <v>12</v>
      </c>
      <c r="AB179" s="5" t="s">
        <v>12</v>
      </c>
      <c r="AC179" s="5" t="s">
        <v>12</v>
      </c>
      <c r="AD179" s="5" t="s">
        <v>12</v>
      </c>
      <c r="AE179" s="5" t="s">
        <v>12</v>
      </c>
      <c r="AF179" s="5" t="s">
        <v>12</v>
      </c>
      <c r="AG179" s="5"/>
      <c r="AH179" s="5">
        <v>0</v>
      </c>
      <c r="AI179" s="5"/>
      <c r="AJ179" s="5">
        <v>0</v>
      </c>
      <c r="AK179" s="5">
        <v>0</v>
      </c>
      <c r="AL179" s="5" t="s">
        <v>12</v>
      </c>
      <c r="AM179" s="5" t="s">
        <v>12</v>
      </c>
      <c r="AN179" s="5" t="s">
        <v>12</v>
      </c>
      <c r="AO179" s="5" t="s">
        <v>11</v>
      </c>
      <c r="AP179" s="5" t="s">
        <v>11</v>
      </c>
      <c r="AQ179" s="5" t="s">
        <v>1078</v>
      </c>
      <c r="AR179" s="5" t="s">
        <v>1077</v>
      </c>
    </row>
    <row r="180" spans="1:44" ht="31.5" x14ac:dyDescent="0.25">
      <c r="A180" s="10">
        <v>46096</v>
      </c>
      <c r="B180" s="5" t="s">
        <v>1076</v>
      </c>
      <c r="C180" s="5" t="s">
        <v>2511</v>
      </c>
      <c r="D180" s="5" t="s">
        <v>11</v>
      </c>
      <c r="E180" s="5" t="s">
        <v>11</v>
      </c>
      <c r="F180" s="5" t="s">
        <v>11</v>
      </c>
      <c r="G180" s="5" t="s">
        <v>3737</v>
      </c>
      <c r="H180" s="5" t="s">
        <v>3738</v>
      </c>
      <c r="I180" s="6" t="str">
        <f>HYPERLINK("http://maps.yandex.ru/?ll=61.487537,55.15939&amp;spn=0.011598,0.004531&amp;z=17&amp;l=map&amp;pt=61.487537,55.15939", "55.159393//61.487537")</f>
        <v>55.159393//61.487537</v>
      </c>
      <c r="J180" s="5" t="s">
        <v>227</v>
      </c>
      <c r="K180" s="6" t="str">
        <f>HYPERLINK("http://maps.yandex.ru/?ll=61.487537,55.15939&amp;spn=0.011598,0.004531&amp;z=17&amp;l=map&amp;pt=61.487537,55.15939", "55.159393//61.487537")</f>
        <v>55.159393//61.487537</v>
      </c>
      <c r="L180" s="5" t="s">
        <v>227</v>
      </c>
      <c r="M180" s="5" t="s">
        <v>13</v>
      </c>
      <c r="N180" s="5" t="s">
        <v>58</v>
      </c>
      <c r="O180" s="5" t="s">
        <v>13</v>
      </c>
      <c r="P180" s="5">
        <v>0</v>
      </c>
      <c r="Q180" s="5">
        <v>100</v>
      </c>
      <c r="R180" s="5">
        <v>0</v>
      </c>
      <c r="S180" s="5">
        <v>0</v>
      </c>
      <c r="T180" s="5" t="s">
        <v>1673</v>
      </c>
      <c r="U180" s="5" t="s">
        <v>2512</v>
      </c>
      <c r="V180" s="5" t="s">
        <v>2513</v>
      </c>
      <c r="W180" s="5">
        <v>0</v>
      </c>
      <c r="X180" s="5">
        <v>0</v>
      </c>
      <c r="Y180" s="5">
        <v>4</v>
      </c>
      <c r="Z180" s="5" t="s">
        <v>2514</v>
      </c>
      <c r="AA180" s="5" t="s">
        <v>3739</v>
      </c>
      <c r="AB180" s="5" t="s">
        <v>3740</v>
      </c>
      <c r="AC180" s="5" t="s">
        <v>1673</v>
      </c>
      <c r="AD180" s="5" t="s">
        <v>19</v>
      </c>
      <c r="AE180" s="5" t="s">
        <v>1528</v>
      </c>
      <c r="AF180" s="5" t="s">
        <v>12</v>
      </c>
      <c r="AG180" s="5">
        <v>8</v>
      </c>
      <c r="AH180" s="5">
        <v>8</v>
      </c>
      <c r="AI180" s="5">
        <v>0</v>
      </c>
      <c r="AJ180" s="5">
        <v>800</v>
      </c>
      <c r="AK180" s="5">
        <v>0</v>
      </c>
      <c r="AL180" s="5" t="s">
        <v>12</v>
      </c>
      <c r="AM180" s="5" t="s">
        <v>12</v>
      </c>
      <c r="AN180" s="5" t="s">
        <v>12</v>
      </c>
      <c r="AO180" s="5" t="s">
        <v>11</v>
      </c>
      <c r="AP180" s="5" t="s">
        <v>11</v>
      </c>
      <c r="AQ180" s="5" t="s">
        <v>37</v>
      </c>
      <c r="AR180" s="5" t="s">
        <v>36</v>
      </c>
    </row>
    <row r="181" spans="1:44" ht="15.75" x14ac:dyDescent="0.25">
      <c r="A181" s="10">
        <v>46096</v>
      </c>
      <c r="B181" s="5" t="s">
        <v>1075</v>
      </c>
      <c r="C181" s="5" t="s">
        <v>2515</v>
      </c>
      <c r="D181" s="5" t="s">
        <v>11</v>
      </c>
      <c r="E181" s="5" t="s">
        <v>3</v>
      </c>
      <c r="F181" s="5" t="s">
        <v>3</v>
      </c>
      <c r="G181" s="5" t="s">
        <v>11</v>
      </c>
      <c r="H181" s="5" t="s">
        <v>11</v>
      </c>
      <c r="I181" s="6" t="str">
        <f>HYPERLINK("http://maps.yandex.ru/?ll=,&amp;spn=0.011598,0.004531&amp;z=17&amp;l=map&amp;pt=,", "")</f>
        <v/>
      </c>
      <c r="J181" s="5" t="s">
        <v>84</v>
      </c>
      <c r="K181" s="6" t="str">
        <f>HYPERLINK("http://maps.yandex.ru/?ll=,&amp;spn=0.011598,0.004531&amp;z=17&amp;l=map&amp;pt=,", "")</f>
        <v/>
      </c>
      <c r="L181" s="5" t="s">
        <v>84</v>
      </c>
      <c r="M181" s="5" t="s">
        <v>13</v>
      </c>
      <c r="N181" s="5" t="s">
        <v>554</v>
      </c>
      <c r="O181" s="5" t="s">
        <v>87</v>
      </c>
      <c r="P181" s="5">
        <v>0</v>
      </c>
      <c r="Q181" s="5">
        <v>99</v>
      </c>
      <c r="R181" s="5">
        <v>1</v>
      </c>
      <c r="S181" s="5">
        <v>0</v>
      </c>
      <c r="T181" s="5" t="s">
        <v>12</v>
      </c>
      <c r="U181" s="5" t="s">
        <v>12</v>
      </c>
      <c r="V181" s="5" t="s">
        <v>12</v>
      </c>
      <c r="W181" s="5">
        <v>0</v>
      </c>
      <c r="X181" s="5">
        <v>0</v>
      </c>
      <c r="Y181" s="5">
        <v>0</v>
      </c>
      <c r="Z181" s="5" t="s">
        <v>12</v>
      </c>
      <c r="AA181" s="5" t="s">
        <v>12</v>
      </c>
      <c r="AB181" s="5" t="s">
        <v>12</v>
      </c>
      <c r="AC181" s="5" t="s">
        <v>12</v>
      </c>
      <c r="AD181" s="5" t="s">
        <v>12</v>
      </c>
      <c r="AE181" s="5" t="s">
        <v>12</v>
      </c>
      <c r="AF181" s="5" t="s">
        <v>12</v>
      </c>
      <c r="AG181" s="5"/>
      <c r="AH181" s="5"/>
      <c r="AI181" s="5"/>
      <c r="AJ181" s="5"/>
      <c r="AK181" s="5"/>
      <c r="AL181" s="5" t="s">
        <v>12</v>
      </c>
      <c r="AM181" s="5" t="s">
        <v>12</v>
      </c>
      <c r="AN181" s="5" t="s">
        <v>12</v>
      </c>
      <c r="AO181" s="5" t="s">
        <v>11</v>
      </c>
      <c r="AP181" s="5" t="s">
        <v>11</v>
      </c>
      <c r="AQ181" s="5" t="s">
        <v>67</v>
      </c>
      <c r="AR181" s="5" t="s">
        <v>66</v>
      </c>
    </row>
    <row r="182" spans="1:44" ht="31.5" x14ac:dyDescent="0.25">
      <c r="A182" s="10">
        <v>46096</v>
      </c>
      <c r="B182" s="5" t="s">
        <v>1073</v>
      </c>
      <c r="C182" s="5" t="s">
        <v>2516</v>
      </c>
      <c r="D182" s="5" t="s">
        <v>11</v>
      </c>
      <c r="E182" s="5" t="s">
        <v>3</v>
      </c>
      <c r="F182" s="5" t="s">
        <v>3</v>
      </c>
      <c r="G182" s="5" t="s">
        <v>3741</v>
      </c>
      <c r="H182" s="5" t="s">
        <v>3742</v>
      </c>
      <c r="I182" s="6" t="str">
        <f>HYPERLINK("http://maps.yandex.ru/?ll=32.444935,58.28199&amp;spn=0.011598,0.004531&amp;z=17&amp;l=map&amp;pt=32.444935,58.28199", "58.281998//32.444935")</f>
        <v>58.281998//32.444935</v>
      </c>
      <c r="J182" s="5" t="s">
        <v>148</v>
      </c>
      <c r="K182" s="6" t="str">
        <f>HYPERLINK("http://maps.yandex.ru/?ll=30.406973,59.7955&amp;spn=0.011598,0.004531&amp;z=17&amp;l=map&amp;pt=30.406973,59.7955", "59.79553//30.406973")</f>
        <v>59.79553//30.406973</v>
      </c>
      <c r="L182" s="5" t="s">
        <v>23</v>
      </c>
      <c r="M182" s="5" t="s">
        <v>251</v>
      </c>
      <c r="N182" s="5" t="s">
        <v>3743</v>
      </c>
      <c r="O182" s="5" t="s">
        <v>166</v>
      </c>
      <c r="P182" s="5">
        <v>13</v>
      </c>
      <c r="Q182" s="5">
        <v>76</v>
      </c>
      <c r="R182" s="5">
        <v>11</v>
      </c>
      <c r="S182" s="5">
        <v>203.89400000000001</v>
      </c>
      <c r="T182" s="5" t="s">
        <v>12</v>
      </c>
      <c r="U182" s="5" t="s">
        <v>12</v>
      </c>
      <c r="V182" s="5" t="s">
        <v>12</v>
      </c>
      <c r="W182" s="5">
        <v>8.5</v>
      </c>
      <c r="X182" s="5">
        <v>65.02</v>
      </c>
      <c r="Y182" s="5">
        <v>91</v>
      </c>
      <c r="Z182" s="5" t="s">
        <v>12</v>
      </c>
      <c r="AA182" s="5" t="s">
        <v>12</v>
      </c>
      <c r="AB182" s="5" t="s">
        <v>12</v>
      </c>
      <c r="AC182" s="5" t="s">
        <v>12</v>
      </c>
      <c r="AD182" s="5" t="s">
        <v>12</v>
      </c>
      <c r="AE182" s="5" t="s">
        <v>12</v>
      </c>
      <c r="AF182" s="5" t="s">
        <v>12</v>
      </c>
      <c r="AG182" s="5"/>
      <c r="AH182" s="5"/>
      <c r="AI182" s="5"/>
      <c r="AJ182" s="5"/>
      <c r="AK182" s="5"/>
      <c r="AL182" s="5" t="s">
        <v>12</v>
      </c>
      <c r="AM182" s="5" t="s">
        <v>12</v>
      </c>
      <c r="AN182" s="5" t="s">
        <v>12</v>
      </c>
      <c r="AO182" s="5" t="s">
        <v>11</v>
      </c>
      <c r="AP182" s="5" t="s">
        <v>11</v>
      </c>
      <c r="AQ182" s="5" t="s">
        <v>106</v>
      </c>
      <c r="AR182" s="5" t="s">
        <v>105</v>
      </c>
    </row>
    <row r="183" spans="1:44" ht="31.5" x14ac:dyDescent="0.25">
      <c r="A183" s="10">
        <v>46096</v>
      </c>
      <c r="B183" s="5" t="s">
        <v>1071</v>
      </c>
      <c r="C183" s="5" t="s">
        <v>2517</v>
      </c>
      <c r="D183" s="5" t="s">
        <v>11</v>
      </c>
      <c r="E183" s="5" t="s">
        <v>1</v>
      </c>
      <c r="F183" s="5" t="s">
        <v>1</v>
      </c>
      <c r="G183" s="5" t="s">
        <v>3744</v>
      </c>
      <c r="H183" s="5" t="s">
        <v>3745</v>
      </c>
      <c r="I183" s="6" t="str">
        <f>HYPERLINK("http://maps.yandex.ru/?ll=38.995888,45.077&amp;spn=0.011598,0.004531&amp;z=17&amp;l=map&amp;pt=38.995888,45.077", "45.0777//38.995888")</f>
        <v>45.0777//38.995888</v>
      </c>
      <c r="J183" s="5" t="s">
        <v>88</v>
      </c>
      <c r="K183" s="6" t="str">
        <f>HYPERLINK("http://maps.yandex.ru/?ll=38.995647,45.07763&amp;spn=0.011598,0.004531&amp;z=17&amp;l=map&amp;pt=38.995647,45.07763", "45.077637//38.995647")</f>
        <v>45.077637//38.995647</v>
      </c>
      <c r="L183" s="5" t="s">
        <v>88</v>
      </c>
      <c r="M183" s="5" t="s">
        <v>13</v>
      </c>
      <c r="N183" s="5" t="s">
        <v>3746</v>
      </c>
      <c r="O183" s="5" t="s">
        <v>3747</v>
      </c>
      <c r="P183" s="5">
        <v>0</v>
      </c>
      <c r="Q183" s="5">
        <v>93</v>
      </c>
      <c r="R183" s="5">
        <v>7</v>
      </c>
      <c r="S183" s="5">
        <v>0</v>
      </c>
      <c r="T183" s="5" t="s">
        <v>12</v>
      </c>
      <c r="U183" s="5" t="s">
        <v>12</v>
      </c>
      <c r="V183" s="5" t="s">
        <v>12</v>
      </c>
      <c r="W183" s="5">
        <v>0</v>
      </c>
      <c r="X183" s="5">
        <v>0</v>
      </c>
      <c r="Y183" s="5">
        <v>5</v>
      </c>
      <c r="Z183" s="5" t="s">
        <v>12</v>
      </c>
      <c r="AA183" s="5" t="s">
        <v>12</v>
      </c>
      <c r="AB183" s="5" t="s">
        <v>12</v>
      </c>
      <c r="AC183" s="5" t="s">
        <v>12</v>
      </c>
      <c r="AD183" s="5" t="s">
        <v>12</v>
      </c>
      <c r="AE183" s="5" t="s">
        <v>12</v>
      </c>
      <c r="AF183" s="5" t="s">
        <v>12</v>
      </c>
      <c r="AG183" s="5"/>
      <c r="AH183" s="5"/>
      <c r="AI183" s="5"/>
      <c r="AJ183" s="5"/>
      <c r="AK183" s="5"/>
      <c r="AL183" s="5" t="s">
        <v>12</v>
      </c>
      <c r="AM183" s="5" t="s">
        <v>12</v>
      </c>
      <c r="AN183" s="5" t="s">
        <v>12</v>
      </c>
      <c r="AO183" s="5" t="s">
        <v>11</v>
      </c>
      <c r="AP183" s="5" t="s">
        <v>11</v>
      </c>
      <c r="AQ183" s="5" t="s">
        <v>106</v>
      </c>
      <c r="AR183" s="5" t="s">
        <v>105</v>
      </c>
    </row>
    <row r="184" spans="1:44" ht="15.75" x14ac:dyDescent="0.25">
      <c r="A184" s="10">
        <v>46096</v>
      </c>
      <c r="B184" s="5" t="s">
        <v>1070</v>
      </c>
      <c r="C184" s="5" t="s">
        <v>2518</v>
      </c>
      <c r="D184" s="5" t="s">
        <v>11</v>
      </c>
      <c r="E184" s="5" t="s">
        <v>3</v>
      </c>
      <c r="F184" s="5" t="s">
        <v>3</v>
      </c>
      <c r="G184" s="5" t="s">
        <v>11</v>
      </c>
      <c r="H184" s="5" t="s">
        <v>11</v>
      </c>
      <c r="I184" s="6" t="str">
        <f>HYPERLINK("http://maps.yandex.ru/?ll=,&amp;spn=0.011598,0.004531&amp;z=17&amp;l=map&amp;pt=,", "")</f>
        <v/>
      </c>
      <c r="J184" s="5" t="s">
        <v>84</v>
      </c>
      <c r="K184" s="6" t="str">
        <f>HYPERLINK("http://maps.yandex.ru/?ll=,&amp;spn=0.011598,0.004531&amp;z=17&amp;l=map&amp;pt=,", "")</f>
        <v/>
      </c>
      <c r="L184" s="5" t="s">
        <v>84</v>
      </c>
      <c r="M184" s="5" t="s">
        <v>13</v>
      </c>
      <c r="N184" s="5" t="s">
        <v>13</v>
      </c>
      <c r="O184" s="5" t="s">
        <v>58</v>
      </c>
      <c r="P184" s="5">
        <v>0</v>
      </c>
      <c r="Q184" s="5">
        <v>0</v>
      </c>
      <c r="R184" s="5">
        <v>100</v>
      </c>
      <c r="S184" s="5">
        <v>0</v>
      </c>
      <c r="T184" s="5" t="s">
        <v>12</v>
      </c>
      <c r="U184" s="5" t="s">
        <v>12</v>
      </c>
      <c r="V184" s="5" t="s">
        <v>12</v>
      </c>
      <c r="W184" s="5">
        <v>0</v>
      </c>
      <c r="X184" s="5">
        <v>0</v>
      </c>
      <c r="Y184" s="5">
        <v>0</v>
      </c>
      <c r="Z184" s="5" t="s">
        <v>12</v>
      </c>
      <c r="AA184" s="5" t="s">
        <v>12</v>
      </c>
      <c r="AB184" s="5" t="s">
        <v>12</v>
      </c>
      <c r="AC184" s="5" t="s">
        <v>12</v>
      </c>
      <c r="AD184" s="5" t="s">
        <v>12</v>
      </c>
      <c r="AE184" s="5" t="s">
        <v>12</v>
      </c>
      <c r="AF184" s="5" t="s">
        <v>12</v>
      </c>
      <c r="AG184" s="5"/>
      <c r="AH184" s="5"/>
      <c r="AI184" s="5"/>
      <c r="AJ184" s="5"/>
      <c r="AK184" s="5"/>
      <c r="AL184" s="5" t="s">
        <v>12</v>
      </c>
      <c r="AM184" s="5" t="s">
        <v>12</v>
      </c>
      <c r="AN184" s="5" t="s">
        <v>12</v>
      </c>
      <c r="AO184" s="5" t="s">
        <v>11</v>
      </c>
      <c r="AP184" s="5" t="s">
        <v>11</v>
      </c>
      <c r="AQ184" s="5" t="s">
        <v>67</v>
      </c>
      <c r="AR184" s="5" t="s">
        <v>66</v>
      </c>
    </row>
    <row r="185" spans="1:44" ht="31.5" x14ac:dyDescent="0.25">
      <c r="A185" s="10">
        <v>46096</v>
      </c>
      <c r="B185" s="5" t="s">
        <v>1069</v>
      </c>
      <c r="C185" s="5" t="s">
        <v>2519</v>
      </c>
      <c r="D185" s="5" t="s">
        <v>11</v>
      </c>
      <c r="E185" s="5" t="s">
        <v>1</v>
      </c>
      <c r="F185" s="5" t="s">
        <v>1</v>
      </c>
      <c r="G185" s="5" t="s">
        <v>3748</v>
      </c>
      <c r="H185" s="5" t="s">
        <v>3749</v>
      </c>
      <c r="I185" s="6" t="str">
        <f>HYPERLINK("http://maps.yandex.ru/?ll=132.12682,43.35606&amp;spn=0.011598,0.004531&amp;z=17&amp;l=map&amp;pt=132.12682,43.35606", "43.356064//132.12682")</f>
        <v>43.356064//132.12682</v>
      </c>
      <c r="J185" s="5" t="s">
        <v>108</v>
      </c>
      <c r="K185" s="6" t="str">
        <f>HYPERLINK("http://maps.yandex.ru/?ll=131.9854,43.39016&amp;spn=0.011598,0.004531&amp;z=17&amp;l=map&amp;pt=131.9854,43.39016", "43.390163//131.9854")</f>
        <v>43.390163//131.9854</v>
      </c>
      <c r="L185" s="5" t="s">
        <v>108</v>
      </c>
      <c r="M185" s="5" t="s">
        <v>1345</v>
      </c>
      <c r="N185" s="5" t="s">
        <v>3750</v>
      </c>
      <c r="O185" s="5" t="s">
        <v>13</v>
      </c>
      <c r="P185" s="5">
        <v>5</v>
      </c>
      <c r="Q185" s="5">
        <v>95</v>
      </c>
      <c r="R185" s="5">
        <v>0</v>
      </c>
      <c r="S185" s="5">
        <v>45.688000000000002</v>
      </c>
      <c r="T185" s="5" t="s">
        <v>12</v>
      </c>
      <c r="U185" s="5" t="s">
        <v>12</v>
      </c>
      <c r="V185" s="5" t="s">
        <v>12</v>
      </c>
      <c r="W185" s="5">
        <v>1.9</v>
      </c>
      <c r="X185" s="5">
        <v>37.369999999999997</v>
      </c>
      <c r="Y185" s="5">
        <v>97</v>
      </c>
      <c r="Z185" s="5" t="s">
        <v>12</v>
      </c>
      <c r="AA185" s="5" t="s">
        <v>12</v>
      </c>
      <c r="AB185" s="5" t="s">
        <v>12</v>
      </c>
      <c r="AC185" s="5" t="s">
        <v>12</v>
      </c>
      <c r="AD185" s="5" t="s">
        <v>12</v>
      </c>
      <c r="AE185" s="5" t="s">
        <v>12</v>
      </c>
      <c r="AF185" s="5" t="s">
        <v>12</v>
      </c>
      <c r="AG185" s="5"/>
      <c r="AH185" s="5"/>
      <c r="AI185" s="5"/>
      <c r="AJ185" s="5"/>
      <c r="AK185" s="5"/>
      <c r="AL185" s="5" t="s">
        <v>12</v>
      </c>
      <c r="AM185" s="5" t="s">
        <v>12</v>
      </c>
      <c r="AN185" s="5" t="s">
        <v>12</v>
      </c>
      <c r="AO185" s="5" t="s">
        <v>11</v>
      </c>
      <c r="AP185" s="5" t="s">
        <v>11</v>
      </c>
      <c r="AQ185" s="5" t="s">
        <v>106</v>
      </c>
      <c r="AR185" s="5" t="s">
        <v>105</v>
      </c>
    </row>
    <row r="186" spans="1:44" ht="31.5" x14ac:dyDescent="0.25">
      <c r="A186" s="10">
        <v>46096</v>
      </c>
      <c r="B186" s="5" t="s">
        <v>1067</v>
      </c>
      <c r="C186" s="5" t="s">
        <v>2520</v>
      </c>
      <c r="D186" s="5" t="s">
        <v>11</v>
      </c>
      <c r="E186" s="5" t="s">
        <v>3</v>
      </c>
      <c r="F186" s="5" t="s">
        <v>3</v>
      </c>
      <c r="G186" s="5" t="s">
        <v>3751</v>
      </c>
      <c r="H186" s="5" t="s">
        <v>3752</v>
      </c>
      <c r="I186" s="6" t="str">
        <f>HYPERLINK("http://maps.yandex.ru/?ll=104.78893,51.45418&amp;spn=0.011598,0.004531&amp;z=17&amp;l=map&amp;pt=104.78893,51.45418", "51.454185//104.78893")</f>
        <v>51.454185//104.78893</v>
      </c>
      <c r="J186" s="5" t="s">
        <v>1490</v>
      </c>
      <c r="K186" s="6" t="str">
        <f>HYPERLINK("http://maps.yandex.ru/?ll=112.154884,51.1401&amp;spn=0.011598,0.004531&amp;z=17&amp;l=map&amp;pt=112.154884,51.1401", "51.14017//112.154884")</f>
        <v>51.14017//112.154884</v>
      </c>
      <c r="L186" s="5" t="s">
        <v>155</v>
      </c>
      <c r="M186" s="5" t="s">
        <v>823</v>
      </c>
      <c r="N186" s="5" t="s">
        <v>746</v>
      </c>
      <c r="O186" s="5" t="s">
        <v>13</v>
      </c>
      <c r="P186" s="5">
        <v>45</v>
      </c>
      <c r="Q186" s="5">
        <v>55</v>
      </c>
      <c r="R186" s="5">
        <v>0</v>
      </c>
      <c r="S186" s="5">
        <v>756.44100000000003</v>
      </c>
      <c r="T186" s="5" t="s">
        <v>12</v>
      </c>
      <c r="U186" s="5" t="s">
        <v>12</v>
      </c>
      <c r="V186" s="5" t="s">
        <v>12</v>
      </c>
      <c r="W186" s="5">
        <v>31.52</v>
      </c>
      <c r="X186" s="5">
        <v>70.319999999999993</v>
      </c>
      <c r="Y186" s="5">
        <v>112</v>
      </c>
      <c r="Z186" s="5" t="s">
        <v>2521</v>
      </c>
      <c r="AA186" s="5" t="s">
        <v>1854</v>
      </c>
      <c r="AB186" s="5" t="s">
        <v>19</v>
      </c>
      <c r="AC186" s="5" t="s">
        <v>19</v>
      </c>
      <c r="AD186" s="5" t="s">
        <v>19</v>
      </c>
      <c r="AE186" s="5" t="s">
        <v>1607</v>
      </c>
      <c r="AF186" s="5" t="s">
        <v>12</v>
      </c>
      <c r="AG186" s="5"/>
      <c r="AH186" s="5"/>
      <c r="AI186" s="5"/>
      <c r="AJ186" s="5"/>
      <c r="AK186" s="5"/>
      <c r="AL186" s="5" t="s">
        <v>2522</v>
      </c>
      <c r="AM186" s="5" t="s">
        <v>3753</v>
      </c>
      <c r="AN186" s="5" t="s">
        <v>1807</v>
      </c>
      <c r="AO186" s="5" t="s">
        <v>69</v>
      </c>
      <c r="AP186" s="5" t="s">
        <v>68</v>
      </c>
      <c r="AQ186" s="5" t="s">
        <v>67</v>
      </c>
      <c r="AR186" s="5" t="s">
        <v>66</v>
      </c>
    </row>
    <row r="187" spans="1:44" ht="31.5" x14ac:dyDescent="0.25">
      <c r="A187" s="10">
        <v>46096</v>
      </c>
      <c r="B187" s="5" t="s">
        <v>1065</v>
      </c>
      <c r="C187" s="5" t="s">
        <v>2523</v>
      </c>
      <c r="D187" s="5" t="s">
        <v>11</v>
      </c>
      <c r="E187" s="5" t="s">
        <v>3</v>
      </c>
      <c r="F187" s="5" t="s">
        <v>3</v>
      </c>
      <c r="G187" s="5" t="s">
        <v>3754</v>
      </c>
      <c r="H187" s="5" t="s">
        <v>3755</v>
      </c>
      <c r="I187" s="6" t="str">
        <f>HYPERLINK("http://maps.yandex.ru/?ll=41.96701,44.6492&amp;spn=0.011598,0.004531&amp;z=17&amp;l=map&amp;pt=41.96701,44.6492", "44.64927//41.96701")</f>
        <v>44.64927//41.96701</v>
      </c>
      <c r="J187" s="5" t="s">
        <v>208</v>
      </c>
      <c r="K187" s="6" t="str">
        <f>HYPERLINK("http://maps.yandex.ru/?ll=43.139717,44.17080&amp;spn=0.011598,0.004531&amp;z=17&amp;l=map&amp;pt=43.139717,44.17080", "44.170803//43.139717")</f>
        <v>44.170803//43.139717</v>
      </c>
      <c r="L187" s="5" t="s">
        <v>208</v>
      </c>
      <c r="M187" s="5" t="s">
        <v>224</v>
      </c>
      <c r="N187" s="5" t="s">
        <v>272</v>
      </c>
      <c r="O187" s="5" t="s">
        <v>579</v>
      </c>
      <c r="P187" s="5">
        <v>7</v>
      </c>
      <c r="Q187" s="5">
        <v>58</v>
      </c>
      <c r="R187" s="5">
        <v>35</v>
      </c>
      <c r="S187" s="5">
        <v>113.066</v>
      </c>
      <c r="T187" s="5" t="s">
        <v>12</v>
      </c>
      <c r="U187" s="5" t="s">
        <v>12</v>
      </c>
      <c r="V187" s="5" t="s">
        <v>12</v>
      </c>
      <c r="W187" s="5">
        <v>4.71</v>
      </c>
      <c r="X187" s="5">
        <v>67.92</v>
      </c>
      <c r="Y187" s="5">
        <v>100</v>
      </c>
      <c r="Z187" s="5" t="s">
        <v>12</v>
      </c>
      <c r="AA187" s="5" t="s">
        <v>12</v>
      </c>
      <c r="AB187" s="5" t="s">
        <v>12</v>
      </c>
      <c r="AC187" s="5" t="s">
        <v>12</v>
      </c>
      <c r="AD187" s="5" t="s">
        <v>12</v>
      </c>
      <c r="AE187" s="5" t="s">
        <v>12</v>
      </c>
      <c r="AF187" s="5" t="s">
        <v>12</v>
      </c>
      <c r="AG187" s="5"/>
      <c r="AH187" s="5"/>
      <c r="AI187" s="5"/>
      <c r="AJ187" s="5"/>
      <c r="AK187" s="5"/>
      <c r="AL187" s="5" t="s">
        <v>12</v>
      </c>
      <c r="AM187" s="5" t="s">
        <v>12</v>
      </c>
      <c r="AN187" s="5" t="s">
        <v>12</v>
      </c>
      <c r="AO187" s="5" t="s">
        <v>11</v>
      </c>
      <c r="AP187" s="5" t="s">
        <v>11</v>
      </c>
      <c r="AQ187" s="5" t="s">
        <v>67</v>
      </c>
      <c r="AR187" s="5" t="s">
        <v>66</v>
      </c>
    </row>
    <row r="188" spans="1:44" ht="31.5" x14ac:dyDescent="0.25">
      <c r="A188" s="10">
        <v>46096</v>
      </c>
      <c r="B188" s="5" t="s">
        <v>1064</v>
      </c>
      <c r="C188" s="5" t="s">
        <v>2524</v>
      </c>
      <c r="D188" s="5" t="s">
        <v>11</v>
      </c>
      <c r="E188" s="5" t="s">
        <v>1</v>
      </c>
      <c r="F188" s="5" t="s">
        <v>1</v>
      </c>
      <c r="G188" s="5" t="s">
        <v>3756</v>
      </c>
      <c r="H188" s="5" t="s">
        <v>3121</v>
      </c>
      <c r="I188" s="6" t="str">
        <f>HYPERLINK("http://maps.yandex.ru/?ll=38.11589,53.5015&amp;spn=0.011598,0.004531&amp;z=17&amp;l=map&amp;pt=38.11589,53.5015", "53.50154//38.11589")</f>
        <v>53.50154//38.11589</v>
      </c>
      <c r="J188" s="5" t="s">
        <v>168</v>
      </c>
      <c r="K188" s="6" t="str">
        <f>HYPERLINK("http://maps.yandex.ru/?ll=37.290066,55.80586&amp;spn=0.011598,0.004531&amp;z=17&amp;l=map&amp;pt=37.290066,55.80586", "55.805866//37.290066")</f>
        <v>55.805866//37.290066</v>
      </c>
      <c r="L188" s="5" t="s">
        <v>56</v>
      </c>
      <c r="M188" s="5" t="s">
        <v>1412</v>
      </c>
      <c r="N188" s="5" t="s">
        <v>3136</v>
      </c>
      <c r="O188" s="5" t="s">
        <v>988</v>
      </c>
      <c r="P188" s="5">
        <v>41</v>
      </c>
      <c r="Q188" s="5">
        <v>53</v>
      </c>
      <c r="R188" s="5">
        <v>6</v>
      </c>
      <c r="S188" s="5">
        <v>695.678</v>
      </c>
      <c r="T188" s="5" t="s">
        <v>12</v>
      </c>
      <c r="U188" s="5" t="s">
        <v>12</v>
      </c>
      <c r="V188" s="5" t="s">
        <v>12</v>
      </c>
      <c r="W188" s="5">
        <v>28.99</v>
      </c>
      <c r="X188" s="5">
        <v>71.19</v>
      </c>
      <c r="Y188" s="5">
        <v>101</v>
      </c>
      <c r="Z188" s="5" t="s">
        <v>1605</v>
      </c>
      <c r="AA188" s="5" t="s">
        <v>2085</v>
      </c>
      <c r="AB188" s="5" t="s">
        <v>19</v>
      </c>
      <c r="AC188" s="5" t="s">
        <v>19</v>
      </c>
      <c r="AD188" s="5" t="s">
        <v>19</v>
      </c>
      <c r="AE188" s="5" t="s">
        <v>2203</v>
      </c>
      <c r="AF188" s="5" t="s">
        <v>12</v>
      </c>
      <c r="AG188" s="5"/>
      <c r="AH188" s="5"/>
      <c r="AI188" s="5"/>
      <c r="AJ188" s="5"/>
      <c r="AK188" s="5"/>
      <c r="AL188" s="5" t="s">
        <v>2525</v>
      </c>
      <c r="AM188" s="5" t="s">
        <v>3757</v>
      </c>
      <c r="AN188" s="5" t="s">
        <v>2226</v>
      </c>
      <c r="AO188" s="5" t="s">
        <v>69</v>
      </c>
      <c r="AP188" s="5" t="s">
        <v>68</v>
      </c>
      <c r="AQ188" s="5" t="s">
        <v>67</v>
      </c>
      <c r="AR188" s="5" t="s">
        <v>66</v>
      </c>
    </row>
    <row r="189" spans="1:44" ht="31.5" x14ac:dyDescent="0.25">
      <c r="A189" s="10">
        <v>46096</v>
      </c>
      <c r="B189" s="5" t="s">
        <v>1061</v>
      </c>
      <c r="C189" s="5" t="s">
        <v>2526</v>
      </c>
      <c r="D189" s="5" t="s">
        <v>11</v>
      </c>
      <c r="E189" s="5" t="s">
        <v>1</v>
      </c>
      <c r="F189" s="5" t="s">
        <v>1</v>
      </c>
      <c r="G189" s="5" t="s">
        <v>3758</v>
      </c>
      <c r="H189" s="5" t="s">
        <v>3759</v>
      </c>
      <c r="I189" s="6" t="str">
        <f>HYPERLINK("http://maps.yandex.ru/?ll=39.778625,47.11867&amp;spn=0.011598,0.004531&amp;z=17&amp;l=map&amp;pt=39.778625,47.11867", "47.118675//39.778625")</f>
        <v>47.118675//39.778625</v>
      </c>
      <c r="J189" s="5" t="s">
        <v>64</v>
      </c>
      <c r="K189" s="6" t="str">
        <f>HYPERLINK("http://maps.yandex.ru/?ll=38.008377,53.79113&amp;spn=0.011598,0.004531&amp;z=17&amp;l=map&amp;pt=38.008377,53.79113", "53.791134//38.008377")</f>
        <v>53.791134//38.008377</v>
      </c>
      <c r="L189" s="5" t="s">
        <v>168</v>
      </c>
      <c r="M189" s="5" t="s">
        <v>3760</v>
      </c>
      <c r="N189" s="5" t="s">
        <v>1204</v>
      </c>
      <c r="O189" s="5" t="s">
        <v>3761</v>
      </c>
      <c r="P189" s="5">
        <v>47</v>
      </c>
      <c r="Q189" s="5">
        <v>50</v>
      </c>
      <c r="R189" s="5">
        <v>3</v>
      </c>
      <c r="S189" s="5">
        <v>822.971</v>
      </c>
      <c r="T189" s="5" t="s">
        <v>12</v>
      </c>
      <c r="U189" s="5" t="s">
        <v>12</v>
      </c>
      <c r="V189" s="5" t="s">
        <v>12</v>
      </c>
      <c r="W189" s="5">
        <v>34.29</v>
      </c>
      <c r="X189" s="5">
        <v>72.569999999999993</v>
      </c>
      <c r="Y189" s="5">
        <v>149</v>
      </c>
      <c r="Z189" s="5" t="s">
        <v>12</v>
      </c>
      <c r="AA189" s="5" t="s">
        <v>12</v>
      </c>
      <c r="AB189" s="5" t="s">
        <v>12</v>
      </c>
      <c r="AC189" s="5" t="s">
        <v>12</v>
      </c>
      <c r="AD189" s="5" t="s">
        <v>12</v>
      </c>
      <c r="AE189" s="5" t="s">
        <v>12</v>
      </c>
      <c r="AF189" s="5" t="s">
        <v>12</v>
      </c>
      <c r="AG189" s="5"/>
      <c r="AH189" s="5"/>
      <c r="AI189" s="5"/>
      <c r="AJ189" s="5"/>
      <c r="AK189" s="5"/>
      <c r="AL189" s="5" t="s">
        <v>2527</v>
      </c>
      <c r="AM189" s="5" t="s">
        <v>3762</v>
      </c>
      <c r="AN189" s="5" t="s">
        <v>2253</v>
      </c>
      <c r="AO189" s="5" t="s">
        <v>69</v>
      </c>
      <c r="AP189" s="5" t="s">
        <v>68</v>
      </c>
      <c r="AQ189" s="5" t="s">
        <v>99</v>
      </c>
      <c r="AR189" s="5" t="s">
        <v>275</v>
      </c>
    </row>
    <row r="190" spans="1:44" ht="31.5" x14ac:dyDescent="0.25">
      <c r="A190" s="10">
        <v>46096</v>
      </c>
      <c r="B190" s="5" t="s">
        <v>1060</v>
      </c>
      <c r="C190" s="5" t="s">
        <v>2528</v>
      </c>
      <c r="D190" s="5" t="s">
        <v>11</v>
      </c>
      <c r="E190" s="5" t="s">
        <v>4</v>
      </c>
      <c r="F190" s="5" t="s">
        <v>4</v>
      </c>
      <c r="G190" s="5" t="s">
        <v>3763</v>
      </c>
      <c r="H190" s="5" t="s">
        <v>3764</v>
      </c>
      <c r="I190" s="6" t="str">
        <f>HYPERLINK("http://maps.yandex.ru/?ll=49.12522,55.91658&amp;spn=0.011598,0.004531&amp;z=17&amp;l=map&amp;pt=49.12522,55.91658", "55.916584//49.12522")</f>
        <v>55.916584//49.12522</v>
      </c>
      <c r="J190" s="5" t="s">
        <v>28</v>
      </c>
      <c r="K190" s="6" t="str">
        <f>HYPERLINK("http://maps.yandex.ru/?ll=49.182762,55.90473&amp;spn=0.011598,0.004531&amp;z=17&amp;l=map&amp;pt=49.182762,55.90473", "55.904736//49.182762")</f>
        <v>55.904736//49.182762</v>
      </c>
      <c r="L190" s="5" t="s">
        <v>28</v>
      </c>
      <c r="M190" s="5" t="s">
        <v>381</v>
      </c>
      <c r="N190" s="5" t="s">
        <v>3141</v>
      </c>
      <c r="O190" s="5" t="s">
        <v>13</v>
      </c>
      <c r="P190" s="5">
        <v>1</v>
      </c>
      <c r="Q190" s="5">
        <v>99</v>
      </c>
      <c r="R190" s="5">
        <v>0</v>
      </c>
      <c r="S190" s="5">
        <v>13.428000000000001</v>
      </c>
      <c r="T190" s="5" t="s">
        <v>12</v>
      </c>
      <c r="U190" s="5" t="s">
        <v>12</v>
      </c>
      <c r="V190" s="5" t="s">
        <v>12</v>
      </c>
      <c r="W190" s="5">
        <v>0.56000000000000005</v>
      </c>
      <c r="X190" s="5">
        <v>55.25</v>
      </c>
      <c r="Y190" s="5">
        <v>80</v>
      </c>
      <c r="Z190" s="5" t="s">
        <v>12</v>
      </c>
      <c r="AA190" s="5" t="s">
        <v>12</v>
      </c>
      <c r="AB190" s="5" t="s">
        <v>19</v>
      </c>
      <c r="AC190" s="5" t="s">
        <v>19</v>
      </c>
      <c r="AD190" s="5" t="s">
        <v>19</v>
      </c>
      <c r="AE190" s="5" t="s">
        <v>12</v>
      </c>
      <c r="AF190" s="5" t="s">
        <v>12</v>
      </c>
      <c r="AG190" s="5"/>
      <c r="AH190" s="5"/>
      <c r="AI190" s="5"/>
      <c r="AJ190" s="5"/>
      <c r="AK190" s="5"/>
      <c r="AL190" s="5" t="s">
        <v>12</v>
      </c>
      <c r="AM190" s="5" t="s">
        <v>12</v>
      </c>
      <c r="AN190" s="5" t="s">
        <v>12</v>
      </c>
      <c r="AO190" s="5" t="s">
        <v>69</v>
      </c>
      <c r="AP190" s="5" t="s">
        <v>68</v>
      </c>
      <c r="AQ190" s="5" t="s">
        <v>99</v>
      </c>
      <c r="AR190" s="5" t="s">
        <v>98</v>
      </c>
    </row>
    <row r="191" spans="1:44" ht="31.5" x14ac:dyDescent="0.25">
      <c r="A191" s="10">
        <v>46096</v>
      </c>
      <c r="B191" s="5" t="s">
        <v>1057</v>
      </c>
      <c r="C191" s="5" t="s">
        <v>2529</v>
      </c>
      <c r="D191" s="5" t="s">
        <v>11</v>
      </c>
      <c r="E191" s="5" t="s">
        <v>2</v>
      </c>
      <c r="F191" s="5" t="s">
        <v>2</v>
      </c>
      <c r="G191" s="5" t="s">
        <v>3103</v>
      </c>
      <c r="H191" s="5" t="s">
        <v>3121</v>
      </c>
      <c r="I191" s="6" t="str">
        <f>HYPERLINK("http://maps.yandex.ru/?ll=39.65253,47.30953&amp;spn=0.011598,0.004531&amp;z=17&amp;l=map&amp;pt=39.65253,47.30953", "47.309532//39.65253")</f>
        <v>47.309532//39.65253</v>
      </c>
      <c r="J191" s="5" t="s">
        <v>64</v>
      </c>
      <c r="K191" s="6" t="str">
        <f>HYPERLINK("http://maps.yandex.ru/?ll=38.016953,53.9781&amp;spn=0.011598,0.004531&amp;z=17&amp;l=map&amp;pt=38.016953,53.9781", "53.97812//38.016953")</f>
        <v>53.97812//38.016953</v>
      </c>
      <c r="L191" s="5" t="s">
        <v>168</v>
      </c>
      <c r="M191" s="5" t="s">
        <v>3633</v>
      </c>
      <c r="N191" s="5" t="s">
        <v>3765</v>
      </c>
      <c r="O191" s="5" t="s">
        <v>1014</v>
      </c>
      <c r="P191" s="5">
        <v>65</v>
      </c>
      <c r="Q191" s="5">
        <v>27</v>
      </c>
      <c r="R191" s="5">
        <v>8</v>
      </c>
      <c r="S191" s="5">
        <v>829.702</v>
      </c>
      <c r="T191" s="5" t="s">
        <v>12</v>
      </c>
      <c r="U191" s="5" t="s">
        <v>12</v>
      </c>
      <c r="V191" s="5" t="s">
        <v>12</v>
      </c>
      <c r="W191" s="5">
        <v>34.57</v>
      </c>
      <c r="X191" s="5">
        <v>52.79</v>
      </c>
      <c r="Y191" s="5">
        <v>107</v>
      </c>
      <c r="Z191" s="5" t="s">
        <v>12</v>
      </c>
      <c r="AA191" s="5" t="s">
        <v>12</v>
      </c>
      <c r="AB191" s="5" t="s">
        <v>12</v>
      </c>
      <c r="AC191" s="5" t="s">
        <v>12</v>
      </c>
      <c r="AD191" s="5" t="s">
        <v>12</v>
      </c>
      <c r="AE191" s="5" t="s">
        <v>12</v>
      </c>
      <c r="AF191" s="5" t="s">
        <v>12</v>
      </c>
      <c r="AG191" s="5"/>
      <c r="AH191" s="5"/>
      <c r="AI191" s="5"/>
      <c r="AJ191" s="5"/>
      <c r="AK191" s="5"/>
      <c r="AL191" s="5" t="s">
        <v>2530</v>
      </c>
      <c r="AM191" s="5" t="s">
        <v>3766</v>
      </c>
      <c r="AN191" s="5" t="s">
        <v>1673</v>
      </c>
      <c r="AO191" s="5" t="s">
        <v>69</v>
      </c>
      <c r="AP191" s="5" t="s">
        <v>68</v>
      </c>
      <c r="AQ191" s="5" t="s">
        <v>67</v>
      </c>
      <c r="AR191" s="5" t="s">
        <v>66</v>
      </c>
    </row>
    <row r="192" spans="1:44" ht="31.5" x14ac:dyDescent="0.25">
      <c r="A192" s="10">
        <v>46096</v>
      </c>
      <c r="B192" s="5" t="s">
        <v>1056</v>
      </c>
      <c r="C192" s="5" t="s">
        <v>2531</v>
      </c>
      <c r="D192" s="5" t="s">
        <v>11</v>
      </c>
      <c r="E192" s="5" t="s">
        <v>5</v>
      </c>
      <c r="F192" s="5" t="s">
        <v>5</v>
      </c>
      <c r="G192" s="5" t="s">
        <v>3767</v>
      </c>
      <c r="H192" s="5" t="s">
        <v>3768</v>
      </c>
      <c r="I192" s="6" t="str">
        <f>HYPERLINK("http://maps.yandex.ru/?ll=37.559006,55.48439&amp;spn=0.011598,0.004531&amp;z=17&amp;l=map&amp;pt=37.559006,55.48439", "55.484398//37.559006")</f>
        <v>55.484398//37.559006</v>
      </c>
      <c r="J192" s="5" t="s">
        <v>23</v>
      </c>
      <c r="K192" s="6" t="str">
        <f>HYPERLINK("http://maps.yandex.ru/?ll=38.41146,55.652&amp;spn=0.011598,0.004531&amp;z=17&amp;l=map&amp;pt=38.41146,55.652", "55.6521//38.41146")</f>
        <v>55.6521//38.41146</v>
      </c>
      <c r="L192" s="5" t="s">
        <v>56</v>
      </c>
      <c r="M192" s="5" t="s">
        <v>3360</v>
      </c>
      <c r="N192" s="5" t="s">
        <v>1138</v>
      </c>
      <c r="O192" s="5" t="s">
        <v>3317</v>
      </c>
      <c r="P192" s="5">
        <v>41</v>
      </c>
      <c r="Q192" s="5">
        <v>50</v>
      </c>
      <c r="R192" s="5">
        <v>10</v>
      </c>
      <c r="S192" s="5">
        <v>308.32900000000001</v>
      </c>
      <c r="T192" s="5" t="s">
        <v>12</v>
      </c>
      <c r="U192" s="5" t="s">
        <v>12</v>
      </c>
      <c r="V192" s="5" t="s">
        <v>12</v>
      </c>
      <c r="W192" s="5">
        <v>12.85</v>
      </c>
      <c r="X192" s="5">
        <v>31.51</v>
      </c>
      <c r="Y192" s="5">
        <v>111</v>
      </c>
      <c r="Z192" s="5" t="s">
        <v>12</v>
      </c>
      <c r="AA192" s="5" t="s">
        <v>12</v>
      </c>
      <c r="AB192" s="5" t="s">
        <v>12</v>
      </c>
      <c r="AC192" s="5" t="s">
        <v>12</v>
      </c>
      <c r="AD192" s="5" t="s">
        <v>12</v>
      </c>
      <c r="AE192" s="5" t="s">
        <v>12</v>
      </c>
      <c r="AF192" s="5" t="s">
        <v>12</v>
      </c>
      <c r="AG192" s="5"/>
      <c r="AH192" s="5"/>
      <c r="AI192" s="5"/>
      <c r="AJ192" s="5"/>
      <c r="AK192" s="5"/>
      <c r="AL192" s="5" t="s">
        <v>12</v>
      </c>
      <c r="AM192" s="5" t="s">
        <v>12</v>
      </c>
      <c r="AN192" s="5" t="s">
        <v>12</v>
      </c>
      <c r="AO192" s="5" t="s">
        <v>69</v>
      </c>
      <c r="AP192" s="5" t="s">
        <v>68</v>
      </c>
      <c r="AQ192" s="5" t="s">
        <v>67</v>
      </c>
      <c r="AR192" s="5" t="s">
        <v>66</v>
      </c>
    </row>
    <row r="193" spans="1:44" ht="31.5" x14ac:dyDescent="0.25">
      <c r="A193" s="10">
        <v>46096</v>
      </c>
      <c r="B193" s="5" t="s">
        <v>1054</v>
      </c>
      <c r="C193" s="5" t="s">
        <v>2460</v>
      </c>
      <c r="D193" s="5" t="s">
        <v>11</v>
      </c>
      <c r="E193" s="5" t="s">
        <v>1</v>
      </c>
      <c r="F193" s="5" t="s">
        <v>1</v>
      </c>
      <c r="G193" s="5" t="s">
        <v>3769</v>
      </c>
      <c r="H193" s="5" t="s">
        <v>3770</v>
      </c>
      <c r="I193" s="6" t="str">
        <f>HYPERLINK("http://maps.yandex.ru/?ll=55.78362,54.6715&amp;spn=0.011598,0.004531&amp;z=17&amp;l=map&amp;pt=55.78362,54.6715", "54.67159//55.78362")</f>
        <v>54.67159//55.78362</v>
      </c>
      <c r="J193" s="5" t="s">
        <v>34</v>
      </c>
      <c r="K193" s="6" t="str">
        <f>HYPERLINK("http://maps.yandex.ru/?ll=60.944767,54.96489&amp;spn=0.011598,0.004531&amp;z=17&amp;l=map&amp;pt=60.944767,54.96489", "54.964893//60.944767")</f>
        <v>54.964893//60.944767</v>
      </c>
      <c r="L193" s="5" t="s">
        <v>227</v>
      </c>
      <c r="M193" s="5" t="s">
        <v>1363</v>
      </c>
      <c r="N193" s="5" t="s">
        <v>1436</v>
      </c>
      <c r="O193" s="5" t="s">
        <v>13</v>
      </c>
      <c r="P193" s="5">
        <v>25</v>
      </c>
      <c r="Q193" s="5">
        <v>75</v>
      </c>
      <c r="R193" s="5">
        <v>0</v>
      </c>
      <c r="S193" s="5">
        <v>382.274</v>
      </c>
      <c r="T193" s="5" t="s">
        <v>12</v>
      </c>
      <c r="U193" s="5" t="s">
        <v>12</v>
      </c>
      <c r="V193" s="5" t="s">
        <v>12</v>
      </c>
      <c r="W193" s="5">
        <v>15.93</v>
      </c>
      <c r="X193" s="5">
        <v>63.07</v>
      </c>
      <c r="Y193" s="5">
        <v>101</v>
      </c>
      <c r="Z193" s="5" t="s">
        <v>12</v>
      </c>
      <c r="AA193" s="5" t="s">
        <v>12</v>
      </c>
      <c r="AB193" s="5" t="s">
        <v>12</v>
      </c>
      <c r="AC193" s="5" t="s">
        <v>12</v>
      </c>
      <c r="AD193" s="5" t="s">
        <v>12</v>
      </c>
      <c r="AE193" s="5" t="s">
        <v>12</v>
      </c>
      <c r="AF193" s="5" t="s">
        <v>12</v>
      </c>
      <c r="AG193" s="5"/>
      <c r="AH193" s="5"/>
      <c r="AI193" s="5"/>
      <c r="AJ193" s="5"/>
      <c r="AK193" s="5"/>
      <c r="AL193" s="5" t="s">
        <v>1250</v>
      </c>
      <c r="AM193" s="5" t="s">
        <v>3771</v>
      </c>
      <c r="AN193" s="5" t="s">
        <v>1756</v>
      </c>
      <c r="AO193" s="5" t="s">
        <v>83</v>
      </c>
      <c r="AP193" s="5" t="s">
        <v>82</v>
      </c>
      <c r="AQ193" s="5" t="s">
        <v>408</v>
      </c>
      <c r="AR193" s="5" t="s">
        <v>607</v>
      </c>
    </row>
    <row r="194" spans="1:44" ht="15.75" x14ac:dyDescent="0.25">
      <c r="A194" s="10">
        <v>46096</v>
      </c>
      <c r="B194" s="5" t="s">
        <v>1051</v>
      </c>
      <c r="C194" s="5" t="s">
        <v>2463</v>
      </c>
      <c r="D194" s="5" t="s">
        <v>11</v>
      </c>
      <c r="E194" s="5" t="s">
        <v>6</v>
      </c>
      <c r="F194" s="5" t="s">
        <v>6</v>
      </c>
      <c r="G194" s="5" t="s">
        <v>11</v>
      </c>
      <c r="H194" s="5" t="s">
        <v>11</v>
      </c>
      <c r="I194" s="6" t="str">
        <f>HYPERLINK("http://maps.yandex.ru/?ll=,&amp;spn=0.011598,0.004531&amp;z=17&amp;l=map&amp;pt=,", "")</f>
        <v/>
      </c>
      <c r="J194" s="5" t="s">
        <v>84</v>
      </c>
      <c r="K194" s="6" t="str">
        <f>HYPERLINK("http://maps.yandex.ru/?ll=,&amp;spn=0.011598,0.004531&amp;z=17&amp;l=map&amp;pt=,", "")</f>
        <v/>
      </c>
      <c r="L194" s="5" t="s">
        <v>84</v>
      </c>
      <c r="M194" s="5" t="s">
        <v>13</v>
      </c>
      <c r="N194" s="5" t="s">
        <v>13</v>
      </c>
      <c r="O194" s="5" t="s">
        <v>58</v>
      </c>
      <c r="P194" s="5">
        <v>0</v>
      </c>
      <c r="Q194" s="5">
        <v>0</v>
      </c>
      <c r="R194" s="5">
        <v>100</v>
      </c>
      <c r="S194" s="5">
        <v>0</v>
      </c>
      <c r="T194" s="5" t="s">
        <v>12</v>
      </c>
      <c r="U194" s="5" t="s">
        <v>12</v>
      </c>
      <c r="V194" s="5" t="s">
        <v>12</v>
      </c>
      <c r="W194" s="5">
        <v>0</v>
      </c>
      <c r="X194" s="5">
        <v>0</v>
      </c>
      <c r="Y194" s="5">
        <v>0</v>
      </c>
      <c r="Z194" s="5" t="s">
        <v>12</v>
      </c>
      <c r="AA194" s="5" t="s">
        <v>12</v>
      </c>
      <c r="AB194" s="5" t="s">
        <v>12</v>
      </c>
      <c r="AC194" s="5" t="s">
        <v>12</v>
      </c>
      <c r="AD194" s="5" t="s">
        <v>12</v>
      </c>
      <c r="AE194" s="5" t="s">
        <v>12</v>
      </c>
      <c r="AF194" s="5" t="s">
        <v>12</v>
      </c>
      <c r="AG194" s="5"/>
      <c r="AH194" s="5"/>
      <c r="AI194" s="5"/>
      <c r="AJ194" s="5"/>
      <c r="AK194" s="5"/>
      <c r="AL194" s="5" t="s">
        <v>12</v>
      </c>
      <c r="AM194" s="5" t="s">
        <v>12</v>
      </c>
      <c r="AN194" s="5" t="s">
        <v>12</v>
      </c>
      <c r="AO194" s="5" t="s">
        <v>11</v>
      </c>
      <c r="AP194" s="5" t="s">
        <v>11</v>
      </c>
      <c r="AQ194" s="5" t="s">
        <v>106</v>
      </c>
      <c r="AR194" s="5" t="s">
        <v>105</v>
      </c>
    </row>
    <row r="195" spans="1:44" ht="31.5" x14ac:dyDescent="0.25">
      <c r="A195" s="10">
        <v>46096</v>
      </c>
      <c r="B195" s="5" t="s">
        <v>1050</v>
      </c>
      <c r="C195" s="5" t="s">
        <v>2464</v>
      </c>
      <c r="D195" s="5" t="s">
        <v>11</v>
      </c>
      <c r="E195" s="5" t="s">
        <v>5</v>
      </c>
      <c r="F195" s="5" t="s">
        <v>5</v>
      </c>
      <c r="G195" s="5" t="s">
        <v>3103</v>
      </c>
      <c r="H195" s="5" t="s">
        <v>3772</v>
      </c>
      <c r="I195" s="6" t="str">
        <f>HYPERLINK("http://maps.yandex.ru/?ll=50.388752,53.45600&amp;spn=0.011598,0.004531&amp;z=17&amp;l=map&amp;pt=50.388752,53.45600", "53.456005//50.388752")</f>
        <v>53.456005//50.388752</v>
      </c>
      <c r="J195" s="5" t="s">
        <v>76</v>
      </c>
      <c r="K195" s="6" t="str">
        <f>HYPERLINK("http://maps.yandex.ru/?ll=50.40054,53.51663&amp;spn=0.011598,0.004531&amp;z=17&amp;l=map&amp;pt=50.40054,53.51663", "53.516632//50.40054")</f>
        <v>53.516632//50.40054</v>
      </c>
      <c r="L195" s="5" t="s">
        <v>76</v>
      </c>
      <c r="M195" s="5" t="s">
        <v>14</v>
      </c>
      <c r="N195" s="5" t="s">
        <v>3773</v>
      </c>
      <c r="O195" s="5" t="s">
        <v>13</v>
      </c>
      <c r="P195" s="5">
        <v>1</v>
      </c>
      <c r="Q195" s="5">
        <v>99</v>
      </c>
      <c r="R195" s="5">
        <v>0</v>
      </c>
      <c r="S195" s="5">
        <v>9.1660000000000004</v>
      </c>
      <c r="T195" s="5" t="s">
        <v>12</v>
      </c>
      <c r="U195" s="5" t="s">
        <v>12</v>
      </c>
      <c r="V195" s="5" t="s">
        <v>12</v>
      </c>
      <c r="W195" s="5">
        <v>0.38</v>
      </c>
      <c r="X195" s="5">
        <v>48.96</v>
      </c>
      <c r="Y195" s="5">
        <v>109</v>
      </c>
      <c r="Z195" s="5" t="s">
        <v>1710</v>
      </c>
      <c r="AA195" s="5" t="s">
        <v>1877</v>
      </c>
      <c r="AB195" s="5" t="s">
        <v>19</v>
      </c>
      <c r="AC195" s="5" t="s">
        <v>19</v>
      </c>
      <c r="AD195" s="5" t="s">
        <v>19</v>
      </c>
      <c r="AE195" s="5" t="s">
        <v>1689</v>
      </c>
      <c r="AF195" s="5" t="s">
        <v>12</v>
      </c>
      <c r="AG195" s="5"/>
      <c r="AH195" s="5"/>
      <c r="AI195" s="5"/>
      <c r="AJ195" s="5"/>
      <c r="AK195" s="5"/>
      <c r="AL195" s="5" t="s">
        <v>12</v>
      </c>
      <c r="AM195" s="5" t="s">
        <v>12</v>
      </c>
      <c r="AN195" s="5" t="s">
        <v>12</v>
      </c>
      <c r="AO195" s="5" t="s">
        <v>69</v>
      </c>
      <c r="AP195" s="5" t="s">
        <v>68</v>
      </c>
      <c r="AQ195" s="5" t="s">
        <v>99</v>
      </c>
      <c r="AR195" s="5" t="s">
        <v>98</v>
      </c>
    </row>
    <row r="196" spans="1:44" ht="31.5" x14ac:dyDescent="0.25">
      <c r="A196" s="10">
        <v>46096</v>
      </c>
      <c r="B196" s="5" t="s">
        <v>1049</v>
      </c>
      <c r="C196" s="5" t="s">
        <v>2465</v>
      </c>
      <c r="D196" s="5" t="s">
        <v>11</v>
      </c>
      <c r="E196" s="5" t="s">
        <v>11</v>
      </c>
      <c r="F196" s="5" t="s">
        <v>11</v>
      </c>
      <c r="G196" s="5" t="s">
        <v>3774</v>
      </c>
      <c r="H196" s="5" t="s">
        <v>3775</v>
      </c>
      <c r="I196" s="6" t="str">
        <f>HYPERLINK("http://maps.yandex.ru/?ll=132.08142,43.3261&amp;spn=0.011598,0.004531&amp;z=17&amp;l=map&amp;pt=132.08142,43.3261", "43.32612//132.08142")</f>
        <v>43.32612//132.08142</v>
      </c>
      <c r="J196" s="5" t="s">
        <v>108</v>
      </c>
      <c r="K196" s="6" t="str">
        <f>HYPERLINK("http://maps.yandex.ru/?ll=132.08142,43.3261&amp;spn=0.011598,0.004531&amp;z=17&amp;l=map&amp;pt=132.08142,43.3261", "43.32612//132.08142")</f>
        <v>43.32612//132.08142</v>
      </c>
      <c r="L196" s="5" t="s">
        <v>108</v>
      </c>
      <c r="M196" s="5" t="s">
        <v>13</v>
      </c>
      <c r="N196" s="5" t="s">
        <v>58</v>
      </c>
      <c r="O196" s="5" t="s">
        <v>13</v>
      </c>
      <c r="P196" s="5">
        <v>0</v>
      </c>
      <c r="Q196" s="5">
        <v>100</v>
      </c>
      <c r="R196" s="5">
        <v>0</v>
      </c>
      <c r="S196" s="5">
        <v>0</v>
      </c>
      <c r="T196" s="5" t="s">
        <v>12</v>
      </c>
      <c r="U196" s="5" t="s">
        <v>12</v>
      </c>
      <c r="V196" s="5" t="s">
        <v>12</v>
      </c>
      <c r="W196" s="5">
        <v>0</v>
      </c>
      <c r="X196" s="5">
        <v>0</v>
      </c>
      <c r="Y196" s="5">
        <v>5</v>
      </c>
      <c r="Z196" s="5" t="s">
        <v>1532</v>
      </c>
      <c r="AA196" s="5" t="s">
        <v>1579</v>
      </c>
      <c r="AB196" s="5" t="s">
        <v>19</v>
      </c>
      <c r="AC196" s="5" t="s">
        <v>19</v>
      </c>
      <c r="AD196" s="5" t="s">
        <v>19</v>
      </c>
      <c r="AE196" s="5" t="s">
        <v>1689</v>
      </c>
      <c r="AF196" s="5" t="s">
        <v>12</v>
      </c>
      <c r="AG196" s="5"/>
      <c r="AH196" s="5"/>
      <c r="AI196" s="5"/>
      <c r="AJ196" s="5"/>
      <c r="AK196" s="5"/>
      <c r="AL196" s="5" t="s">
        <v>12</v>
      </c>
      <c r="AM196" s="5" t="s">
        <v>12</v>
      </c>
      <c r="AN196" s="5" t="s">
        <v>12</v>
      </c>
      <c r="AO196" s="5" t="s">
        <v>69</v>
      </c>
      <c r="AP196" s="5" t="s">
        <v>68</v>
      </c>
      <c r="AQ196" s="5" t="s">
        <v>99</v>
      </c>
      <c r="AR196" s="5" t="s">
        <v>98</v>
      </c>
    </row>
    <row r="197" spans="1:44" ht="31.5" x14ac:dyDescent="0.25">
      <c r="A197" s="10">
        <v>46096</v>
      </c>
      <c r="B197" s="5" t="s">
        <v>1048</v>
      </c>
      <c r="C197" s="5" t="s">
        <v>2466</v>
      </c>
      <c r="D197" s="5" t="s">
        <v>11</v>
      </c>
      <c r="E197" s="5" t="s">
        <v>5</v>
      </c>
      <c r="F197" s="5" t="s">
        <v>5</v>
      </c>
      <c r="G197" s="5" t="s">
        <v>3776</v>
      </c>
      <c r="H197" s="5" t="s">
        <v>3777</v>
      </c>
      <c r="I197" s="6" t="str">
        <f>HYPERLINK("http://maps.yandex.ru/?ll=37.108276,56.10087&amp;spn=0.011598,0.004531&amp;z=17&amp;l=map&amp;pt=37.108276,56.10087", "56.100876//37.108276")</f>
        <v>56.100876//37.108276</v>
      </c>
      <c r="J197" s="5" t="s">
        <v>56</v>
      </c>
      <c r="K197" s="6" t="str">
        <f>HYPERLINK("http://maps.yandex.ru/?ll=38.508545,55.84927&amp;spn=0.011598,0.004531&amp;z=17&amp;l=map&amp;pt=38.508545,55.84927", "55.849274//38.508545")</f>
        <v>55.849274//38.508545</v>
      </c>
      <c r="L197" s="5" t="s">
        <v>56</v>
      </c>
      <c r="M197" s="5" t="s">
        <v>3778</v>
      </c>
      <c r="N197" s="5" t="s">
        <v>288</v>
      </c>
      <c r="O197" s="5" t="s">
        <v>1209</v>
      </c>
      <c r="P197" s="5">
        <v>19</v>
      </c>
      <c r="Q197" s="5">
        <v>78</v>
      </c>
      <c r="R197" s="5">
        <v>2</v>
      </c>
      <c r="S197" s="5">
        <v>205.61600000000001</v>
      </c>
      <c r="T197" s="5" t="s">
        <v>12</v>
      </c>
      <c r="U197" s="5" t="s">
        <v>12</v>
      </c>
      <c r="V197" s="5" t="s">
        <v>12</v>
      </c>
      <c r="W197" s="5">
        <v>8.57</v>
      </c>
      <c r="X197" s="5">
        <v>44.48</v>
      </c>
      <c r="Y197" s="5">
        <v>104</v>
      </c>
      <c r="Z197" s="5" t="s">
        <v>2467</v>
      </c>
      <c r="AA197" s="5" t="s">
        <v>2737</v>
      </c>
      <c r="AB197" s="5" t="s">
        <v>19</v>
      </c>
      <c r="AC197" s="5" t="s">
        <v>19</v>
      </c>
      <c r="AD197" s="5" t="s">
        <v>19</v>
      </c>
      <c r="AE197" s="5" t="s">
        <v>1607</v>
      </c>
      <c r="AF197" s="5" t="s">
        <v>12</v>
      </c>
      <c r="AG197" s="5"/>
      <c r="AH197" s="5"/>
      <c r="AI197" s="5"/>
      <c r="AJ197" s="5"/>
      <c r="AK197" s="5"/>
      <c r="AL197" s="5" t="s">
        <v>3779</v>
      </c>
      <c r="AM197" s="5" t="s">
        <v>3780</v>
      </c>
      <c r="AN197" s="5" t="s">
        <v>1720</v>
      </c>
      <c r="AO197" s="5" t="s">
        <v>69</v>
      </c>
      <c r="AP197" s="5" t="s">
        <v>68</v>
      </c>
      <c r="AQ197" s="5" t="s">
        <v>99</v>
      </c>
      <c r="AR197" s="5" t="s">
        <v>98</v>
      </c>
    </row>
    <row r="198" spans="1:44" ht="31.5" x14ac:dyDescent="0.25">
      <c r="A198" s="10">
        <v>46096</v>
      </c>
      <c r="B198" s="5" t="s">
        <v>1046</v>
      </c>
      <c r="C198" s="5" t="s">
        <v>2468</v>
      </c>
      <c r="D198" s="5" t="s">
        <v>11</v>
      </c>
      <c r="E198" s="5" t="s">
        <v>11</v>
      </c>
      <c r="F198" s="5" t="s">
        <v>11</v>
      </c>
      <c r="G198" s="5" t="s">
        <v>3781</v>
      </c>
      <c r="H198" s="5" t="s">
        <v>3121</v>
      </c>
      <c r="I198" s="6" t="str">
        <f>HYPERLINK("http://maps.yandex.ru/?ll=38.50754,55.8493&amp;spn=0.011598,0.004531&amp;z=17&amp;l=map&amp;pt=38.50754,55.8493", "55.84936//38.50754")</f>
        <v>55.84936//38.50754</v>
      </c>
      <c r="J198" s="5" t="s">
        <v>56</v>
      </c>
      <c r="K198" s="6" t="str">
        <f>HYPERLINK("http://maps.yandex.ru/?ll=38.079914,55.54292&amp;spn=0.011598,0.004531&amp;z=17&amp;l=map&amp;pt=38.079914,55.54292", "55.542923//38.079914")</f>
        <v>55.542923//38.079914</v>
      </c>
      <c r="L198" s="5" t="s">
        <v>56</v>
      </c>
      <c r="M198" s="5" t="s">
        <v>331</v>
      </c>
      <c r="N198" s="5" t="s">
        <v>187</v>
      </c>
      <c r="O198" s="5" t="s">
        <v>3782</v>
      </c>
      <c r="P198" s="5">
        <v>8</v>
      </c>
      <c r="Q198" s="5">
        <v>48</v>
      </c>
      <c r="R198" s="5">
        <v>44</v>
      </c>
      <c r="S198" s="5">
        <v>100.627</v>
      </c>
      <c r="T198" s="5" t="s">
        <v>12</v>
      </c>
      <c r="U198" s="5" t="s">
        <v>12</v>
      </c>
      <c r="V198" s="5" t="s">
        <v>12</v>
      </c>
      <c r="W198" s="5">
        <v>4.1900000000000004</v>
      </c>
      <c r="X198" s="5">
        <v>54.62</v>
      </c>
      <c r="Y198" s="5">
        <v>99</v>
      </c>
      <c r="Z198" s="5" t="s">
        <v>1586</v>
      </c>
      <c r="AA198" s="5" t="s">
        <v>1548</v>
      </c>
      <c r="AB198" s="5" t="s">
        <v>19</v>
      </c>
      <c r="AC198" s="5" t="s">
        <v>19</v>
      </c>
      <c r="AD198" s="5" t="s">
        <v>19</v>
      </c>
      <c r="AE198" s="5" t="s">
        <v>1689</v>
      </c>
      <c r="AF198" s="5" t="s">
        <v>12</v>
      </c>
      <c r="AG198" s="5"/>
      <c r="AH198" s="5"/>
      <c r="AI198" s="5"/>
      <c r="AJ198" s="5"/>
      <c r="AK198" s="5"/>
      <c r="AL198" s="5" t="s">
        <v>12</v>
      </c>
      <c r="AM198" s="5" t="s">
        <v>12</v>
      </c>
      <c r="AN198" s="5" t="s">
        <v>12</v>
      </c>
      <c r="AO198" s="5" t="s">
        <v>69</v>
      </c>
      <c r="AP198" s="5" t="s">
        <v>68</v>
      </c>
      <c r="AQ198" s="5" t="s">
        <v>99</v>
      </c>
      <c r="AR198" s="5" t="s">
        <v>275</v>
      </c>
    </row>
    <row r="199" spans="1:44" ht="31.5" x14ac:dyDescent="0.25">
      <c r="A199" s="10">
        <v>46096</v>
      </c>
      <c r="B199" s="5" t="s">
        <v>1045</v>
      </c>
      <c r="C199" s="5" t="s">
        <v>2469</v>
      </c>
      <c r="D199" s="5" t="s">
        <v>11</v>
      </c>
      <c r="E199" s="5" t="s">
        <v>11</v>
      </c>
      <c r="F199" s="5" t="s">
        <v>11</v>
      </c>
      <c r="G199" s="5" t="s">
        <v>3783</v>
      </c>
      <c r="H199" s="5" t="s">
        <v>3784</v>
      </c>
      <c r="I199" s="6" t="str">
        <f>HYPERLINK("http://maps.yandex.ru/?ll=37.10811,56.1007&amp;spn=0.011598,0.004531&amp;z=17&amp;l=map&amp;pt=37.10811,56.1007", "56.10071//37.10811")</f>
        <v>56.10071//37.10811</v>
      </c>
      <c r="J199" s="5" t="s">
        <v>56</v>
      </c>
      <c r="K199" s="6" t="str">
        <f>HYPERLINK("http://maps.yandex.ru/?ll=37.107674,56.10074&amp;spn=0.011598,0.004531&amp;z=17&amp;l=map&amp;pt=37.107674,56.10074", "56.100746//37.107674")</f>
        <v>56.100746//37.107674</v>
      </c>
      <c r="L199" s="5" t="s">
        <v>56</v>
      </c>
      <c r="M199" s="5" t="s">
        <v>13</v>
      </c>
      <c r="N199" s="5" t="s">
        <v>58</v>
      </c>
      <c r="O199" s="5" t="s">
        <v>13</v>
      </c>
      <c r="P199" s="5">
        <v>0</v>
      </c>
      <c r="Q199" s="5">
        <v>100</v>
      </c>
      <c r="R199" s="5">
        <v>0</v>
      </c>
      <c r="S199" s="5">
        <v>2.4E-2</v>
      </c>
      <c r="T199" s="5" t="s">
        <v>12</v>
      </c>
      <c r="U199" s="5" t="s">
        <v>12</v>
      </c>
      <c r="V199" s="5" t="s">
        <v>12</v>
      </c>
      <c r="W199" s="5">
        <v>0</v>
      </c>
      <c r="X199" s="5">
        <v>3.09</v>
      </c>
      <c r="Y199" s="5">
        <v>4</v>
      </c>
      <c r="Z199" s="5" t="s">
        <v>12</v>
      </c>
      <c r="AA199" s="5" t="s">
        <v>12</v>
      </c>
      <c r="AB199" s="5" t="s">
        <v>12</v>
      </c>
      <c r="AC199" s="5" t="s">
        <v>12</v>
      </c>
      <c r="AD199" s="5" t="s">
        <v>12</v>
      </c>
      <c r="AE199" s="5" t="s">
        <v>12</v>
      </c>
      <c r="AF199" s="5" t="s">
        <v>12</v>
      </c>
      <c r="AG199" s="5"/>
      <c r="AH199" s="5"/>
      <c r="AI199" s="5"/>
      <c r="AJ199" s="5"/>
      <c r="AK199" s="5"/>
      <c r="AL199" s="5" t="s">
        <v>12</v>
      </c>
      <c r="AM199" s="5" t="s">
        <v>12</v>
      </c>
      <c r="AN199" s="5" t="s">
        <v>12</v>
      </c>
      <c r="AO199" s="5" t="s">
        <v>69</v>
      </c>
      <c r="AP199" s="5" t="s">
        <v>68</v>
      </c>
      <c r="AQ199" s="5" t="s">
        <v>407</v>
      </c>
      <c r="AR199" s="5" t="s">
        <v>407</v>
      </c>
    </row>
    <row r="200" spans="1:44" ht="31.5" x14ac:dyDescent="0.25">
      <c r="A200" s="10">
        <v>46096</v>
      </c>
      <c r="B200" s="5" t="s">
        <v>1044</v>
      </c>
      <c r="C200" s="5" t="s">
        <v>2470</v>
      </c>
      <c r="D200" s="5" t="s">
        <v>11</v>
      </c>
      <c r="E200" s="5" t="s">
        <v>11</v>
      </c>
      <c r="F200" s="5" t="s">
        <v>11</v>
      </c>
      <c r="G200" s="5" t="s">
        <v>3785</v>
      </c>
      <c r="H200" s="5" t="s">
        <v>3786</v>
      </c>
      <c r="I200" s="6" t="str">
        <f>HYPERLINK("http://maps.yandex.ru/?ll=41.994583,44.98221&amp;spn=0.011598,0.004531&amp;z=17&amp;l=map&amp;pt=41.994583,44.98221", "44.982216//41.994583")</f>
        <v>44.982216//41.994583</v>
      </c>
      <c r="J200" s="5" t="s">
        <v>208</v>
      </c>
      <c r="K200" s="6" t="str">
        <f>HYPERLINK("http://maps.yandex.ru/?ll=43.611885,43.5316&amp;spn=0.011598,0.004531&amp;z=17&amp;l=map&amp;pt=43.611885,43.5316", "43.53163//43.611885")</f>
        <v>43.53163//43.611885</v>
      </c>
      <c r="L200" s="5" t="s">
        <v>893</v>
      </c>
      <c r="M200" s="5" t="s">
        <v>814</v>
      </c>
      <c r="N200" s="5" t="s">
        <v>174</v>
      </c>
      <c r="O200" s="5" t="s">
        <v>534</v>
      </c>
      <c r="P200" s="5">
        <v>46</v>
      </c>
      <c r="Q200" s="5">
        <v>42</v>
      </c>
      <c r="R200" s="5">
        <v>12</v>
      </c>
      <c r="S200" s="5">
        <v>490.37299999999999</v>
      </c>
      <c r="T200" s="5" t="s">
        <v>12</v>
      </c>
      <c r="U200" s="5" t="s">
        <v>12</v>
      </c>
      <c r="V200" s="5" t="s">
        <v>12</v>
      </c>
      <c r="W200" s="5">
        <v>20.43</v>
      </c>
      <c r="X200" s="5">
        <v>44.68</v>
      </c>
      <c r="Y200" s="5">
        <v>151</v>
      </c>
      <c r="Z200" s="5" t="s">
        <v>1612</v>
      </c>
      <c r="AA200" s="5" t="s">
        <v>2471</v>
      </c>
      <c r="AB200" s="5" t="s">
        <v>19</v>
      </c>
      <c r="AC200" s="5" t="s">
        <v>19</v>
      </c>
      <c r="AD200" s="5" t="s">
        <v>19</v>
      </c>
      <c r="AE200" s="5" t="s">
        <v>1870</v>
      </c>
      <c r="AF200" s="5" t="s">
        <v>12</v>
      </c>
      <c r="AG200" s="5"/>
      <c r="AH200" s="5"/>
      <c r="AI200" s="5"/>
      <c r="AJ200" s="5"/>
      <c r="AK200" s="5"/>
      <c r="AL200" s="5" t="s">
        <v>12</v>
      </c>
      <c r="AM200" s="5" t="s">
        <v>12</v>
      </c>
      <c r="AN200" s="5" t="s">
        <v>12</v>
      </c>
      <c r="AO200" s="5" t="s">
        <v>69</v>
      </c>
      <c r="AP200" s="5" t="s">
        <v>68</v>
      </c>
      <c r="AQ200" s="5" t="s">
        <v>99</v>
      </c>
      <c r="AR200" s="5" t="s">
        <v>407</v>
      </c>
    </row>
    <row r="201" spans="1:44" ht="15.75" x14ac:dyDescent="0.25">
      <c r="A201" s="10">
        <v>46096</v>
      </c>
      <c r="B201" s="5" t="s">
        <v>1040</v>
      </c>
      <c r="C201" s="5" t="s">
        <v>2472</v>
      </c>
      <c r="D201" s="5" t="s">
        <v>11</v>
      </c>
      <c r="E201" s="5" t="s">
        <v>11</v>
      </c>
      <c r="F201" s="5" t="s">
        <v>11</v>
      </c>
      <c r="G201" s="5" t="s">
        <v>11</v>
      </c>
      <c r="H201" s="5" t="s">
        <v>11</v>
      </c>
      <c r="I201" s="6" t="str">
        <f>HYPERLINK("http://maps.yandex.ru/?ll=,&amp;spn=0.011598,0.004531&amp;z=17&amp;l=map&amp;pt=,", "")</f>
        <v/>
      </c>
      <c r="J201" s="5" t="s">
        <v>84</v>
      </c>
      <c r="K201" s="6" t="str">
        <f>HYPERLINK("http://maps.yandex.ru/?ll=,&amp;spn=0.011598,0.004531&amp;z=17&amp;l=map&amp;pt=,", "")</f>
        <v/>
      </c>
      <c r="L201" s="5" t="s">
        <v>84</v>
      </c>
      <c r="M201" s="5" t="s">
        <v>13</v>
      </c>
      <c r="N201" s="5" t="s">
        <v>13</v>
      </c>
      <c r="O201" s="5" t="s">
        <v>58</v>
      </c>
      <c r="P201" s="5">
        <v>0</v>
      </c>
      <c r="Q201" s="5">
        <v>0</v>
      </c>
      <c r="R201" s="5">
        <v>100</v>
      </c>
      <c r="S201" s="5">
        <v>0</v>
      </c>
      <c r="T201" s="5" t="s">
        <v>12</v>
      </c>
      <c r="U201" s="5" t="s">
        <v>12</v>
      </c>
      <c r="V201" s="5" t="s">
        <v>12</v>
      </c>
      <c r="W201" s="5">
        <v>0</v>
      </c>
      <c r="X201" s="5">
        <v>0</v>
      </c>
      <c r="Y201" s="5">
        <v>0</v>
      </c>
      <c r="Z201" s="5" t="s">
        <v>12</v>
      </c>
      <c r="AA201" s="5" t="s">
        <v>12</v>
      </c>
      <c r="AB201" s="5" t="s">
        <v>19</v>
      </c>
      <c r="AC201" s="5" t="s">
        <v>19</v>
      </c>
      <c r="AD201" s="5" t="s">
        <v>19</v>
      </c>
      <c r="AE201" s="5" t="s">
        <v>12</v>
      </c>
      <c r="AF201" s="5" t="s">
        <v>12</v>
      </c>
      <c r="AG201" s="5"/>
      <c r="AH201" s="5"/>
      <c r="AI201" s="5"/>
      <c r="AJ201" s="5"/>
      <c r="AK201" s="5"/>
      <c r="AL201" s="5" t="s">
        <v>12</v>
      </c>
      <c r="AM201" s="5" t="s">
        <v>12</v>
      </c>
      <c r="AN201" s="5" t="s">
        <v>12</v>
      </c>
      <c r="AO201" s="5" t="s">
        <v>69</v>
      </c>
      <c r="AP201" s="5" t="s">
        <v>68</v>
      </c>
      <c r="AQ201" s="5" t="s">
        <v>99</v>
      </c>
      <c r="AR201" s="5" t="s">
        <v>98</v>
      </c>
    </row>
    <row r="202" spans="1:44" ht="15.75" x14ac:dyDescent="0.25">
      <c r="A202" s="10">
        <v>46096</v>
      </c>
      <c r="B202" s="5" t="s">
        <v>1039</v>
      </c>
      <c r="C202" s="5" t="s">
        <v>2473</v>
      </c>
      <c r="D202" s="5" t="s">
        <v>11</v>
      </c>
      <c r="E202" s="5" t="s">
        <v>11</v>
      </c>
      <c r="F202" s="5" t="s">
        <v>11</v>
      </c>
      <c r="G202" s="5" t="s">
        <v>11</v>
      </c>
      <c r="H202" s="5" t="s">
        <v>11</v>
      </c>
      <c r="I202" s="6" t="str">
        <f>HYPERLINK("http://maps.yandex.ru/?ll=,&amp;spn=0.011598,0.004531&amp;z=17&amp;l=map&amp;pt=,", "")</f>
        <v/>
      </c>
      <c r="J202" s="5" t="s">
        <v>84</v>
      </c>
      <c r="K202" s="6" t="str">
        <f>HYPERLINK("http://maps.yandex.ru/?ll=,&amp;spn=0.011598,0.004531&amp;z=17&amp;l=map&amp;pt=,", "")</f>
        <v/>
      </c>
      <c r="L202" s="5" t="s">
        <v>84</v>
      </c>
      <c r="M202" s="5" t="s">
        <v>13</v>
      </c>
      <c r="N202" s="5" t="s">
        <v>13</v>
      </c>
      <c r="O202" s="5" t="s">
        <v>58</v>
      </c>
      <c r="P202" s="5">
        <v>0</v>
      </c>
      <c r="Q202" s="5">
        <v>0</v>
      </c>
      <c r="R202" s="5">
        <v>100</v>
      </c>
      <c r="S202" s="5">
        <v>0</v>
      </c>
      <c r="T202" s="5" t="s">
        <v>12</v>
      </c>
      <c r="U202" s="5" t="s">
        <v>12</v>
      </c>
      <c r="V202" s="5" t="s">
        <v>12</v>
      </c>
      <c r="W202" s="5">
        <v>0</v>
      </c>
      <c r="X202" s="5">
        <v>0</v>
      </c>
      <c r="Y202" s="5">
        <v>0</v>
      </c>
      <c r="Z202" s="5" t="s">
        <v>12</v>
      </c>
      <c r="AA202" s="5" t="s">
        <v>12</v>
      </c>
      <c r="AB202" s="5" t="s">
        <v>19</v>
      </c>
      <c r="AC202" s="5" t="s">
        <v>19</v>
      </c>
      <c r="AD202" s="5" t="s">
        <v>19</v>
      </c>
      <c r="AE202" s="5" t="s">
        <v>12</v>
      </c>
      <c r="AF202" s="5" t="s">
        <v>12</v>
      </c>
      <c r="AG202" s="5"/>
      <c r="AH202" s="5"/>
      <c r="AI202" s="5"/>
      <c r="AJ202" s="5"/>
      <c r="AK202" s="5"/>
      <c r="AL202" s="5" t="s">
        <v>12</v>
      </c>
      <c r="AM202" s="5" t="s">
        <v>12</v>
      </c>
      <c r="AN202" s="5" t="s">
        <v>12</v>
      </c>
      <c r="AO202" s="5" t="s">
        <v>69</v>
      </c>
      <c r="AP202" s="5" t="s">
        <v>68</v>
      </c>
      <c r="AQ202" s="5" t="s">
        <v>99</v>
      </c>
      <c r="AR202" s="5" t="s">
        <v>98</v>
      </c>
    </row>
    <row r="203" spans="1:44" ht="15.75" x14ac:dyDescent="0.25">
      <c r="A203" s="10">
        <v>46096</v>
      </c>
      <c r="B203" s="5" t="s">
        <v>1038</v>
      </c>
      <c r="C203" s="5" t="s">
        <v>2474</v>
      </c>
      <c r="D203" s="5" t="s">
        <v>11</v>
      </c>
      <c r="E203" s="5" t="s">
        <v>4</v>
      </c>
      <c r="F203" s="5" t="s">
        <v>4</v>
      </c>
      <c r="G203" s="5" t="s">
        <v>11</v>
      </c>
      <c r="H203" s="5" t="s">
        <v>11</v>
      </c>
      <c r="I203" s="6" t="str">
        <f>HYPERLINK("http://maps.yandex.ru/?ll=,&amp;spn=0.011598,0.004531&amp;z=17&amp;l=map&amp;pt=,", "")</f>
        <v/>
      </c>
      <c r="J203" s="5" t="s">
        <v>84</v>
      </c>
      <c r="K203" s="6" t="str">
        <f>HYPERLINK("http://maps.yandex.ru/?ll=,&amp;spn=0.011598,0.004531&amp;z=17&amp;l=map&amp;pt=,", "")</f>
        <v/>
      </c>
      <c r="L203" s="5" t="s">
        <v>84</v>
      </c>
      <c r="M203" s="5" t="s">
        <v>13</v>
      </c>
      <c r="N203" s="5" t="s">
        <v>980</v>
      </c>
      <c r="O203" s="5" t="s">
        <v>3122</v>
      </c>
      <c r="P203" s="5">
        <v>0</v>
      </c>
      <c r="Q203" s="5">
        <v>22</v>
      </c>
      <c r="R203" s="5">
        <v>78</v>
      </c>
      <c r="S203" s="5">
        <v>0</v>
      </c>
      <c r="T203" s="5" t="s">
        <v>12</v>
      </c>
      <c r="U203" s="5" t="s">
        <v>12</v>
      </c>
      <c r="V203" s="5" t="s">
        <v>12</v>
      </c>
      <c r="W203" s="5">
        <v>0</v>
      </c>
      <c r="X203" s="5">
        <v>0</v>
      </c>
      <c r="Y203" s="5">
        <v>0</v>
      </c>
      <c r="Z203" s="5" t="s">
        <v>1948</v>
      </c>
      <c r="AA203" s="5" t="s">
        <v>2041</v>
      </c>
      <c r="AB203" s="5" t="s">
        <v>19</v>
      </c>
      <c r="AC203" s="5" t="s">
        <v>19</v>
      </c>
      <c r="AD203" s="5" t="s">
        <v>19</v>
      </c>
      <c r="AE203" s="5" t="s">
        <v>1689</v>
      </c>
      <c r="AF203" s="5" t="s">
        <v>12</v>
      </c>
      <c r="AG203" s="5"/>
      <c r="AH203" s="5"/>
      <c r="AI203" s="5"/>
      <c r="AJ203" s="5"/>
      <c r="AK203" s="5"/>
      <c r="AL203" s="5" t="s">
        <v>12</v>
      </c>
      <c r="AM203" s="5" t="s">
        <v>12</v>
      </c>
      <c r="AN203" s="5" t="s">
        <v>12</v>
      </c>
      <c r="AO203" s="5" t="s">
        <v>69</v>
      </c>
      <c r="AP203" s="5" t="s">
        <v>68</v>
      </c>
      <c r="AQ203" s="5" t="s">
        <v>99</v>
      </c>
      <c r="AR203" s="5" t="s">
        <v>98</v>
      </c>
    </row>
    <row r="204" spans="1:44" ht="31.5" x14ac:dyDescent="0.25">
      <c r="A204" s="10">
        <v>46096</v>
      </c>
      <c r="B204" s="5" t="s">
        <v>1037</v>
      </c>
      <c r="C204" s="5" t="s">
        <v>2475</v>
      </c>
      <c r="D204" s="5" t="s">
        <v>11</v>
      </c>
      <c r="E204" s="5" t="s">
        <v>0</v>
      </c>
      <c r="F204" s="5" t="s">
        <v>0</v>
      </c>
      <c r="G204" s="5" t="s">
        <v>3787</v>
      </c>
      <c r="H204" s="5" t="s">
        <v>3788</v>
      </c>
      <c r="I204" s="6" t="str">
        <f>HYPERLINK("http://maps.yandex.ru/?ll=46.19073,51.4516&amp;spn=0.011598,0.004531&amp;z=17&amp;l=map&amp;pt=46.19073,51.4516", "51.45161//46.19073")</f>
        <v>51.45161//46.19073</v>
      </c>
      <c r="J204" s="5" t="s">
        <v>213</v>
      </c>
      <c r="K204" s="6" t="str">
        <f>HYPERLINK("http://maps.yandex.ru/?ll=43.459976,53.65520&amp;spn=0.011598,0.004531&amp;z=17&amp;l=map&amp;pt=43.459976,53.65520", "53.655205//43.459976")</f>
        <v>53.655205//43.459976</v>
      </c>
      <c r="L204" s="5" t="s">
        <v>94</v>
      </c>
      <c r="M204" s="5" t="s">
        <v>1428</v>
      </c>
      <c r="N204" s="5" t="s">
        <v>711</v>
      </c>
      <c r="O204" s="5" t="s">
        <v>3789</v>
      </c>
      <c r="P204" s="5">
        <v>21</v>
      </c>
      <c r="Q204" s="5">
        <v>57</v>
      </c>
      <c r="R204" s="5">
        <v>22</v>
      </c>
      <c r="S204" s="5">
        <v>367.32900000000001</v>
      </c>
      <c r="T204" s="5" t="s">
        <v>12</v>
      </c>
      <c r="U204" s="5" t="s">
        <v>12</v>
      </c>
      <c r="V204" s="5" t="s">
        <v>12</v>
      </c>
      <c r="W204" s="5">
        <v>15.31</v>
      </c>
      <c r="X204" s="5">
        <v>71.87</v>
      </c>
      <c r="Y204" s="5">
        <v>103</v>
      </c>
      <c r="Z204" s="5" t="s">
        <v>1919</v>
      </c>
      <c r="AA204" s="5" t="s">
        <v>1896</v>
      </c>
      <c r="AB204" s="5" t="s">
        <v>19</v>
      </c>
      <c r="AC204" s="5" t="s">
        <v>19</v>
      </c>
      <c r="AD204" s="5" t="s">
        <v>19</v>
      </c>
      <c r="AE204" s="5" t="s">
        <v>1695</v>
      </c>
      <c r="AF204" s="5" t="s">
        <v>12</v>
      </c>
      <c r="AG204" s="5"/>
      <c r="AH204" s="5"/>
      <c r="AI204" s="5"/>
      <c r="AJ204" s="5"/>
      <c r="AK204" s="5"/>
      <c r="AL204" s="5" t="s">
        <v>19</v>
      </c>
      <c r="AM204" s="5" t="s">
        <v>19</v>
      </c>
      <c r="AN204" s="5" t="s">
        <v>19</v>
      </c>
      <c r="AO204" s="5" t="s">
        <v>69</v>
      </c>
      <c r="AP204" s="5" t="s">
        <v>68</v>
      </c>
      <c r="AQ204" s="5" t="s">
        <v>99</v>
      </c>
      <c r="AR204" s="5" t="s">
        <v>98</v>
      </c>
    </row>
    <row r="205" spans="1:44" ht="31.5" x14ac:dyDescent="0.25">
      <c r="A205" s="10">
        <v>46096</v>
      </c>
      <c r="B205" s="5" t="s">
        <v>1036</v>
      </c>
      <c r="C205" s="5" t="s">
        <v>2476</v>
      </c>
      <c r="D205" s="5" t="s">
        <v>11</v>
      </c>
      <c r="E205" s="5" t="s">
        <v>0</v>
      </c>
      <c r="F205" s="5" t="s">
        <v>0</v>
      </c>
      <c r="G205" s="5" t="s">
        <v>3103</v>
      </c>
      <c r="H205" s="5" t="s">
        <v>3790</v>
      </c>
      <c r="I205" s="6" t="str">
        <f>HYPERLINK("http://maps.yandex.ru/?ll=36.809372,53.4353&amp;spn=0.011598,0.004531&amp;z=17&amp;l=map&amp;pt=36.809372,53.4353", "53.43536//36.809372")</f>
        <v>53.43536//36.809372</v>
      </c>
      <c r="J205" s="5" t="s">
        <v>168</v>
      </c>
      <c r="K205" s="6" t="str">
        <f>HYPERLINK("http://maps.yandex.ru/?ll=39.21274,51.84475&amp;spn=0.011598,0.004531&amp;z=17&amp;l=map&amp;pt=39.21274,51.84475", "51.844757//39.21274")</f>
        <v>51.844757//39.21274</v>
      </c>
      <c r="L205" s="5" t="s">
        <v>101</v>
      </c>
      <c r="M205" s="5" t="s">
        <v>1034</v>
      </c>
      <c r="N205" s="5" t="s">
        <v>171</v>
      </c>
      <c r="O205" s="5" t="s">
        <v>470</v>
      </c>
      <c r="P205" s="5">
        <v>24</v>
      </c>
      <c r="Q205" s="5">
        <v>64</v>
      </c>
      <c r="R205" s="5">
        <v>12</v>
      </c>
      <c r="S205" s="5">
        <v>397.49900000000002</v>
      </c>
      <c r="T205" s="5" t="s">
        <v>12</v>
      </c>
      <c r="U205" s="5" t="s">
        <v>12</v>
      </c>
      <c r="V205" s="5" t="s">
        <v>12</v>
      </c>
      <c r="W205" s="5">
        <v>16.559999999999999</v>
      </c>
      <c r="X205" s="5">
        <v>67.73</v>
      </c>
      <c r="Y205" s="5">
        <v>110</v>
      </c>
      <c r="Z205" s="5" t="s">
        <v>1986</v>
      </c>
      <c r="AA205" s="5" t="s">
        <v>1986</v>
      </c>
      <c r="AB205" s="5" t="s">
        <v>19</v>
      </c>
      <c r="AC205" s="5" t="s">
        <v>19</v>
      </c>
      <c r="AD205" s="5" t="s">
        <v>19</v>
      </c>
      <c r="AE205" s="5" t="s">
        <v>19</v>
      </c>
      <c r="AF205" s="5" t="s">
        <v>12</v>
      </c>
      <c r="AG205" s="5"/>
      <c r="AH205" s="5"/>
      <c r="AI205" s="5"/>
      <c r="AJ205" s="5"/>
      <c r="AK205" s="5"/>
      <c r="AL205" s="5" t="s">
        <v>12</v>
      </c>
      <c r="AM205" s="5" t="s">
        <v>12</v>
      </c>
      <c r="AN205" s="5" t="s">
        <v>12</v>
      </c>
      <c r="AO205" s="5" t="s">
        <v>115</v>
      </c>
      <c r="AP205" s="5" t="s">
        <v>114</v>
      </c>
      <c r="AQ205" s="5" t="s">
        <v>99</v>
      </c>
      <c r="AR205" s="5" t="s">
        <v>98</v>
      </c>
    </row>
    <row r="206" spans="1:44" ht="31.5" x14ac:dyDescent="0.25">
      <c r="A206" s="10">
        <v>46096</v>
      </c>
      <c r="B206" s="5" t="s">
        <v>1035</v>
      </c>
      <c r="C206" s="5" t="s">
        <v>2477</v>
      </c>
      <c r="D206" s="5" t="s">
        <v>11</v>
      </c>
      <c r="E206" s="5" t="s">
        <v>8</v>
      </c>
      <c r="F206" s="5" t="s">
        <v>8</v>
      </c>
      <c r="G206" s="5" t="s">
        <v>3791</v>
      </c>
      <c r="H206" s="5" t="s">
        <v>3792</v>
      </c>
      <c r="I206" s="6" t="str">
        <f>HYPERLINK("http://maps.yandex.ru/?ll=38.649597,45.11520&amp;spn=0.011598,0.004531&amp;z=17&amp;l=map&amp;pt=38.649597,45.11520", "45.115208//38.649597")</f>
        <v>45.115208//38.649597</v>
      </c>
      <c r="J206" s="5" t="s">
        <v>88</v>
      </c>
      <c r="K206" s="6" t="str">
        <f>HYPERLINK("http://maps.yandex.ru/?ll=39.67228,46.58030&amp;spn=0.011598,0.004531&amp;z=17&amp;l=map&amp;pt=39.67228,46.58030", "46.580307//39.67228")</f>
        <v>46.580307//39.67228</v>
      </c>
      <c r="L206" s="5" t="s">
        <v>88</v>
      </c>
      <c r="M206" s="5" t="s">
        <v>3793</v>
      </c>
      <c r="N206" s="5" t="s">
        <v>1498</v>
      </c>
      <c r="O206" s="5" t="s">
        <v>3794</v>
      </c>
      <c r="P206" s="5">
        <v>42</v>
      </c>
      <c r="Q206" s="5">
        <v>52</v>
      </c>
      <c r="R206" s="5">
        <v>6</v>
      </c>
      <c r="S206" s="5">
        <v>552.02099999999996</v>
      </c>
      <c r="T206" s="5" t="s">
        <v>12</v>
      </c>
      <c r="U206" s="5" t="s">
        <v>12</v>
      </c>
      <c r="V206" s="5" t="s">
        <v>12</v>
      </c>
      <c r="W206" s="5">
        <v>23</v>
      </c>
      <c r="X206" s="5">
        <v>54.78</v>
      </c>
      <c r="Y206" s="5">
        <v>122</v>
      </c>
      <c r="Z206" s="5" t="s">
        <v>1489</v>
      </c>
      <c r="AA206" s="5" t="s">
        <v>2352</v>
      </c>
      <c r="AB206" s="5" t="s">
        <v>19</v>
      </c>
      <c r="AC206" s="5" t="s">
        <v>19</v>
      </c>
      <c r="AD206" s="5" t="s">
        <v>19</v>
      </c>
      <c r="AE206" s="5" t="s">
        <v>2361</v>
      </c>
      <c r="AF206" s="5" t="s">
        <v>12</v>
      </c>
      <c r="AG206" s="5"/>
      <c r="AH206" s="5"/>
      <c r="AI206" s="5"/>
      <c r="AJ206" s="5"/>
      <c r="AK206" s="5"/>
      <c r="AL206" s="5" t="s">
        <v>2478</v>
      </c>
      <c r="AM206" s="5" t="s">
        <v>3795</v>
      </c>
      <c r="AN206" s="5" t="s">
        <v>1746</v>
      </c>
      <c r="AO206" s="5" t="s">
        <v>115</v>
      </c>
      <c r="AP206" s="5" t="s">
        <v>114</v>
      </c>
      <c r="AQ206" s="5" t="s">
        <v>99</v>
      </c>
      <c r="AR206" s="5" t="s">
        <v>98</v>
      </c>
    </row>
    <row r="207" spans="1:44" ht="31.5" x14ac:dyDescent="0.25">
      <c r="A207" s="10">
        <v>46096</v>
      </c>
      <c r="B207" s="5" t="s">
        <v>1033</v>
      </c>
      <c r="C207" s="5" t="s">
        <v>2479</v>
      </c>
      <c r="D207" s="5" t="s">
        <v>11</v>
      </c>
      <c r="E207" s="5" t="s">
        <v>6</v>
      </c>
      <c r="F207" s="5" t="s">
        <v>6</v>
      </c>
      <c r="G207" s="5" t="s">
        <v>3796</v>
      </c>
      <c r="H207" s="5" t="s">
        <v>3797</v>
      </c>
      <c r="I207" s="6" t="str">
        <f>HYPERLINK("http://maps.yandex.ru/?ll=40.437042,50.13731&amp;spn=0.011598,0.004531&amp;z=17&amp;l=map&amp;pt=40.437042,50.13731", "50.137314//40.437042")</f>
        <v>50.137314//40.437042</v>
      </c>
      <c r="J207" s="5" t="s">
        <v>101</v>
      </c>
      <c r="K207" s="6" t="str">
        <f>HYPERLINK("http://maps.yandex.ru/?ll=36.676994,56.27757&amp;spn=0.011598,0.004531&amp;z=17&amp;l=map&amp;pt=36.676994,56.27757", "56.277573//36.676994")</f>
        <v>56.277573//36.676994</v>
      </c>
      <c r="L207" s="5" t="s">
        <v>56</v>
      </c>
      <c r="M207" s="5" t="s">
        <v>3798</v>
      </c>
      <c r="N207" s="5" t="s">
        <v>3760</v>
      </c>
      <c r="O207" s="5" t="s">
        <v>651</v>
      </c>
      <c r="P207" s="5">
        <v>46</v>
      </c>
      <c r="Q207" s="5">
        <v>47</v>
      </c>
      <c r="R207" s="5">
        <v>6</v>
      </c>
      <c r="S207" s="5">
        <v>873.37900000000002</v>
      </c>
      <c r="T207" s="5" t="s">
        <v>12</v>
      </c>
      <c r="U207" s="5" t="s">
        <v>12</v>
      </c>
      <c r="V207" s="5" t="s">
        <v>12</v>
      </c>
      <c r="W207" s="5">
        <v>36.39</v>
      </c>
      <c r="X207" s="5">
        <v>78.28</v>
      </c>
      <c r="Y207" s="5">
        <v>129</v>
      </c>
      <c r="Z207" s="5" t="s">
        <v>1796</v>
      </c>
      <c r="AA207" s="5" t="s">
        <v>1907</v>
      </c>
      <c r="AB207" s="5" t="s">
        <v>19</v>
      </c>
      <c r="AC207" s="5" t="s">
        <v>19</v>
      </c>
      <c r="AD207" s="5" t="s">
        <v>19</v>
      </c>
      <c r="AE207" s="5" t="s">
        <v>3008</v>
      </c>
      <c r="AF207" s="5" t="s">
        <v>12</v>
      </c>
      <c r="AG207" s="5"/>
      <c r="AH207" s="5"/>
      <c r="AI207" s="5"/>
      <c r="AJ207" s="5"/>
      <c r="AK207" s="5"/>
      <c r="AL207" s="5" t="s">
        <v>12</v>
      </c>
      <c r="AM207" s="5" t="s">
        <v>12</v>
      </c>
      <c r="AN207" s="5" t="s">
        <v>12</v>
      </c>
      <c r="AO207" s="5" t="s">
        <v>115</v>
      </c>
      <c r="AP207" s="5" t="s">
        <v>114</v>
      </c>
      <c r="AQ207" s="5" t="s">
        <v>99</v>
      </c>
      <c r="AR207" s="5" t="s">
        <v>98</v>
      </c>
    </row>
    <row r="208" spans="1:44" ht="31.5" x14ac:dyDescent="0.25">
      <c r="A208" s="10">
        <v>46096</v>
      </c>
      <c r="B208" s="5" t="s">
        <v>1094</v>
      </c>
      <c r="C208" s="5" t="s">
        <v>2480</v>
      </c>
      <c r="D208" s="5" t="s">
        <v>11</v>
      </c>
      <c r="E208" s="5" t="s">
        <v>0</v>
      </c>
      <c r="F208" s="5" t="s">
        <v>0</v>
      </c>
      <c r="G208" s="5" t="s">
        <v>3799</v>
      </c>
      <c r="H208" s="5" t="s">
        <v>3800</v>
      </c>
      <c r="I208" s="6" t="str">
        <f>HYPERLINK("http://maps.yandex.ru/?ll=40.85897,47.50950&amp;spn=0.011598,0.004531&amp;z=17&amp;l=map&amp;pt=40.85897,47.50950", "47.509502//40.85897")</f>
        <v>47.509502//40.85897</v>
      </c>
      <c r="J208" s="5" t="s">
        <v>64</v>
      </c>
      <c r="K208" s="6" t="str">
        <f>HYPERLINK("http://maps.yandex.ru/?ll=39.059536,45.04934&amp;spn=0.011598,0.004531&amp;z=17&amp;l=map&amp;pt=39.059536,45.04934", "45.049347//39.059536")</f>
        <v>45.049347//39.059536</v>
      </c>
      <c r="L208" s="5" t="s">
        <v>88</v>
      </c>
      <c r="M208" s="5" t="s">
        <v>327</v>
      </c>
      <c r="N208" s="5" t="s">
        <v>868</v>
      </c>
      <c r="O208" s="5" t="s">
        <v>647</v>
      </c>
      <c r="P208" s="5">
        <v>18</v>
      </c>
      <c r="Q208" s="5">
        <v>65</v>
      </c>
      <c r="R208" s="5">
        <v>17</v>
      </c>
      <c r="S208" s="5">
        <v>299.79599999999999</v>
      </c>
      <c r="T208" s="5" t="s">
        <v>1601</v>
      </c>
      <c r="U208" s="5" t="s">
        <v>3801</v>
      </c>
      <c r="V208" s="5" t="s">
        <v>3802</v>
      </c>
      <c r="W208" s="5">
        <v>12.49</v>
      </c>
      <c r="X208" s="5">
        <v>69.010000000000005</v>
      </c>
      <c r="Y208" s="5">
        <v>110</v>
      </c>
      <c r="Z208" s="5" t="s">
        <v>276</v>
      </c>
      <c r="AA208" s="5" t="s">
        <v>3803</v>
      </c>
      <c r="AB208" s="5" t="s">
        <v>1584</v>
      </c>
      <c r="AC208" s="5" t="s">
        <v>1673</v>
      </c>
      <c r="AD208" s="5" t="s">
        <v>19</v>
      </c>
      <c r="AE208" s="5" t="s">
        <v>2467</v>
      </c>
      <c r="AF208" s="5" t="s">
        <v>3804</v>
      </c>
      <c r="AG208" s="5">
        <v>114</v>
      </c>
      <c r="AH208" s="5">
        <v>0</v>
      </c>
      <c r="AI208" s="5">
        <v>114</v>
      </c>
      <c r="AJ208" s="5">
        <v>31.32</v>
      </c>
      <c r="AK208" s="5">
        <v>31.32</v>
      </c>
      <c r="AL208" s="5" t="s">
        <v>12</v>
      </c>
      <c r="AM208" s="5" t="s">
        <v>12</v>
      </c>
      <c r="AN208" s="5" t="s">
        <v>12</v>
      </c>
      <c r="AO208" s="5" t="s">
        <v>11</v>
      </c>
      <c r="AP208" s="5" t="s">
        <v>11</v>
      </c>
      <c r="AQ208" s="5" t="s">
        <v>18</v>
      </c>
      <c r="AR208" s="5" t="s">
        <v>17</v>
      </c>
    </row>
    <row r="209" spans="1:44" ht="15.75" x14ac:dyDescent="0.25">
      <c r="A209" s="10">
        <v>46096</v>
      </c>
      <c r="B209" s="5" t="s">
        <v>1018</v>
      </c>
      <c r="C209" s="5" t="s">
        <v>2482</v>
      </c>
      <c r="D209" s="5" t="s">
        <v>11</v>
      </c>
      <c r="E209" s="5" t="s">
        <v>1</v>
      </c>
      <c r="F209" s="5" t="s">
        <v>1</v>
      </c>
      <c r="G209" s="5" t="s">
        <v>11</v>
      </c>
      <c r="H209" s="5" t="s">
        <v>11</v>
      </c>
      <c r="I209" s="6" t="str">
        <f>HYPERLINK("http://maps.yandex.ru/?ll=,&amp;spn=0.011598,0.004531&amp;z=17&amp;l=map&amp;pt=,", "")</f>
        <v/>
      </c>
      <c r="J209" s="5" t="s">
        <v>84</v>
      </c>
      <c r="K209" s="6" t="str">
        <f>HYPERLINK("http://maps.yandex.ru/?ll=,&amp;spn=0.011598,0.004531&amp;z=17&amp;l=map&amp;pt=,", "")</f>
        <v/>
      </c>
      <c r="L209" s="5" t="s">
        <v>84</v>
      </c>
      <c r="M209" s="5" t="s">
        <v>13</v>
      </c>
      <c r="N209" s="5" t="s">
        <v>58</v>
      </c>
      <c r="O209" s="5" t="s">
        <v>13</v>
      </c>
      <c r="P209" s="5">
        <v>0</v>
      </c>
      <c r="Q209" s="5">
        <v>100</v>
      </c>
      <c r="R209" s="5">
        <v>0</v>
      </c>
      <c r="S209" s="5">
        <v>0</v>
      </c>
      <c r="T209" s="5" t="s">
        <v>1673</v>
      </c>
      <c r="U209" s="5" t="s">
        <v>3805</v>
      </c>
      <c r="V209" s="5" t="s">
        <v>2484</v>
      </c>
      <c r="W209" s="5">
        <v>0</v>
      </c>
      <c r="X209" s="5">
        <v>0</v>
      </c>
      <c r="Y209" s="5">
        <v>0</v>
      </c>
      <c r="Z209" s="5" t="s">
        <v>2279</v>
      </c>
      <c r="AA209" s="5" t="s">
        <v>2888</v>
      </c>
      <c r="AB209" s="5" t="s">
        <v>19</v>
      </c>
      <c r="AC209" s="5" t="s">
        <v>19</v>
      </c>
      <c r="AD209" s="5" t="s">
        <v>19</v>
      </c>
      <c r="AE209" s="5" t="s">
        <v>1886</v>
      </c>
      <c r="AF209" s="5" t="s">
        <v>12</v>
      </c>
      <c r="AG209" s="5">
        <v>23</v>
      </c>
      <c r="AH209" s="5">
        <v>23</v>
      </c>
      <c r="AI209" s="5">
        <v>0</v>
      </c>
      <c r="AJ209" s="5">
        <v>2300</v>
      </c>
      <c r="AK209" s="5">
        <v>0</v>
      </c>
      <c r="AL209" s="5" t="s">
        <v>12</v>
      </c>
      <c r="AM209" s="5" t="s">
        <v>12</v>
      </c>
      <c r="AN209" s="5" t="s">
        <v>12</v>
      </c>
      <c r="AO209" s="5" t="s">
        <v>11</v>
      </c>
      <c r="AP209" s="5" t="s">
        <v>11</v>
      </c>
      <c r="AQ209" s="5" t="s">
        <v>384</v>
      </c>
      <c r="AR209" s="5" t="s">
        <v>383</v>
      </c>
    </row>
    <row r="210" spans="1:44" ht="31.5" x14ac:dyDescent="0.25">
      <c r="A210" s="10">
        <v>46096</v>
      </c>
      <c r="B210" s="5" t="s">
        <v>1017</v>
      </c>
      <c r="C210" s="5" t="s">
        <v>2485</v>
      </c>
      <c r="D210" s="5" t="s">
        <v>11</v>
      </c>
      <c r="E210" s="5" t="s">
        <v>0</v>
      </c>
      <c r="F210" s="5" t="s">
        <v>0</v>
      </c>
      <c r="G210" s="5" t="s">
        <v>3806</v>
      </c>
      <c r="H210" s="5" t="s">
        <v>3807</v>
      </c>
      <c r="I210" s="6" t="str">
        <f>HYPERLINK("http://maps.yandex.ru/?ll=37.66573,55.33827&amp;spn=0.011598,0.004531&amp;z=17&amp;l=map&amp;pt=37.66573,55.33827", "55.338276//37.66573")</f>
        <v>55.338276//37.66573</v>
      </c>
      <c r="J210" s="5" t="s">
        <v>56</v>
      </c>
      <c r="K210" s="6" t="str">
        <f>HYPERLINK("http://maps.yandex.ru/?ll=39.176537,52.09790&amp;spn=0.011598,0.004531&amp;z=17&amp;l=map&amp;pt=39.176537,52.09790", "52.097908//39.176537")</f>
        <v>52.097908//39.176537</v>
      </c>
      <c r="L210" s="5" t="s">
        <v>151</v>
      </c>
      <c r="M210" s="5" t="s">
        <v>595</v>
      </c>
      <c r="N210" s="5" t="s">
        <v>3442</v>
      </c>
      <c r="O210" s="5" t="s">
        <v>3098</v>
      </c>
      <c r="P210" s="5">
        <v>19</v>
      </c>
      <c r="Q210" s="5">
        <v>58</v>
      </c>
      <c r="R210" s="5">
        <v>23</v>
      </c>
      <c r="S210" s="5">
        <v>353.416</v>
      </c>
      <c r="T210" s="5" t="s">
        <v>12</v>
      </c>
      <c r="U210" s="5" t="s">
        <v>12</v>
      </c>
      <c r="V210" s="5" t="s">
        <v>12</v>
      </c>
      <c r="W210" s="5">
        <v>14.73</v>
      </c>
      <c r="X210" s="5">
        <v>78.58</v>
      </c>
      <c r="Y210" s="5">
        <v>133</v>
      </c>
      <c r="Z210" s="5" t="s">
        <v>2487</v>
      </c>
      <c r="AA210" s="5" t="s">
        <v>2321</v>
      </c>
      <c r="AB210" s="5" t="s">
        <v>1727</v>
      </c>
      <c r="AC210" s="5" t="s">
        <v>1673</v>
      </c>
      <c r="AD210" s="5" t="s">
        <v>19</v>
      </c>
      <c r="AE210" s="5" t="s">
        <v>1807</v>
      </c>
      <c r="AF210" s="5" t="s">
        <v>12</v>
      </c>
      <c r="AG210" s="5"/>
      <c r="AH210" s="5"/>
      <c r="AI210" s="5"/>
      <c r="AJ210" s="5"/>
      <c r="AK210" s="5"/>
      <c r="AL210" s="5" t="s">
        <v>2488</v>
      </c>
      <c r="AM210" s="5" t="s">
        <v>3808</v>
      </c>
      <c r="AN210" s="5" t="s">
        <v>1673</v>
      </c>
      <c r="AO210" s="5" t="s">
        <v>115</v>
      </c>
      <c r="AP210" s="5" t="s">
        <v>114</v>
      </c>
      <c r="AQ210" s="5" t="s">
        <v>99</v>
      </c>
      <c r="AR210" s="5" t="s">
        <v>98</v>
      </c>
    </row>
    <row r="211" spans="1:44" ht="31.5" x14ac:dyDescent="0.25">
      <c r="A211" s="10">
        <v>46096</v>
      </c>
      <c r="B211" s="5" t="s">
        <v>1016</v>
      </c>
      <c r="C211" s="5" t="s">
        <v>2611</v>
      </c>
      <c r="D211" s="5" t="s">
        <v>11</v>
      </c>
      <c r="E211" s="5" t="s">
        <v>8</v>
      </c>
      <c r="F211" s="5" t="s">
        <v>8</v>
      </c>
      <c r="G211" s="5" t="s">
        <v>3809</v>
      </c>
      <c r="H211" s="5" t="s">
        <v>3810</v>
      </c>
      <c r="I211" s="6" t="str">
        <f>HYPERLINK("http://maps.yandex.ru/?ll=36.496895,45.3110&amp;spn=0.011598,0.004531&amp;z=17&amp;l=map&amp;pt=36.496895,45.3110", "45.31102//36.496895")</f>
        <v>45.31102//36.496895</v>
      </c>
      <c r="J211" s="5" t="s">
        <v>1360</v>
      </c>
      <c r="K211" s="6" t="str">
        <f>HYPERLINK("http://maps.yandex.ru/?ll=40.528263,49.82933&amp;spn=0.011598,0.004531&amp;z=17&amp;l=map&amp;pt=40.528263,49.82933", "49.829334//40.528263")</f>
        <v>49.829334//40.528263</v>
      </c>
      <c r="L211" s="5" t="s">
        <v>101</v>
      </c>
      <c r="M211" s="5" t="s">
        <v>1186</v>
      </c>
      <c r="N211" s="5" t="s">
        <v>172</v>
      </c>
      <c r="O211" s="5" t="s">
        <v>75</v>
      </c>
      <c r="P211" s="5">
        <v>28</v>
      </c>
      <c r="Q211" s="5">
        <v>26</v>
      </c>
      <c r="R211" s="5">
        <v>47</v>
      </c>
      <c r="S211" s="5">
        <v>515.96600000000001</v>
      </c>
      <c r="T211" s="5" t="s">
        <v>2792</v>
      </c>
      <c r="U211" s="5" t="s">
        <v>2612</v>
      </c>
      <c r="V211" s="5" t="s">
        <v>3811</v>
      </c>
      <c r="W211" s="5">
        <v>21.5</v>
      </c>
      <c r="X211" s="5">
        <v>77.84</v>
      </c>
      <c r="Y211" s="5">
        <v>155</v>
      </c>
      <c r="Z211" s="5" t="s">
        <v>2570</v>
      </c>
      <c r="AA211" s="5" t="s">
        <v>2157</v>
      </c>
      <c r="AB211" s="5" t="s">
        <v>2557</v>
      </c>
      <c r="AC211" s="5" t="s">
        <v>1673</v>
      </c>
      <c r="AD211" s="5" t="s">
        <v>19</v>
      </c>
      <c r="AE211" s="5" t="s">
        <v>1941</v>
      </c>
      <c r="AF211" s="5" t="s">
        <v>3812</v>
      </c>
      <c r="AG211" s="5">
        <v>268</v>
      </c>
      <c r="AH211" s="5">
        <v>7</v>
      </c>
      <c r="AI211" s="5">
        <v>261</v>
      </c>
      <c r="AJ211" s="5">
        <v>39.590000000000003</v>
      </c>
      <c r="AK211" s="5">
        <v>38.549999999999997</v>
      </c>
      <c r="AL211" s="5" t="s">
        <v>12</v>
      </c>
      <c r="AM211" s="5" t="s">
        <v>12</v>
      </c>
      <c r="AN211" s="5" t="s">
        <v>12</v>
      </c>
      <c r="AO211" s="5" t="s">
        <v>11</v>
      </c>
      <c r="AP211" s="5" t="s">
        <v>11</v>
      </c>
      <c r="AQ211" s="5" t="s">
        <v>123</v>
      </c>
      <c r="AR211" s="5" t="s">
        <v>122</v>
      </c>
    </row>
    <row r="212" spans="1:44" ht="31.5" x14ac:dyDescent="0.25">
      <c r="A212" s="10">
        <v>46096</v>
      </c>
      <c r="B212" s="5" t="s">
        <v>1015</v>
      </c>
      <c r="C212" s="5" t="s">
        <v>2614</v>
      </c>
      <c r="D212" s="5" t="s">
        <v>11</v>
      </c>
      <c r="E212" s="5" t="s">
        <v>0</v>
      </c>
      <c r="F212" s="5" t="s">
        <v>0</v>
      </c>
      <c r="G212" s="5" t="s">
        <v>3103</v>
      </c>
      <c r="H212" s="5" t="s">
        <v>3813</v>
      </c>
      <c r="I212" s="6" t="str">
        <f>HYPERLINK("http://maps.yandex.ru/?ll=37.149376,44.7987&amp;spn=0.011598,0.004531&amp;z=17&amp;l=map&amp;pt=37.149376,44.7987", "44.79871//37.149376")</f>
        <v>44.79871//37.149376</v>
      </c>
      <c r="J212" s="5" t="s">
        <v>88</v>
      </c>
      <c r="K212" s="6" t="str">
        <f>HYPERLINK("http://maps.yandex.ru/?ll=39.670864,46.5777&amp;spn=0.011598,0.004531&amp;z=17&amp;l=map&amp;pt=39.670864,46.5777", "46.57772//39.670864")</f>
        <v>46.57772//39.670864</v>
      </c>
      <c r="L212" s="5" t="s">
        <v>88</v>
      </c>
      <c r="M212" s="5" t="s">
        <v>314</v>
      </c>
      <c r="N212" s="5" t="s">
        <v>933</v>
      </c>
      <c r="O212" s="5" t="s">
        <v>578</v>
      </c>
      <c r="P212" s="5">
        <v>35</v>
      </c>
      <c r="Q212" s="5">
        <v>30</v>
      </c>
      <c r="R212" s="5">
        <v>34</v>
      </c>
      <c r="S212" s="5">
        <v>402.34399999999999</v>
      </c>
      <c r="T212" s="5" t="s">
        <v>12</v>
      </c>
      <c r="U212" s="5" t="s">
        <v>12</v>
      </c>
      <c r="V212" s="5" t="s">
        <v>12</v>
      </c>
      <c r="W212" s="5">
        <v>16.760000000000002</v>
      </c>
      <c r="X212" s="5">
        <v>47.41</v>
      </c>
      <c r="Y212" s="5">
        <v>99</v>
      </c>
      <c r="Z212" s="5" t="s">
        <v>1959</v>
      </c>
      <c r="AA212" s="5" t="s">
        <v>1787</v>
      </c>
      <c r="AB212" s="5" t="s">
        <v>19</v>
      </c>
      <c r="AC212" s="5" t="s">
        <v>19</v>
      </c>
      <c r="AD212" s="5" t="s">
        <v>19</v>
      </c>
      <c r="AE212" s="5" t="s">
        <v>1582</v>
      </c>
      <c r="AF212" s="5" t="s">
        <v>12</v>
      </c>
      <c r="AG212" s="5"/>
      <c r="AH212" s="5"/>
      <c r="AI212" s="5"/>
      <c r="AJ212" s="5"/>
      <c r="AK212" s="5"/>
      <c r="AL212" s="5" t="s">
        <v>3814</v>
      </c>
      <c r="AM212" s="5" t="s">
        <v>3815</v>
      </c>
      <c r="AN212" s="5" t="s">
        <v>2331</v>
      </c>
      <c r="AO212" s="5" t="s">
        <v>115</v>
      </c>
      <c r="AP212" s="5" t="s">
        <v>114</v>
      </c>
      <c r="AQ212" s="5" t="s">
        <v>99</v>
      </c>
      <c r="AR212" s="5" t="s">
        <v>98</v>
      </c>
    </row>
    <row r="213" spans="1:44" ht="31.5" x14ac:dyDescent="0.25">
      <c r="A213" s="10">
        <v>46096</v>
      </c>
      <c r="B213" s="5" t="s">
        <v>1013</v>
      </c>
      <c r="C213" s="5" t="s">
        <v>2615</v>
      </c>
      <c r="D213" s="5" t="s">
        <v>11</v>
      </c>
      <c r="E213" s="5" t="s">
        <v>8</v>
      </c>
      <c r="F213" s="5" t="s">
        <v>8</v>
      </c>
      <c r="G213" s="5" t="s">
        <v>3816</v>
      </c>
      <c r="H213" s="5" t="s">
        <v>3817</v>
      </c>
      <c r="I213" s="6" t="str">
        <f>HYPERLINK("http://maps.yandex.ru/?ll=38.062275,44.89326&amp;spn=0.011598,0.004531&amp;z=17&amp;l=map&amp;pt=38.062275,44.89326", "44.893265//38.062275")</f>
        <v>44.893265//38.062275</v>
      </c>
      <c r="J213" s="5" t="s">
        <v>88</v>
      </c>
      <c r="K213" s="6" t="str">
        <f>HYPERLINK("http://maps.yandex.ru/?ll=40.527813,49.8291&amp;spn=0.011598,0.004531&amp;z=17&amp;l=map&amp;pt=40.527813,49.8291", "49.82913//40.527813")</f>
        <v>49.82913//40.527813</v>
      </c>
      <c r="L213" s="5" t="s">
        <v>101</v>
      </c>
      <c r="M213" s="5" t="s">
        <v>79</v>
      </c>
      <c r="N213" s="5" t="s">
        <v>814</v>
      </c>
      <c r="O213" s="5" t="s">
        <v>1173</v>
      </c>
      <c r="P213" s="5">
        <v>44</v>
      </c>
      <c r="Q213" s="5">
        <v>46</v>
      </c>
      <c r="R213" s="5">
        <v>10</v>
      </c>
      <c r="S213" s="5">
        <v>652.33900000000006</v>
      </c>
      <c r="T213" s="5" t="s">
        <v>12</v>
      </c>
      <c r="U213" s="5" t="s">
        <v>12</v>
      </c>
      <c r="V213" s="5" t="s">
        <v>12</v>
      </c>
      <c r="W213" s="5">
        <v>27.18</v>
      </c>
      <c r="X213" s="5">
        <v>61.23</v>
      </c>
      <c r="Y213" s="5">
        <v>155</v>
      </c>
      <c r="Z213" s="5" t="s">
        <v>2197</v>
      </c>
      <c r="AA213" s="5" t="s">
        <v>1986</v>
      </c>
      <c r="AB213" s="5" t="s">
        <v>19</v>
      </c>
      <c r="AC213" s="5" t="s">
        <v>19</v>
      </c>
      <c r="AD213" s="5" t="s">
        <v>19</v>
      </c>
      <c r="AE213" s="5" t="s">
        <v>1711</v>
      </c>
      <c r="AF213" s="5" t="s">
        <v>12</v>
      </c>
      <c r="AG213" s="5"/>
      <c r="AH213" s="5"/>
      <c r="AI213" s="5"/>
      <c r="AJ213" s="5"/>
      <c r="AK213" s="5"/>
      <c r="AL213" s="5" t="s">
        <v>2616</v>
      </c>
      <c r="AM213" s="5" t="s">
        <v>3220</v>
      </c>
      <c r="AN213" s="5" t="s">
        <v>1615</v>
      </c>
      <c r="AO213" s="5" t="s">
        <v>115</v>
      </c>
      <c r="AP213" s="5" t="s">
        <v>114</v>
      </c>
      <c r="AQ213" s="5" t="s">
        <v>99</v>
      </c>
      <c r="AR213" s="5" t="s">
        <v>98</v>
      </c>
    </row>
    <row r="214" spans="1:44" ht="31.5" x14ac:dyDescent="0.25">
      <c r="A214" s="10">
        <v>46096</v>
      </c>
      <c r="B214" s="5" t="s">
        <v>1012</v>
      </c>
      <c r="C214" s="5" t="s">
        <v>2617</v>
      </c>
      <c r="D214" s="5" t="s">
        <v>11</v>
      </c>
      <c r="E214" s="5" t="s">
        <v>0</v>
      </c>
      <c r="F214" s="5" t="s">
        <v>0</v>
      </c>
      <c r="G214" s="5" t="s">
        <v>3818</v>
      </c>
      <c r="H214" s="5" t="s">
        <v>3121</v>
      </c>
      <c r="I214" s="6" t="str">
        <f>HYPERLINK("http://maps.yandex.ru/?ll=40.859787,47.509&amp;spn=0.011598,0.004531&amp;z=17&amp;l=map&amp;pt=40.859787,47.509", "47.5093//40.859787")</f>
        <v>47.5093//40.859787</v>
      </c>
      <c r="J214" s="5" t="s">
        <v>64</v>
      </c>
      <c r="K214" s="6" t="str">
        <f>HYPERLINK("http://maps.yandex.ru/?ll=39.05943,45.04948&amp;spn=0.011598,0.004531&amp;z=17&amp;l=map&amp;pt=39.05943,45.04948", "45.049484//39.05943")</f>
        <v>45.049484//39.05943</v>
      </c>
      <c r="L214" s="5" t="s">
        <v>88</v>
      </c>
      <c r="M214" s="5" t="s">
        <v>748</v>
      </c>
      <c r="N214" s="5" t="s">
        <v>3819</v>
      </c>
      <c r="O214" s="5" t="s">
        <v>1432</v>
      </c>
      <c r="P214" s="5">
        <v>19</v>
      </c>
      <c r="Q214" s="5">
        <v>75</v>
      </c>
      <c r="R214" s="5">
        <v>5</v>
      </c>
      <c r="S214" s="5">
        <v>299.97399999999999</v>
      </c>
      <c r="T214" s="5" t="s">
        <v>12</v>
      </c>
      <c r="U214" s="5" t="s">
        <v>12</v>
      </c>
      <c r="V214" s="5" t="s">
        <v>12</v>
      </c>
      <c r="W214" s="5">
        <v>12.5</v>
      </c>
      <c r="X214" s="5">
        <v>64.239999999999995</v>
      </c>
      <c r="Y214" s="5">
        <v>127</v>
      </c>
      <c r="Z214" s="5" t="s">
        <v>2111</v>
      </c>
      <c r="AA214" s="5" t="s">
        <v>2219</v>
      </c>
      <c r="AB214" s="5" t="s">
        <v>19</v>
      </c>
      <c r="AC214" s="5" t="s">
        <v>19</v>
      </c>
      <c r="AD214" s="5" t="s">
        <v>19</v>
      </c>
      <c r="AE214" s="5" t="s">
        <v>3820</v>
      </c>
      <c r="AF214" s="5" t="s">
        <v>12</v>
      </c>
      <c r="AG214" s="5"/>
      <c r="AH214" s="5"/>
      <c r="AI214" s="5"/>
      <c r="AJ214" s="5"/>
      <c r="AK214" s="5"/>
      <c r="AL214" s="5" t="s">
        <v>1480</v>
      </c>
      <c r="AM214" s="5" t="s">
        <v>1480</v>
      </c>
      <c r="AN214" s="5" t="s">
        <v>19</v>
      </c>
      <c r="AO214" s="5" t="s">
        <v>115</v>
      </c>
      <c r="AP214" s="5" t="s">
        <v>114</v>
      </c>
      <c r="AQ214" s="5" t="s">
        <v>99</v>
      </c>
      <c r="AR214" s="5" t="s">
        <v>98</v>
      </c>
    </row>
    <row r="215" spans="1:44" ht="15.75" x14ac:dyDescent="0.25">
      <c r="A215" s="10">
        <v>46096</v>
      </c>
      <c r="B215" s="5" t="s">
        <v>1011</v>
      </c>
      <c r="C215" s="5" t="s">
        <v>2618</v>
      </c>
      <c r="D215" s="5" t="s">
        <v>11</v>
      </c>
      <c r="E215" s="5" t="s">
        <v>0</v>
      </c>
      <c r="F215" s="5" t="s">
        <v>0</v>
      </c>
      <c r="G215" s="5" t="s">
        <v>11</v>
      </c>
      <c r="H215" s="5" t="s">
        <v>11</v>
      </c>
      <c r="I215" s="6" t="str">
        <f>HYPERLINK("http://maps.yandex.ru/?ll=,&amp;spn=0.011598,0.004531&amp;z=17&amp;l=map&amp;pt=,", "")</f>
        <v/>
      </c>
      <c r="J215" s="5" t="s">
        <v>84</v>
      </c>
      <c r="K215" s="6" t="str">
        <f>HYPERLINK("http://maps.yandex.ru/?ll=,&amp;spn=0.011598,0.004531&amp;z=17&amp;l=map&amp;pt=,", "")</f>
        <v/>
      </c>
      <c r="L215" s="5" t="s">
        <v>84</v>
      </c>
      <c r="M215" s="5" t="s">
        <v>13</v>
      </c>
      <c r="N215" s="5" t="s">
        <v>58</v>
      </c>
      <c r="O215" s="5" t="s">
        <v>13</v>
      </c>
      <c r="P215" s="5">
        <v>0</v>
      </c>
      <c r="Q215" s="5">
        <v>100</v>
      </c>
      <c r="R215" s="5">
        <v>0</v>
      </c>
      <c r="S215" s="5">
        <v>0</v>
      </c>
      <c r="T215" s="5" t="s">
        <v>12</v>
      </c>
      <c r="U215" s="5" t="s">
        <v>12</v>
      </c>
      <c r="V215" s="5" t="s">
        <v>12</v>
      </c>
      <c r="W215" s="5">
        <v>0</v>
      </c>
      <c r="X215" s="5">
        <v>0</v>
      </c>
      <c r="Y215" s="5">
        <v>0</v>
      </c>
      <c r="Z215" s="5" t="s">
        <v>1731</v>
      </c>
      <c r="AA215" s="5" t="s">
        <v>1548</v>
      </c>
      <c r="AB215" s="5" t="s">
        <v>19</v>
      </c>
      <c r="AC215" s="5" t="s">
        <v>19</v>
      </c>
      <c r="AD215" s="5" t="s">
        <v>19</v>
      </c>
      <c r="AE215" s="5" t="s">
        <v>1997</v>
      </c>
      <c r="AF215" s="5" t="s">
        <v>12</v>
      </c>
      <c r="AG215" s="5"/>
      <c r="AH215" s="5"/>
      <c r="AI215" s="5"/>
      <c r="AJ215" s="5"/>
      <c r="AK215" s="5"/>
      <c r="AL215" s="5" t="s">
        <v>3821</v>
      </c>
      <c r="AM215" s="5" t="s">
        <v>3822</v>
      </c>
      <c r="AN215" s="5" t="s">
        <v>1927</v>
      </c>
      <c r="AO215" s="5" t="s">
        <v>115</v>
      </c>
      <c r="AP215" s="5" t="s">
        <v>114</v>
      </c>
      <c r="AQ215" s="5" t="s">
        <v>99</v>
      </c>
      <c r="AR215" s="5" t="s">
        <v>98</v>
      </c>
    </row>
    <row r="216" spans="1:44" ht="31.5" x14ac:dyDescent="0.25">
      <c r="A216" s="10">
        <v>46096</v>
      </c>
      <c r="B216" s="5" t="s">
        <v>1010</v>
      </c>
      <c r="C216" s="5" t="s">
        <v>2619</v>
      </c>
      <c r="D216" s="5" t="s">
        <v>11</v>
      </c>
      <c r="E216" s="5" t="s">
        <v>8</v>
      </c>
      <c r="F216" s="5" t="s">
        <v>8</v>
      </c>
      <c r="G216" s="5" t="s">
        <v>3823</v>
      </c>
      <c r="H216" s="5" t="s">
        <v>3824</v>
      </c>
      <c r="I216" s="6" t="str">
        <f>HYPERLINK("http://maps.yandex.ru/?ll=42.07349,44.24056&amp;spn=0.011598,0.004531&amp;z=17&amp;l=map&amp;pt=42.07349,44.24056", "44.240562//42.07349")</f>
        <v>44.240562//42.07349</v>
      </c>
      <c r="J216" s="5" t="s">
        <v>23</v>
      </c>
      <c r="K216" s="6" t="str">
        <f>HYPERLINK("http://maps.yandex.ru/?ll=39.54735,45.2123&amp;spn=0.011598,0.004531&amp;z=17&amp;l=map&amp;pt=39.54735,45.2123", "45.21233//39.54735")</f>
        <v>45.21233//39.54735</v>
      </c>
      <c r="L216" s="5" t="s">
        <v>88</v>
      </c>
      <c r="M216" s="5" t="s">
        <v>1156</v>
      </c>
      <c r="N216" s="5" t="s">
        <v>1155</v>
      </c>
      <c r="O216" s="5" t="s">
        <v>13</v>
      </c>
      <c r="P216" s="5">
        <v>19</v>
      </c>
      <c r="Q216" s="5">
        <v>81</v>
      </c>
      <c r="R216" s="5">
        <v>0</v>
      </c>
      <c r="S216" s="5">
        <v>291.98500000000001</v>
      </c>
      <c r="T216" s="5" t="s">
        <v>12</v>
      </c>
      <c r="U216" s="5" t="s">
        <v>12</v>
      </c>
      <c r="V216" s="5" t="s">
        <v>12</v>
      </c>
      <c r="W216" s="5">
        <v>12.17</v>
      </c>
      <c r="X216" s="5">
        <v>65.5</v>
      </c>
      <c r="Y216" s="5">
        <v>165</v>
      </c>
      <c r="Z216" s="5" t="s">
        <v>2607</v>
      </c>
      <c r="AA216" s="5" t="s">
        <v>2607</v>
      </c>
      <c r="AB216" s="5" t="s">
        <v>19</v>
      </c>
      <c r="AC216" s="5" t="s">
        <v>19</v>
      </c>
      <c r="AD216" s="5" t="s">
        <v>19</v>
      </c>
      <c r="AE216" s="5" t="s">
        <v>19</v>
      </c>
      <c r="AF216" s="5" t="s">
        <v>12</v>
      </c>
      <c r="AG216" s="5"/>
      <c r="AH216" s="5"/>
      <c r="AI216" s="5"/>
      <c r="AJ216" s="5"/>
      <c r="AK216" s="5"/>
      <c r="AL216" s="5" t="s">
        <v>12</v>
      </c>
      <c r="AM216" s="5" t="s">
        <v>12</v>
      </c>
      <c r="AN216" s="5" t="s">
        <v>12</v>
      </c>
      <c r="AO216" s="5" t="s">
        <v>115</v>
      </c>
      <c r="AP216" s="5" t="s">
        <v>114</v>
      </c>
      <c r="AQ216" s="5" t="s">
        <v>99</v>
      </c>
      <c r="AR216" s="5" t="s">
        <v>98</v>
      </c>
    </row>
    <row r="217" spans="1:44" ht="15.75" x14ac:dyDescent="0.25">
      <c r="A217" s="10">
        <v>46096</v>
      </c>
      <c r="B217" s="5" t="s">
        <v>1007</v>
      </c>
      <c r="C217" s="5" t="s">
        <v>2620</v>
      </c>
      <c r="D217" s="5" t="s">
        <v>11</v>
      </c>
      <c r="E217" s="5" t="s">
        <v>6</v>
      </c>
      <c r="F217" s="5" t="s">
        <v>6</v>
      </c>
      <c r="G217" s="5" t="s">
        <v>11</v>
      </c>
      <c r="H217" s="5" t="s">
        <v>11</v>
      </c>
      <c r="I217" s="6" t="str">
        <f>HYPERLINK("http://maps.yandex.ru/?ll=,&amp;spn=0.011598,0.004531&amp;z=17&amp;l=map&amp;pt=,", "")</f>
        <v/>
      </c>
      <c r="J217" s="5" t="s">
        <v>84</v>
      </c>
      <c r="K217" s="6" t="str">
        <f>HYPERLINK("http://maps.yandex.ru/?ll=,&amp;spn=0.011598,0.004531&amp;z=17&amp;l=map&amp;pt=,", "")</f>
        <v/>
      </c>
      <c r="L217" s="5" t="s">
        <v>84</v>
      </c>
      <c r="M217" s="5" t="s">
        <v>13</v>
      </c>
      <c r="N217" s="5" t="s">
        <v>13</v>
      </c>
      <c r="O217" s="5" t="s">
        <v>58</v>
      </c>
      <c r="P217" s="5">
        <v>0</v>
      </c>
      <c r="Q217" s="5">
        <v>0</v>
      </c>
      <c r="R217" s="5">
        <v>100</v>
      </c>
      <c r="S217" s="5">
        <v>0</v>
      </c>
      <c r="T217" s="5" t="s">
        <v>12</v>
      </c>
      <c r="U217" s="5" t="s">
        <v>12</v>
      </c>
      <c r="V217" s="5" t="s">
        <v>12</v>
      </c>
      <c r="W217" s="5">
        <v>0</v>
      </c>
      <c r="X217" s="5">
        <v>0</v>
      </c>
      <c r="Y217" s="5">
        <v>0</v>
      </c>
      <c r="Z217" s="5" t="s">
        <v>12</v>
      </c>
      <c r="AA217" s="5" t="s">
        <v>12</v>
      </c>
      <c r="AB217" s="5" t="s">
        <v>19</v>
      </c>
      <c r="AC217" s="5" t="s">
        <v>19</v>
      </c>
      <c r="AD217" s="5" t="s">
        <v>19</v>
      </c>
      <c r="AE217" s="5" t="s">
        <v>12</v>
      </c>
      <c r="AF217" s="5" t="s">
        <v>12</v>
      </c>
      <c r="AG217" s="5"/>
      <c r="AH217" s="5"/>
      <c r="AI217" s="5"/>
      <c r="AJ217" s="5"/>
      <c r="AK217" s="5"/>
      <c r="AL217" s="5" t="s">
        <v>12</v>
      </c>
      <c r="AM217" s="5" t="s">
        <v>12</v>
      </c>
      <c r="AN217" s="5" t="s">
        <v>12</v>
      </c>
      <c r="AO217" s="5" t="s">
        <v>115</v>
      </c>
      <c r="AP217" s="5" t="s">
        <v>114</v>
      </c>
      <c r="AQ217" s="5" t="s">
        <v>99</v>
      </c>
      <c r="AR217" s="5" t="s">
        <v>98</v>
      </c>
    </row>
    <row r="218" spans="1:44" ht="15.75" x14ac:dyDescent="0.25">
      <c r="A218" s="10">
        <v>46096</v>
      </c>
      <c r="B218" s="5" t="s">
        <v>1006</v>
      </c>
      <c r="C218" s="5" t="s">
        <v>2621</v>
      </c>
      <c r="D218" s="5" t="s">
        <v>11</v>
      </c>
      <c r="E218" s="5" t="s">
        <v>6</v>
      </c>
      <c r="F218" s="5" t="s">
        <v>6</v>
      </c>
      <c r="G218" s="5" t="s">
        <v>3825</v>
      </c>
      <c r="H218" s="5" t="s">
        <v>3826</v>
      </c>
      <c r="I218" s="6" t="str">
        <f>HYPERLINK("http://maps.yandex.ru/?ll=39.1956,52.12886&amp;spn=0.011598,0.004531&amp;z=17&amp;l=map&amp;pt=39.1956,52.12886", "52.128864//39.1956")</f>
        <v>52.128864//39.1956</v>
      </c>
      <c r="J218" s="5" t="s">
        <v>151</v>
      </c>
      <c r="K218" s="6" t="str">
        <f>HYPERLINK("http://maps.yandex.ru/?ll=39.61095,47.2081&amp;spn=0.011598,0.004531&amp;z=17&amp;l=map&amp;pt=39.61095,47.2081", "47.20817//39.61095")</f>
        <v>47.20817//39.61095</v>
      </c>
      <c r="L218" s="5" t="s">
        <v>64</v>
      </c>
      <c r="M218" s="5" t="s">
        <v>27</v>
      </c>
      <c r="N218" s="5" t="s">
        <v>1291</v>
      </c>
      <c r="O218" s="5" t="s">
        <v>1209</v>
      </c>
      <c r="P218" s="5">
        <v>37</v>
      </c>
      <c r="Q218" s="5">
        <v>60</v>
      </c>
      <c r="R218" s="5">
        <v>2</v>
      </c>
      <c r="S218" s="5">
        <v>594.50800000000004</v>
      </c>
      <c r="T218" s="5" t="s">
        <v>12</v>
      </c>
      <c r="U218" s="5" t="s">
        <v>12</v>
      </c>
      <c r="V218" s="5" t="s">
        <v>12</v>
      </c>
      <c r="W218" s="5">
        <v>24.77</v>
      </c>
      <c r="X218" s="5">
        <v>66.7</v>
      </c>
      <c r="Y218" s="5">
        <v>148</v>
      </c>
      <c r="Z218" s="5" t="s">
        <v>1974</v>
      </c>
      <c r="AA218" s="5" t="s">
        <v>1910</v>
      </c>
      <c r="AB218" s="5" t="s">
        <v>19</v>
      </c>
      <c r="AC218" s="5" t="s">
        <v>19</v>
      </c>
      <c r="AD218" s="5" t="s">
        <v>19</v>
      </c>
      <c r="AE218" s="5" t="s">
        <v>2203</v>
      </c>
      <c r="AF218" s="5" t="s">
        <v>12</v>
      </c>
      <c r="AG218" s="5"/>
      <c r="AH218" s="5"/>
      <c r="AI218" s="5"/>
      <c r="AJ218" s="5"/>
      <c r="AK218" s="5"/>
      <c r="AL218" s="5" t="s">
        <v>2623</v>
      </c>
      <c r="AM218" s="5" t="s">
        <v>2660</v>
      </c>
      <c r="AN218" s="5" t="s">
        <v>1698</v>
      </c>
      <c r="AO218" s="5" t="s">
        <v>115</v>
      </c>
      <c r="AP218" s="5" t="s">
        <v>114</v>
      </c>
      <c r="AQ218" s="5" t="s">
        <v>99</v>
      </c>
      <c r="AR218" s="5" t="s">
        <v>98</v>
      </c>
    </row>
    <row r="219" spans="1:44" ht="31.5" x14ac:dyDescent="0.25">
      <c r="A219" s="10">
        <v>46096</v>
      </c>
      <c r="B219" s="5" t="s">
        <v>1004</v>
      </c>
      <c r="C219" s="5" t="s">
        <v>2624</v>
      </c>
      <c r="D219" s="5" t="s">
        <v>11</v>
      </c>
      <c r="E219" s="5" t="s">
        <v>1</v>
      </c>
      <c r="F219" s="5" t="s">
        <v>1</v>
      </c>
      <c r="G219" s="5" t="s">
        <v>3827</v>
      </c>
      <c r="H219" s="5" t="s">
        <v>3828</v>
      </c>
      <c r="I219" s="6" t="str">
        <f>HYPERLINK("http://maps.yandex.ru/?ll=61.05135,55.12981&amp;spn=0.011598,0.004531&amp;z=17&amp;l=map&amp;pt=61.05135,55.12981", "55.129814//61.05135")</f>
        <v>55.129814//61.05135</v>
      </c>
      <c r="J219" s="5" t="s">
        <v>227</v>
      </c>
      <c r="K219" s="6" t="str">
        <f>HYPERLINK("http://maps.yandex.ru/?ll=53.93022,54.4902&amp;spn=0.011598,0.004531&amp;z=17&amp;l=map&amp;pt=53.93022,54.4902", "54.49024//53.93022")</f>
        <v>54.49024//53.93022</v>
      </c>
      <c r="L219" s="5" t="s">
        <v>34</v>
      </c>
      <c r="M219" s="5" t="s">
        <v>608</v>
      </c>
      <c r="N219" s="5" t="s">
        <v>171</v>
      </c>
      <c r="O219" s="5" t="s">
        <v>13</v>
      </c>
      <c r="P219" s="5">
        <v>36</v>
      </c>
      <c r="Q219" s="5">
        <v>64</v>
      </c>
      <c r="R219" s="5">
        <v>0</v>
      </c>
      <c r="S219" s="5">
        <v>543.76</v>
      </c>
      <c r="T219" s="5" t="s">
        <v>2992</v>
      </c>
      <c r="U219" s="5" t="s">
        <v>3829</v>
      </c>
      <c r="V219" s="5" t="s">
        <v>3830</v>
      </c>
      <c r="W219" s="5">
        <v>22.66</v>
      </c>
      <c r="X219" s="5">
        <v>62.63</v>
      </c>
      <c r="Y219" s="5">
        <v>94</v>
      </c>
      <c r="Z219" s="5" t="s">
        <v>1981</v>
      </c>
      <c r="AA219" s="5" t="s">
        <v>1496</v>
      </c>
      <c r="AB219" s="5" t="s">
        <v>19</v>
      </c>
      <c r="AC219" s="5" t="s">
        <v>19</v>
      </c>
      <c r="AD219" s="5" t="s">
        <v>19</v>
      </c>
      <c r="AE219" s="5" t="s">
        <v>1716</v>
      </c>
      <c r="AF219" s="5" t="s">
        <v>3831</v>
      </c>
      <c r="AG219" s="5">
        <v>185</v>
      </c>
      <c r="AH219" s="5">
        <v>3</v>
      </c>
      <c r="AI219" s="5">
        <v>182</v>
      </c>
      <c r="AJ219" s="5">
        <v>33.33</v>
      </c>
      <c r="AK219" s="5">
        <v>32.79</v>
      </c>
      <c r="AL219" s="5" t="s">
        <v>12</v>
      </c>
      <c r="AM219" s="5" t="s">
        <v>12</v>
      </c>
      <c r="AN219" s="5" t="s">
        <v>12</v>
      </c>
      <c r="AO219" s="5" t="s">
        <v>11</v>
      </c>
      <c r="AP219" s="5" t="s">
        <v>11</v>
      </c>
      <c r="AQ219" s="5" t="s">
        <v>53</v>
      </c>
      <c r="AR219" s="5" t="s">
        <v>52</v>
      </c>
    </row>
    <row r="220" spans="1:44" ht="31.5" x14ac:dyDescent="0.25">
      <c r="A220" s="10">
        <v>46096</v>
      </c>
      <c r="B220" s="5" t="s">
        <v>1003</v>
      </c>
      <c r="C220" s="5" t="s">
        <v>2626</v>
      </c>
      <c r="D220" s="5" t="s">
        <v>11</v>
      </c>
      <c r="E220" s="5" t="s">
        <v>0</v>
      </c>
      <c r="F220" s="5" t="s">
        <v>0</v>
      </c>
      <c r="G220" s="5" t="s">
        <v>3832</v>
      </c>
      <c r="H220" s="5" t="s">
        <v>3833</v>
      </c>
      <c r="I220" s="6" t="str">
        <f>HYPERLINK("http://maps.yandex.ru/?ll=36.677357,56.27943&amp;spn=0.011598,0.004531&amp;z=17&amp;l=map&amp;pt=36.677357,56.27943", "56.279434//36.677357")</f>
        <v>56.279434//36.677357</v>
      </c>
      <c r="J220" s="5" t="s">
        <v>56</v>
      </c>
      <c r="K220" s="6" t="str">
        <f>HYPERLINK("http://maps.yandex.ru/?ll=40.395725,56.15211&amp;spn=0.011598,0.004531&amp;z=17&amp;l=map&amp;pt=40.395725,56.15211", "56.152115//40.395725")</f>
        <v>56.152115//40.395725</v>
      </c>
      <c r="L220" s="5" t="s">
        <v>49</v>
      </c>
      <c r="M220" s="5" t="s">
        <v>957</v>
      </c>
      <c r="N220" s="5" t="s">
        <v>1523</v>
      </c>
      <c r="O220" s="5" t="s">
        <v>864</v>
      </c>
      <c r="P220" s="5">
        <v>14</v>
      </c>
      <c r="Q220" s="5">
        <v>82</v>
      </c>
      <c r="R220" s="5">
        <v>5</v>
      </c>
      <c r="S220" s="5">
        <v>191.524</v>
      </c>
      <c r="T220" s="5" t="s">
        <v>3834</v>
      </c>
      <c r="U220" s="5" t="s">
        <v>3835</v>
      </c>
      <c r="V220" s="5" t="s">
        <v>3836</v>
      </c>
      <c r="W220" s="5">
        <v>7.98</v>
      </c>
      <c r="X220" s="5">
        <v>58.26</v>
      </c>
      <c r="Y220" s="5">
        <v>97</v>
      </c>
      <c r="Z220" s="5" t="s">
        <v>2627</v>
      </c>
      <c r="AA220" s="5" t="s">
        <v>3837</v>
      </c>
      <c r="AB220" s="5" t="s">
        <v>2359</v>
      </c>
      <c r="AC220" s="5" t="s">
        <v>1673</v>
      </c>
      <c r="AD220" s="5" t="s">
        <v>19</v>
      </c>
      <c r="AE220" s="5" t="s">
        <v>2731</v>
      </c>
      <c r="AF220" s="5" t="s">
        <v>3838</v>
      </c>
      <c r="AG220" s="5">
        <v>69</v>
      </c>
      <c r="AH220" s="5">
        <v>3</v>
      </c>
      <c r="AI220" s="5">
        <v>66</v>
      </c>
      <c r="AJ220" s="5">
        <v>24.38</v>
      </c>
      <c r="AK220" s="5">
        <v>23.32</v>
      </c>
      <c r="AL220" s="5" t="s">
        <v>12</v>
      </c>
      <c r="AM220" s="5" t="s">
        <v>12</v>
      </c>
      <c r="AN220" s="5" t="s">
        <v>12</v>
      </c>
      <c r="AO220" s="5" t="s">
        <v>11</v>
      </c>
      <c r="AP220" s="5" t="s">
        <v>11</v>
      </c>
      <c r="AQ220" s="5" t="s">
        <v>53</v>
      </c>
      <c r="AR220" s="5" t="s">
        <v>52</v>
      </c>
    </row>
    <row r="221" spans="1:44" ht="31.5" x14ac:dyDescent="0.25">
      <c r="A221" s="10">
        <v>46096</v>
      </c>
      <c r="B221" s="5" t="s">
        <v>1002</v>
      </c>
      <c r="C221" s="5" t="s">
        <v>2628</v>
      </c>
      <c r="D221" s="5" t="s">
        <v>11</v>
      </c>
      <c r="E221" s="5" t="s">
        <v>6</v>
      </c>
      <c r="F221" s="5" t="s">
        <v>6</v>
      </c>
      <c r="G221" s="5" t="s">
        <v>3103</v>
      </c>
      <c r="H221" s="5" t="s">
        <v>3121</v>
      </c>
      <c r="I221" s="6" t="str">
        <f>HYPERLINK("http://maps.yandex.ru/?ll=48.37945,53.07273&amp;spn=0.011598,0.004531&amp;z=17&amp;l=map&amp;pt=48.37945,53.07273", "53.072735//48.37945")</f>
        <v>53.072735//48.37945</v>
      </c>
      <c r="J221" s="5" t="s">
        <v>76</v>
      </c>
      <c r="K221" s="6" t="str">
        <f>HYPERLINK("http://maps.yandex.ru/?ll=44.514095,48.7835&amp;spn=0.011598,0.004531&amp;z=17&amp;l=map&amp;pt=44.514095,48.7835", "48.78358//44.514095")</f>
        <v>48.78358//44.514095</v>
      </c>
      <c r="L221" s="5" t="s">
        <v>95</v>
      </c>
      <c r="M221" s="5" t="s">
        <v>579</v>
      </c>
      <c r="N221" s="5" t="s">
        <v>456</v>
      </c>
      <c r="O221" s="5" t="s">
        <v>3839</v>
      </c>
      <c r="P221" s="5">
        <v>35</v>
      </c>
      <c r="Q221" s="5">
        <v>5</v>
      </c>
      <c r="R221" s="5">
        <v>60</v>
      </c>
      <c r="S221" s="5">
        <v>600.63</v>
      </c>
      <c r="T221" s="5" t="s">
        <v>833</v>
      </c>
      <c r="U221" s="5" t="s">
        <v>2629</v>
      </c>
      <c r="V221" s="5" t="s">
        <v>3840</v>
      </c>
      <c r="W221" s="5">
        <v>25.03</v>
      </c>
      <c r="X221" s="5">
        <v>71.02</v>
      </c>
      <c r="Y221" s="5">
        <v>118</v>
      </c>
      <c r="Z221" s="5" t="s">
        <v>2538</v>
      </c>
      <c r="AA221" s="5" t="s">
        <v>3841</v>
      </c>
      <c r="AB221" s="5" t="s">
        <v>19</v>
      </c>
      <c r="AC221" s="5" t="s">
        <v>19</v>
      </c>
      <c r="AD221" s="5" t="s">
        <v>19</v>
      </c>
      <c r="AE221" s="5" t="s">
        <v>1767</v>
      </c>
      <c r="AF221" s="5" t="s">
        <v>1572</v>
      </c>
      <c r="AG221" s="5">
        <v>211</v>
      </c>
      <c r="AH221" s="5">
        <v>0</v>
      </c>
      <c r="AI221" s="5">
        <v>211</v>
      </c>
      <c r="AJ221" s="5">
        <v>32.159999999999997</v>
      </c>
      <c r="AK221" s="5">
        <v>32.159999999999997</v>
      </c>
      <c r="AL221" s="5" t="s">
        <v>12</v>
      </c>
      <c r="AM221" s="5" t="s">
        <v>12</v>
      </c>
      <c r="AN221" s="5" t="s">
        <v>12</v>
      </c>
      <c r="AO221" s="5" t="s">
        <v>11</v>
      </c>
      <c r="AP221" s="5" t="s">
        <v>11</v>
      </c>
      <c r="AQ221" s="5" t="s">
        <v>53</v>
      </c>
      <c r="AR221" s="5" t="s">
        <v>52</v>
      </c>
    </row>
    <row r="222" spans="1:44" ht="31.5" x14ac:dyDescent="0.25">
      <c r="A222" s="10">
        <v>46096</v>
      </c>
      <c r="B222" s="5" t="s">
        <v>1001</v>
      </c>
      <c r="C222" s="5" t="s">
        <v>2631</v>
      </c>
      <c r="D222" s="5" t="s">
        <v>11</v>
      </c>
      <c r="E222" s="5" t="s">
        <v>0</v>
      </c>
      <c r="F222" s="5" t="s">
        <v>0</v>
      </c>
      <c r="G222" s="5" t="s">
        <v>3103</v>
      </c>
      <c r="H222" s="5" t="s">
        <v>3842</v>
      </c>
      <c r="I222" s="6" t="str">
        <f>HYPERLINK("http://maps.yandex.ru/?ll=40.267,48.2673&amp;spn=0.011598,0.004531&amp;z=17&amp;l=map&amp;pt=40.267,48.2673", "48.26731//40.267")</f>
        <v>48.26731//40.267</v>
      </c>
      <c r="J222" s="5" t="s">
        <v>64</v>
      </c>
      <c r="K222" s="6" t="str">
        <f>HYPERLINK("http://maps.yandex.ru/?ll=39.125973,45.1044&amp;spn=0.011598,0.004531&amp;z=17&amp;l=map&amp;pt=39.125973,45.1044", "45.10446//39.125973")</f>
        <v>45.10446//39.125973</v>
      </c>
      <c r="L222" s="5" t="s">
        <v>88</v>
      </c>
      <c r="M222" s="5" t="s">
        <v>1391</v>
      </c>
      <c r="N222" s="5" t="s">
        <v>785</v>
      </c>
      <c r="O222" s="5" t="s">
        <v>1093</v>
      </c>
      <c r="P222" s="5">
        <v>30</v>
      </c>
      <c r="Q222" s="5">
        <v>17</v>
      </c>
      <c r="R222" s="5">
        <v>53</v>
      </c>
      <c r="S222" s="5">
        <v>431.54700000000003</v>
      </c>
      <c r="T222" s="5" t="s">
        <v>1706</v>
      </c>
      <c r="U222" s="5" t="s">
        <v>3843</v>
      </c>
      <c r="V222" s="5" t="s">
        <v>3844</v>
      </c>
      <c r="W222" s="5">
        <v>17.98</v>
      </c>
      <c r="X222" s="5">
        <v>59.44</v>
      </c>
      <c r="Y222" s="5">
        <v>154</v>
      </c>
      <c r="Z222" s="5" t="s">
        <v>1967</v>
      </c>
      <c r="AA222" s="5" t="s">
        <v>3845</v>
      </c>
      <c r="AB222" s="5" t="s">
        <v>1529</v>
      </c>
      <c r="AC222" s="5" t="s">
        <v>1673</v>
      </c>
      <c r="AD222" s="5" t="s">
        <v>19</v>
      </c>
      <c r="AE222" s="5" t="s">
        <v>2033</v>
      </c>
      <c r="AF222" s="5" t="s">
        <v>3846</v>
      </c>
      <c r="AG222" s="5">
        <v>127</v>
      </c>
      <c r="AH222" s="5">
        <v>0</v>
      </c>
      <c r="AI222" s="5">
        <v>127</v>
      </c>
      <c r="AJ222" s="5">
        <v>29.33</v>
      </c>
      <c r="AK222" s="5">
        <v>29.33</v>
      </c>
      <c r="AL222" s="5" t="s">
        <v>12</v>
      </c>
      <c r="AM222" s="5" t="s">
        <v>12</v>
      </c>
      <c r="AN222" s="5" t="s">
        <v>12</v>
      </c>
      <c r="AO222" s="5" t="s">
        <v>11</v>
      </c>
      <c r="AP222" s="5" t="s">
        <v>11</v>
      </c>
      <c r="AQ222" s="5" t="s">
        <v>53</v>
      </c>
      <c r="AR222" s="5" t="s">
        <v>52</v>
      </c>
    </row>
    <row r="223" spans="1:44" ht="31.5" x14ac:dyDescent="0.25">
      <c r="A223" s="10">
        <v>46096</v>
      </c>
      <c r="B223" s="5" t="s">
        <v>999</v>
      </c>
      <c r="C223" s="5" t="s">
        <v>2632</v>
      </c>
      <c r="D223" s="5" t="s">
        <v>11</v>
      </c>
      <c r="E223" s="5" t="s">
        <v>8</v>
      </c>
      <c r="F223" s="5" t="s">
        <v>8</v>
      </c>
      <c r="G223" s="5" t="s">
        <v>3847</v>
      </c>
      <c r="H223" s="5" t="s">
        <v>3848</v>
      </c>
      <c r="I223" s="6" t="str">
        <f>HYPERLINK("http://maps.yandex.ru/?ll=51.252373,53.8890&amp;spn=0.011598,0.004531&amp;z=17&amp;l=map&amp;pt=51.252373,53.8890", "53.88904//51.252373")</f>
        <v>53.88904//51.252373</v>
      </c>
      <c r="J223" s="5" t="s">
        <v>76</v>
      </c>
      <c r="K223" s="6" t="str">
        <f>HYPERLINK("http://maps.yandex.ru/?ll=59.3293,55.11005&amp;spn=0.011598,0.004531&amp;z=17&amp;l=map&amp;pt=59.3293,55.11005", "55.110058//59.3293")</f>
        <v>55.110058//59.3293</v>
      </c>
      <c r="L223" s="5" t="s">
        <v>227</v>
      </c>
      <c r="M223" s="5" t="s">
        <v>430</v>
      </c>
      <c r="N223" s="5" t="s">
        <v>230</v>
      </c>
      <c r="O223" s="5" t="s">
        <v>13</v>
      </c>
      <c r="P223" s="5">
        <v>38</v>
      </c>
      <c r="Q223" s="5">
        <v>62</v>
      </c>
      <c r="R223" s="5">
        <v>0</v>
      </c>
      <c r="S223" s="5">
        <v>593.42700000000002</v>
      </c>
      <c r="T223" s="5" t="s">
        <v>1589</v>
      </c>
      <c r="U223" s="5" t="s">
        <v>3849</v>
      </c>
      <c r="V223" s="5" t="s">
        <v>3850</v>
      </c>
      <c r="W223" s="5">
        <v>24.73</v>
      </c>
      <c r="X223" s="5">
        <v>65.37</v>
      </c>
      <c r="Y223" s="5">
        <v>107</v>
      </c>
      <c r="Z223" s="5" t="s">
        <v>2013</v>
      </c>
      <c r="AA223" s="5" t="s">
        <v>1496</v>
      </c>
      <c r="AB223" s="5" t="s">
        <v>19</v>
      </c>
      <c r="AC223" s="5" t="s">
        <v>19</v>
      </c>
      <c r="AD223" s="5" t="s">
        <v>19</v>
      </c>
      <c r="AE223" s="5" t="s">
        <v>2130</v>
      </c>
      <c r="AF223" s="5" t="s">
        <v>3851</v>
      </c>
      <c r="AG223" s="5">
        <v>220</v>
      </c>
      <c r="AH223" s="5">
        <v>0</v>
      </c>
      <c r="AI223" s="5">
        <v>220</v>
      </c>
      <c r="AJ223" s="5">
        <v>36.67</v>
      </c>
      <c r="AK223" s="5">
        <v>36.67</v>
      </c>
      <c r="AL223" s="5" t="s">
        <v>12</v>
      </c>
      <c r="AM223" s="5" t="s">
        <v>12</v>
      </c>
      <c r="AN223" s="5" t="s">
        <v>12</v>
      </c>
      <c r="AO223" s="5" t="s">
        <v>11</v>
      </c>
      <c r="AP223" s="5" t="s">
        <v>11</v>
      </c>
      <c r="AQ223" s="5" t="s">
        <v>53</v>
      </c>
      <c r="AR223" s="5" t="s">
        <v>52</v>
      </c>
    </row>
    <row r="224" spans="1:44" ht="31.5" x14ac:dyDescent="0.25">
      <c r="A224" s="10">
        <v>46096</v>
      </c>
      <c r="B224" s="5" t="s">
        <v>997</v>
      </c>
      <c r="C224" s="5" t="s">
        <v>2635</v>
      </c>
      <c r="D224" s="5" t="s">
        <v>11</v>
      </c>
      <c r="E224" s="5" t="s">
        <v>5</v>
      </c>
      <c r="F224" s="5" t="s">
        <v>5</v>
      </c>
      <c r="G224" s="5" t="s">
        <v>3852</v>
      </c>
      <c r="H224" s="5" t="s">
        <v>3853</v>
      </c>
      <c r="I224" s="6" t="str">
        <f>HYPERLINK("http://maps.yandex.ru/?ll=43.203968,57.80008&amp;spn=0.011598,0.004531&amp;z=17&amp;l=map&amp;pt=43.203968,57.80008", "57.800087//43.203968")</f>
        <v>57.800087//43.203968</v>
      </c>
      <c r="J224" s="5" t="s">
        <v>1525</v>
      </c>
      <c r="K224" s="6" t="str">
        <f>HYPERLINK("http://maps.yandex.ru/?ll=52.156025,58.68686&amp;spn=0.011598,0.004531&amp;z=17&amp;l=map&amp;pt=52.156025,58.68686", "58.686867//52.156025")</f>
        <v>58.686867//52.156025</v>
      </c>
      <c r="L224" s="5" t="s">
        <v>489</v>
      </c>
      <c r="M224" s="5" t="s">
        <v>1369</v>
      </c>
      <c r="N224" s="5" t="s">
        <v>1552</v>
      </c>
      <c r="O224" s="5" t="s">
        <v>13</v>
      </c>
      <c r="P224" s="5">
        <v>37</v>
      </c>
      <c r="Q224" s="5">
        <v>63</v>
      </c>
      <c r="R224" s="5">
        <v>0</v>
      </c>
      <c r="S224" s="5">
        <v>630.24800000000005</v>
      </c>
      <c r="T224" s="5" t="s">
        <v>1800</v>
      </c>
      <c r="U224" s="5" t="s">
        <v>3854</v>
      </c>
      <c r="V224" s="5" t="s">
        <v>3855</v>
      </c>
      <c r="W224" s="5">
        <v>26.26</v>
      </c>
      <c r="X224" s="5">
        <v>70.52</v>
      </c>
      <c r="Y224" s="5">
        <v>92</v>
      </c>
      <c r="Z224" s="5" t="s">
        <v>2636</v>
      </c>
      <c r="AA224" s="5" t="s">
        <v>3856</v>
      </c>
      <c r="AB224" s="5" t="s">
        <v>2534</v>
      </c>
      <c r="AC224" s="5" t="s">
        <v>1671</v>
      </c>
      <c r="AD224" s="5" t="s">
        <v>19</v>
      </c>
      <c r="AE224" s="5" t="s">
        <v>1512</v>
      </c>
      <c r="AF224" s="5" t="s">
        <v>3857</v>
      </c>
      <c r="AG224" s="5">
        <v>195</v>
      </c>
      <c r="AH224" s="5">
        <v>3</v>
      </c>
      <c r="AI224" s="5">
        <v>192</v>
      </c>
      <c r="AJ224" s="5">
        <v>30.37</v>
      </c>
      <c r="AK224" s="5">
        <v>29.91</v>
      </c>
      <c r="AL224" s="5" t="s">
        <v>12</v>
      </c>
      <c r="AM224" s="5" t="s">
        <v>12</v>
      </c>
      <c r="AN224" s="5" t="s">
        <v>12</v>
      </c>
      <c r="AO224" s="5" t="s">
        <v>11</v>
      </c>
      <c r="AP224" s="5" t="s">
        <v>11</v>
      </c>
      <c r="AQ224" s="5" t="s">
        <v>53</v>
      </c>
      <c r="AR224" s="5" t="s">
        <v>52</v>
      </c>
    </row>
    <row r="225" spans="1:44" ht="31.5" x14ac:dyDescent="0.25">
      <c r="A225" s="10">
        <v>46096</v>
      </c>
      <c r="B225" s="5" t="s">
        <v>996</v>
      </c>
      <c r="C225" s="5" t="s">
        <v>2637</v>
      </c>
      <c r="D225" s="5" t="s">
        <v>11</v>
      </c>
      <c r="E225" s="5" t="s">
        <v>0</v>
      </c>
      <c r="F225" s="5" t="s">
        <v>0</v>
      </c>
      <c r="G225" s="5" t="s">
        <v>3858</v>
      </c>
      <c r="H225" s="5" t="s">
        <v>3859</v>
      </c>
      <c r="I225" s="6" t="str">
        <f>HYPERLINK("http://maps.yandex.ru/?ll=30.223608,59.90727&amp;spn=0.011598,0.004531&amp;z=17&amp;l=map&amp;pt=30.223608,59.90727", "59.907276//30.223608")</f>
        <v>59.907276//30.223608</v>
      </c>
      <c r="J225" s="5" t="s">
        <v>23</v>
      </c>
      <c r="K225" s="6" t="str">
        <f>HYPERLINK("http://maps.yandex.ru/?ll=38.157593,54.47796&amp;spn=0.011598,0.004531&amp;z=17&amp;l=map&amp;pt=38.157593,54.47796", "54.477966//38.157593")</f>
        <v>54.477966//38.157593</v>
      </c>
      <c r="L225" s="5" t="s">
        <v>168</v>
      </c>
      <c r="M225" s="5" t="s">
        <v>313</v>
      </c>
      <c r="N225" s="5" t="s">
        <v>3364</v>
      </c>
      <c r="O225" s="5" t="s">
        <v>1370</v>
      </c>
      <c r="P225" s="5">
        <v>60</v>
      </c>
      <c r="Q225" s="5">
        <v>33</v>
      </c>
      <c r="R225" s="5">
        <v>7</v>
      </c>
      <c r="S225" s="5">
        <v>992.91700000000003</v>
      </c>
      <c r="T225" s="5" t="s">
        <v>3860</v>
      </c>
      <c r="U225" s="5" t="s">
        <v>3861</v>
      </c>
      <c r="V225" s="5" t="s">
        <v>3862</v>
      </c>
      <c r="W225" s="5">
        <v>41.37</v>
      </c>
      <c r="X225" s="5">
        <v>69.319999999999993</v>
      </c>
      <c r="Y225" s="5">
        <v>127</v>
      </c>
      <c r="Z225" s="5" t="s">
        <v>2209</v>
      </c>
      <c r="AA225" s="5" t="s">
        <v>3863</v>
      </c>
      <c r="AB225" s="5" t="s">
        <v>2197</v>
      </c>
      <c r="AC225" s="5" t="s">
        <v>1673</v>
      </c>
      <c r="AD225" s="5" t="s">
        <v>19</v>
      </c>
      <c r="AE225" s="5" t="s">
        <v>1904</v>
      </c>
      <c r="AF225" s="5" t="s">
        <v>3864</v>
      </c>
      <c r="AG225" s="5">
        <v>301</v>
      </c>
      <c r="AH225" s="5">
        <v>2</v>
      </c>
      <c r="AI225" s="5">
        <v>299</v>
      </c>
      <c r="AJ225" s="5">
        <v>30.84</v>
      </c>
      <c r="AK225" s="5">
        <v>30.64</v>
      </c>
      <c r="AL225" s="5" t="s">
        <v>12</v>
      </c>
      <c r="AM225" s="5" t="s">
        <v>12</v>
      </c>
      <c r="AN225" s="5" t="s">
        <v>12</v>
      </c>
      <c r="AO225" s="5" t="s">
        <v>11</v>
      </c>
      <c r="AP225" s="5" t="s">
        <v>11</v>
      </c>
      <c r="AQ225" s="5" t="s">
        <v>53</v>
      </c>
      <c r="AR225" s="5" t="s">
        <v>52</v>
      </c>
    </row>
    <row r="226" spans="1:44" ht="31.5" x14ac:dyDescent="0.25">
      <c r="A226" s="10">
        <v>46096</v>
      </c>
      <c r="B226" s="5" t="s">
        <v>995</v>
      </c>
      <c r="C226" s="5" t="s">
        <v>2639</v>
      </c>
      <c r="D226" s="5" t="s">
        <v>11</v>
      </c>
      <c r="E226" s="5" t="s">
        <v>0</v>
      </c>
      <c r="F226" s="5" t="s">
        <v>0</v>
      </c>
      <c r="G226" s="5" t="s">
        <v>3103</v>
      </c>
      <c r="H226" s="5" t="s">
        <v>3865</v>
      </c>
      <c r="I226" s="6" t="str">
        <f>HYPERLINK("http://maps.yandex.ru/?ll=39.92322,47.53326&amp;spn=0.011598,0.004531&amp;z=17&amp;l=map&amp;pt=39.92322,47.53326", "47.533264//39.92322")</f>
        <v>47.533264//39.92322</v>
      </c>
      <c r="J226" s="5" t="s">
        <v>64</v>
      </c>
      <c r="K226" s="6" t="str">
        <f>HYPERLINK("http://maps.yandex.ru/?ll=39.14142,45.12064&amp;spn=0.011598,0.004531&amp;z=17&amp;l=map&amp;pt=39.14142,45.12064", "45.120644//39.14142")</f>
        <v>45.120644//39.14142</v>
      </c>
      <c r="L226" s="5" t="s">
        <v>88</v>
      </c>
      <c r="M226" s="5" t="s">
        <v>476</v>
      </c>
      <c r="N226" s="5" t="s">
        <v>3866</v>
      </c>
      <c r="O226" s="5" t="s">
        <v>3867</v>
      </c>
      <c r="P226" s="5">
        <v>21</v>
      </c>
      <c r="Q226" s="5">
        <v>61</v>
      </c>
      <c r="R226" s="5">
        <v>18</v>
      </c>
      <c r="S226" s="5">
        <v>456.66500000000002</v>
      </c>
      <c r="T226" s="5" t="s">
        <v>1868</v>
      </c>
      <c r="U226" s="5" t="s">
        <v>2640</v>
      </c>
      <c r="V226" s="5" t="s">
        <v>3868</v>
      </c>
      <c r="W226" s="5">
        <v>19.03</v>
      </c>
      <c r="X226" s="5">
        <v>92.56</v>
      </c>
      <c r="Y226" s="5">
        <v>147</v>
      </c>
      <c r="Z226" s="5" t="s">
        <v>2641</v>
      </c>
      <c r="AA226" s="5" t="s">
        <v>2677</v>
      </c>
      <c r="AB226" s="5" t="s">
        <v>19</v>
      </c>
      <c r="AC226" s="5" t="s">
        <v>19</v>
      </c>
      <c r="AD226" s="5" t="s">
        <v>19</v>
      </c>
      <c r="AE226" s="5" t="s">
        <v>1907</v>
      </c>
      <c r="AF226" s="5" t="s">
        <v>3869</v>
      </c>
      <c r="AG226" s="5">
        <v>119</v>
      </c>
      <c r="AH226" s="5">
        <v>43</v>
      </c>
      <c r="AI226" s="5">
        <v>76</v>
      </c>
      <c r="AJ226" s="5">
        <v>26.27</v>
      </c>
      <c r="AK226" s="5">
        <v>16.78</v>
      </c>
      <c r="AL226" s="5" t="s">
        <v>12</v>
      </c>
      <c r="AM226" s="5" t="s">
        <v>12</v>
      </c>
      <c r="AN226" s="5" t="s">
        <v>12</v>
      </c>
      <c r="AO226" s="5" t="s">
        <v>11</v>
      </c>
      <c r="AP226" s="5" t="s">
        <v>11</v>
      </c>
      <c r="AQ226" s="5" t="s">
        <v>53</v>
      </c>
      <c r="AR226" s="5" t="s">
        <v>52</v>
      </c>
    </row>
    <row r="227" spans="1:44" ht="31.5" x14ac:dyDescent="0.25">
      <c r="A227" s="10">
        <v>46096</v>
      </c>
      <c r="B227" s="5" t="s">
        <v>993</v>
      </c>
      <c r="C227" s="5" t="s">
        <v>2642</v>
      </c>
      <c r="D227" s="5" t="s">
        <v>11</v>
      </c>
      <c r="E227" s="5" t="s">
        <v>8</v>
      </c>
      <c r="F227" s="5" t="s">
        <v>8</v>
      </c>
      <c r="G227" s="5" t="s">
        <v>3870</v>
      </c>
      <c r="H227" s="5" t="s">
        <v>3871</v>
      </c>
      <c r="I227" s="6" t="str">
        <f>HYPERLINK("http://maps.yandex.ru/?ll=38.468983,55.59238&amp;spn=0.011598,0.004531&amp;z=17&amp;l=map&amp;pt=38.468983,55.59238", "55.592384//38.468983")</f>
        <v>55.592384//38.468983</v>
      </c>
      <c r="J227" s="5" t="s">
        <v>56</v>
      </c>
      <c r="K227" s="6" t="str">
        <f>HYPERLINK("http://maps.yandex.ru/?ll=38.325535,55.72309&amp;spn=0.011598,0.004531&amp;z=17&amp;l=map&amp;pt=38.325535,55.72309", "55.723095//38.325535")</f>
        <v>55.723095//38.325535</v>
      </c>
      <c r="L227" s="5" t="s">
        <v>56</v>
      </c>
      <c r="M227" s="5" t="s">
        <v>3872</v>
      </c>
      <c r="N227" s="5" t="s">
        <v>593</v>
      </c>
      <c r="O227" s="5" t="s">
        <v>657</v>
      </c>
      <c r="P227" s="5">
        <v>7</v>
      </c>
      <c r="Q227" s="5">
        <v>79</v>
      </c>
      <c r="R227" s="5">
        <v>14</v>
      </c>
      <c r="S227" s="5">
        <v>37.709000000000003</v>
      </c>
      <c r="T227" s="5" t="s">
        <v>1673</v>
      </c>
      <c r="U227" s="5" t="s">
        <v>3873</v>
      </c>
      <c r="V227" s="5" t="s">
        <v>2643</v>
      </c>
      <c r="W227" s="5">
        <v>1.57</v>
      </c>
      <c r="X227" s="5">
        <v>21.02</v>
      </c>
      <c r="Y227" s="5">
        <v>135</v>
      </c>
      <c r="Z227" s="5" t="s">
        <v>2317</v>
      </c>
      <c r="AA227" s="5" t="s">
        <v>2219</v>
      </c>
      <c r="AB227" s="5" t="s">
        <v>19</v>
      </c>
      <c r="AC227" s="5" t="s">
        <v>19</v>
      </c>
      <c r="AD227" s="5" t="s">
        <v>19</v>
      </c>
      <c r="AE227" s="5" t="s">
        <v>1746</v>
      </c>
      <c r="AF227" s="5" t="s">
        <v>3874</v>
      </c>
      <c r="AG227" s="5">
        <v>5</v>
      </c>
      <c r="AH227" s="5">
        <v>2</v>
      </c>
      <c r="AI227" s="5">
        <v>3</v>
      </c>
      <c r="AJ227" s="5">
        <v>500</v>
      </c>
      <c r="AK227" s="5">
        <v>300</v>
      </c>
      <c r="AL227" s="5" t="s">
        <v>12</v>
      </c>
      <c r="AM227" s="5" t="s">
        <v>12</v>
      </c>
      <c r="AN227" s="5" t="s">
        <v>12</v>
      </c>
      <c r="AO227" s="5" t="s">
        <v>11</v>
      </c>
      <c r="AP227" s="5" t="s">
        <v>11</v>
      </c>
      <c r="AQ227" s="5" t="s">
        <v>53</v>
      </c>
      <c r="AR227" s="5" t="s">
        <v>52</v>
      </c>
    </row>
    <row r="228" spans="1:44" ht="31.5" x14ac:dyDescent="0.25">
      <c r="A228" s="10">
        <v>46096</v>
      </c>
      <c r="B228" s="5" t="s">
        <v>990</v>
      </c>
      <c r="C228" s="5" t="s">
        <v>2644</v>
      </c>
      <c r="D228" s="5" t="s">
        <v>11</v>
      </c>
      <c r="E228" s="5" t="s">
        <v>1</v>
      </c>
      <c r="F228" s="5" t="s">
        <v>1</v>
      </c>
      <c r="G228" s="5" t="s">
        <v>3875</v>
      </c>
      <c r="H228" s="5" t="s">
        <v>3876</v>
      </c>
      <c r="I228" s="6" t="str">
        <f>HYPERLINK("http://maps.yandex.ru/?ll=102.02833,54.09547&amp;spn=0.011598,0.004531&amp;z=17&amp;l=map&amp;pt=102.02833,54.09547", "54.095474//102.02833")</f>
        <v>54.095474//102.02833</v>
      </c>
      <c r="J228" s="5" t="s">
        <v>1066</v>
      </c>
      <c r="K228" s="6" t="str">
        <f>HYPERLINK("http://maps.yandex.ru/?ll=107.477615,51.9072&amp;spn=0.011598,0.004531&amp;z=17&amp;l=map&amp;pt=107.477615,51.9072", "51.90723//107.477615")</f>
        <v>51.90723//107.477615</v>
      </c>
      <c r="L228" s="5" t="s">
        <v>1490</v>
      </c>
      <c r="M228" s="5" t="s">
        <v>661</v>
      </c>
      <c r="N228" s="5" t="s">
        <v>3877</v>
      </c>
      <c r="O228" s="5" t="s">
        <v>13</v>
      </c>
      <c r="P228" s="5">
        <v>38</v>
      </c>
      <c r="Q228" s="5">
        <v>62</v>
      </c>
      <c r="R228" s="5">
        <v>0</v>
      </c>
      <c r="S228" s="5">
        <v>692.91700000000003</v>
      </c>
      <c r="T228" s="5" t="s">
        <v>2358</v>
      </c>
      <c r="U228" s="5" t="s">
        <v>3878</v>
      </c>
      <c r="V228" s="5" t="s">
        <v>3879</v>
      </c>
      <c r="W228" s="5">
        <v>28.87</v>
      </c>
      <c r="X228" s="5">
        <v>75.16</v>
      </c>
      <c r="Y228" s="5">
        <v>110</v>
      </c>
      <c r="Z228" s="5" t="s">
        <v>1827</v>
      </c>
      <c r="AA228" s="5" t="s">
        <v>1516</v>
      </c>
      <c r="AB228" s="5" t="s">
        <v>19</v>
      </c>
      <c r="AC228" s="5" t="s">
        <v>19</v>
      </c>
      <c r="AD228" s="5" t="s">
        <v>19</v>
      </c>
      <c r="AE228" s="5" t="s">
        <v>2081</v>
      </c>
      <c r="AF228" s="5" t="s">
        <v>3880</v>
      </c>
      <c r="AG228" s="5">
        <v>163</v>
      </c>
      <c r="AH228" s="5">
        <v>14</v>
      </c>
      <c r="AI228" s="5">
        <v>149</v>
      </c>
      <c r="AJ228" s="5">
        <v>23.49</v>
      </c>
      <c r="AK228" s="5">
        <v>21.47</v>
      </c>
      <c r="AL228" s="5" t="s">
        <v>12</v>
      </c>
      <c r="AM228" s="5" t="s">
        <v>12</v>
      </c>
      <c r="AN228" s="5" t="s">
        <v>12</v>
      </c>
      <c r="AO228" s="5" t="s">
        <v>11</v>
      </c>
      <c r="AP228" s="5" t="s">
        <v>11</v>
      </c>
      <c r="AQ228" s="5" t="s">
        <v>53</v>
      </c>
      <c r="AR228" s="5" t="s">
        <v>52</v>
      </c>
    </row>
    <row r="229" spans="1:44" ht="31.5" x14ac:dyDescent="0.25">
      <c r="A229" s="10">
        <v>46096</v>
      </c>
      <c r="B229" s="5" t="s">
        <v>989</v>
      </c>
      <c r="C229" s="5" t="s">
        <v>2645</v>
      </c>
      <c r="D229" s="5" t="s">
        <v>11</v>
      </c>
      <c r="E229" s="5" t="s">
        <v>0</v>
      </c>
      <c r="F229" s="5" t="s">
        <v>0</v>
      </c>
      <c r="G229" s="5" t="s">
        <v>3881</v>
      </c>
      <c r="H229" s="5" t="s">
        <v>3882</v>
      </c>
      <c r="I229" s="6" t="str">
        <f>HYPERLINK("http://maps.yandex.ru/?ll=39.986794,50.8543&amp;spn=0.011598,0.004531&amp;z=17&amp;l=map&amp;pt=39.986794,50.8543", "50.85437//39.986794")</f>
        <v>50.85437//39.986794</v>
      </c>
      <c r="J229" s="5" t="s">
        <v>101</v>
      </c>
      <c r="K229" s="6" t="str">
        <f>HYPERLINK("http://maps.yandex.ru/?ll=38.28306,55.406&amp;spn=0.011598,0.004531&amp;z=17&amp;l=map&amp;pt=38.28306,55.406", "55.4065//38.28306")</f>
        <v>55.4065//38.28306</v>
      </c>
      <c r="L229" s="5" t="s">
        <v>56</v>
      </c>
      <c r="M229" s="5" t="s">
        <v>226</v>
      </c>
      <c r="N229" s="5" t="s">
        <v>414</v>
      </c>
      <c r="O229" s="5" t="s">
        <v>3883</v>
      </c>
      <c r="P229" s="5">
        <v>19</v>
      </c>
      <c r="Q229" s="5">
        <v>57</v>
      </c>
      <c r="R229" s="5">
        <v>24</v>
      </c>
      <c r="S229" s="5">
        <v>332.11399999999998</v>
      </c>
      <c r="T229" s="5" t="s">
        <v>2122</v>
      </c>
      <c r="U229" s="5" t="s">
        <v>3884</v>
      </c>
      <c r="V229" s="5" t="s">
        <v>3885</v>
      </c>
      <c r="W229" s="5">
        <v>13.84</v>
      </c>
      <c r="X229" s="5">
        <v>71.56</v>
      </c>
      <c r="Y229" s="5">
        <v>192</v>
      </c>
      <c r="Z229" s="5" t="s">
        <v>2646</v>
      </c>
      <c r="AA229" s="5" t="s">
        <v>3886</v>
      </c>
      <c r="AB229" s="5" t="s">
        <v>1487</v>
      </c>
      <c r="AC229" s="5" t="s">
        <v>1673</v>
      </c>
      <c r="AD229" s="5" t="s">
        <v>19</v>
      </c>
      <c r="AE229" s="5" t="s">
        <v>2219</v>
      </c>
      <c r="AF229" s="5" t="s">
        <v>3887</v>
      </c>
      <c r="AG229" s="5">
        <v>148</v>
      </c>
      <c r="AH229" s="5">
        <v>3</v>
      </c>
      <c r="AI229" s="5">
        <v>145</v>
      </c>
      <c r="AJ229" s="5">
        <v>24.1</v>
      </c>
      <c r="AK229" s="5">
        <v>23.62</v>
      </c>
      <c r="AL229" s="5" t="s">
        <v>12</v>
      </c>
      <c r="AM229" s="5" t="s">
        <v>12</v>
      </c>
      <c r="AN229" s="5" t="s">
        <v>12</v>
      </c>
      <c r="AO229" s="5" t="s">
        <v>11</v>
      </c>
      <c r="AP229" s="5" t="s">
        <v>11</v>
      </c>
      <c r="AQ229" s="5" t="s">
        <v>123</v>
      </c>
      <c r="AR229" s="5" t="s">
        <v>122</v>
      </c>
    </row>
    <row r="230" spans="1:44" ht="31.5" x14ac:dyDescent="0.25">
      <c r="A230" s="10">
        <v>46096</v>
      </c>
      <c r="B230" s="5" t="s">
        <v>987</v>
      </c>
      <c r="C230" s="5" t="s">
        <v>2647</v>
      </c>
      <c r="D230" s="5" t="s">
        <v>11</v>
      </c>
      <c r="E230" s="5" t="s">
        <v>0</v>
      </c>
      <c r="F230" s="5" t="s">
        <v>0</v>
      </c>
      <c r="G230" s="5" t="s">
        <v>3888</v>
      </c>
      <c r="H230" s="5" t="s">
        <v>3889</v>
      </c>
      <c r="I230" s="6" t="str">
        <f>HYPERLINK("http://maps.yandex.ru/?ll=36.584156,55.0922&amp;spn=0.011598,0.004531&amp;z=17&amp;l=map&amp;pt=36.584156,55.0922", "55.09223//36.584156")</f>
        <v>55.09223//36.584156</v>
      </c>
      <c r="J230" s="5" t="s">
        <v>202</v>
      </c>
      <c r="K230" s="6" t="str">
        <f>HYPERLINK("http://maps.yandex.ru/?ll=37.626255,55.5304&amp;spn=0.011598,0.004531&amp;z=17&amp;l=map&amp;pt=37.626255,55.5304", "55.53044//37.626255")</f>
        <v>55.53044//37.626255</v>
      </c>
      <c r="L230" s="5" t="s">
        <v>56</v>
      </c>
      <c r="M230" s="5" t="s">
        <v>55</v>
      </c>
      <c r="N230" s="5" t="s">
        <v>60</v>
      </c>
      <c r="O230" s="5" t="s">
        <v>3890</v>
      </c>
      <c r="P230" s="5">
        <v>6</v>
      </c>
      <c r="Q230" s="5">
        <v>25</v>
      </c>
      <c r="R230" s="5">
        <v>68</v>
      </c>
      <c r="S230" s="5">
        <v>74.44</v>
      </c>
      <c r="T230" s="5" t="s">
        <v>1938</v>
      </c>
      <c r="U230" s="5" t="s">
        <v>2648</v>
      </c>
      <c r="V230" s="5" t="s">
        <v>3891</v>
      </c>
      <c r="W230" s="5">
        <v>3.1</v>
      </c>
      <c r="X230" s="5">
        <v>47.79</v>
      </c>
      <c r="Y230" s="5">
        <v>113</v>
      </c>
      <c r="Z230" s="5" t="s">
        <v>2649</v>
      </c>
      <c r="AA230" s="5" t="s">
        <v>2789</v>
      </c>
      <c r="AB230" s="5" t="s">
        <v>19</v>
      </c>
      <c r="AC230" s="5" t="s">
        <v>19</v>
      </c>
      <c r="AD230" s="5" t="s">
        <v>19</v>
      </c>
      <c r="AE230" s="5" t="s">
        <v>2546</v>
      </c>
      <c r="AF230" s="5" t="s">
        <v>3892</v>
      </c>
      <c r="AG230" s="5">
        <v>52</v>
      </c>
      <c r="AH230" s="5">
        <v>0</v>
      </c>
      <c r="AI230" s="5">
        <v>52</v>
      </c>
      <c r="AJ230" s="5">
        <v>29.89</v>
      </c>
      <c r="AK230" s="5">
        <v>29.89</v>
      </c>
      <c r="AL230" s="5" t="s">
        <v>12</v>
      </c>
      <c r="AM230" s="5" t="s">
        <v>12</v>
      </c>
      <c r="AN230" s="5" t="s">
        <v>12</v>
      </c>
      <c r="AO230" s="5" t="s">
        <v>11</v>
      </c>
      <c r="AP230" s="5" t="s">
        <v>11</v>
      </c>
      <c r="AQ230" s="5" t="s">
        <v>123</v>
      </c>
      <c r="AR230" s="5" t="s">
        <v>122</v>
      </c>
    </row>
    <row r="231" spans="1:44" ht="31.5" x14ac:dyDescent="0.25">
      <c r="A231" s="10">
        <v>46096</v>
      </c>
      <c r="B231" s="5" t="s">
        <v>986</v>
      </c>
      <c r="C231" s="5" t="s">
        <v>2650</v>
      </c>
      <c r="D231" s="5" t="s">
        <v>11</v>
      </c>
      <c r="E231" s="5" t="s">
        <v>8</v>
      </c>
      <c r="F231" s="5" t="s">
        <v>8</v>
      </c>
      <c r="G231" s="5" t="s">
        <v>3893</v>
      </c>
      <c r="H231" s="5" t="s">
        <v>3894</v>
      </c>
      <c r="I231" s="6" t="str">
        <f>HYPERLINK("http://maps.yandex.ru/?ll=40.52511,49.82524&amp;spn=0.011598,0.004531&amp;z=17&amp;l=map&amp;pt=40.52511,49.82524", "49.825245//40.52511")</f>
        <v>49.825245//40.52511</v>
      </c>
      <c r="J231" s="5" t="s">
        <v>101</v>
      </c>
      <c r="K231" s="6" t="str">
        <f>HYPERLINK("http://maps.yandex.ru/?ll=41.090885,44.98473&amp;spn=0.011598,0.004531&amp;z=17&amp;l=map&amp;pt=41.090885,44.98473", "44.984737//41.090885")</f>
        <v>44.984737//41.090885</v>
      </c>
      <c r="L231" s="5" t="s">
        <v>88</v>
      </c>
      <c r="M231" s="5" t="s">
        <v>608</v>
      </c>
      <c r="N231" s="5" t="s">
        <v>845</v>
      </c>
      <c r="O231" s="5" t="s">
        <v>25</v>
      </c>
      <c r="P231" s="5">
        <v>36</v>
      </c>
      <c r="Q231" s="5">
        <v>63</v>
      </c>
      <c r="R231" s="5">
        <v>1</v>
      </c>
      <c r="S231" s="5">
        <v>582.303</v>
      </c>
      <c r="T231" s="5" t="s">
        <v>1843</v>
      </c>
      <c r="U231" s="5" t="s">
        <v>3895</v>
      </c>
      <c r="V231" s="5" t="s">
        <v>3896</v>
      </c>
      <c r="W231" s="5">
        <v>24.26</v>
      </c>
      <c r="X231" s="5">
        <v>67.16</v>
      </c>
      <c r="Y231" s="5">
        <v>100</v>
      </c>
      <c r="Z231" s="5" t="s">
        <v>1950</v>
      </c>
      <c r="AA231" s="5" t="s">
        <v>1880</v>
      </c>
      <c r="AB231" s="5" t="s">
        <v>19</v>
      </c>
      <c r="AC231" s="5" t="s">
        <v>19</v>
      </c>
      <c r="AD231" s="5" t="s">
        <v>19</v>
      </c>
      <c r="AE231" s="5" t="s">
        <v>2130</v>
      </c>
      <c r="AF231" s="5" t="s">
        <v>3897</v>
      </c>
      <c r="AG231" s="5">
        <v>235</v>
      </c>
      <c r="AH231" s="5">
        <v>2</v>
      </c>
      <c r="AI231" s="5">
        <v>233</v>
      </c>
      <c r="AJ231" s="5">
        <v>37.07</v>
      </c>
      <c r="AK231" s="5">
        <v>36.75</v>
      </c>
      <c r="AL231" s="5" t="s">
        <v>12</v>
      </c>
      <c r="AM231" s="5" t="s">
        <v>12</v>
      </c>
      <c r="AN231" s="5" t="s">
        <v>12</v>
      </c>
      <c r="AO231" s="5" t="s">
        <v>11</v>
      </c>
      <c r="AP231" s="5" t="s">
        <v>11</v>
      </c>
      <c r="AQ231" s="5" t="s">
        <v>18</v>
      </c>
      <c r="AR231" s="5" t="s">
        <v>17</v>
      </c>
    </row>
    <row r="232" spans="1:44" ht="31.5" x14ac:dyDescent="0.25">
      <c r="A232" s="10">
        <v>46096</v>
      </c>
      <c r="B232" s="5" t="s">
        <v>985</v>
      </c>
      <c r="C232" s="5" t="s">
        <v>2651</v>
      </c>
      <c r="D232" s="5" t="s">
        <v>11</v>
      </c>
      <c r="E232" s="5" t="s">
        <v>0</v>
      </c>
      <c r="F232" s="5" t="s">
        <v>0</v>
      </c>
      <c r="G232" s="5" t="s">
        <v>3898</v>
      </c>
      <c r="H232" s="5" t="s">
        <v>3899</v>
      </c>
      <c r="I232" s="6" t="str">
        <f>HYPERLINK("http://maps.yandex.ru/?ll=55.833477,52.65816&amp;spn=0.011598,0.004531&amp;z=17&amp;l=map&amp;pt=55.833477,52.65816", "52.658165//55.833477")</f>
        <v>52.658165//55.833477</v>
      </c>
      <c r="J232" s="5" t="s">
        <v>34</v>
      </c>
      <c r="K232" s="6" t="str">
        <f>HYPERLINK("http://maps.yandex.ru/?ll=53.03414,55.70356&amp;spn=0.011598,0.004531&amp;z=17&amp;l=map&amp;pt=53.03414,55.70356", "55.703568//53.03414")</f>
        <v>55.703568//53.03414</v>
      </c>
      <c r="L232" s="5" t="s">
        <v>28</v>
      </c>
      <c r="M232" s="5" t="s">
        <v>1103</v>
      </c>
      <c r="N232" s="5" t="s">
        <v>347</v>
      </c>
      <c r="O232" s="5" t="s">
        <v>1288</v>
      </c>
      <c r="P232" s="5">
        <v>52</v>
      </c>
      <c r="Q232" s="5">
        <v>46</v>
      </c>
      <c r="R232" s="5">
        <v>3</v>
      </c>
      <c r="S232" s="5">
        <v>867.83299999999997</v>
      </c>
      <c r="T232" s="5" t="s">
        <v>2358</v>
      </c>
      <c r="U232" s="5" t="s">
        <v>3900</v>
      </c>
      <c r="V232" s="5" t="s">
        <v>3901</v>
      </c>
      <c r="W232" s="5">
        <v>36.159999999999997</v>
      </c>
      <c r="X232" s="5">
        <v>70.16</v>
      </c>
      <c r="Y232" s="5">
        <v>150</v>
      </c>
      <c r="Z232" s="5" t="s">
        <v>3902</v>
      </c>
      <c r="AA232" s="5" t="s">
        <v>3903</v>
      </c>
      <c r="AB232" s="5" t="s">
        <v>19</v>
      </c>
      <c r="AC232" s="5" t="s">
        <v>19</v>
      </c>
      <c r="AD232" s="5" t="s">
        <v>19</v>
      </c>
      <c r="AE232" s="5" t="s">
        <v>2105</v>
      </c>
      <c r="AF232" s="5" t="s">
        <v>3904</v>
      </c>
      <c r="AG232" s="5">
        <v>207</v>
      </c>
      <c r="AH232" s="5">
        <v>2</v>
      </c>
      <c r="AI232" s="5">
        <v>205</v>
      </c>
      <c r="AJ232" s="5">
        <v>29.83</v>
      </c>
      <c r="AK232" s="5">
        <v>29.54</v>
      </c>
      <c r="AL232" s="5" t="s">
        <v>12</v>
      </c>
      <c r="AM232" s="5" t="s">
        <v>12</v>
      </c>
      <c r="AN232" s="5" t="s">
        <v>12</v>
      </c>
      <c r="AO232" s="5" t="s">
        <v>11</v>
      </c>
      <c r="AP232" s="5" t="s">
        <v>11</v>
      </c>
      <c r="AQ232" s="5" t="s">
        <v>18</v>
      </c>
      <c r="AR232" s="5" t="s">
        <v>17</v>
      </c>
    </row>
    <row r="233" spans="1:44" ht="31.5" x14ac:dyDescent="0.25">
      <c r="A233" s="10">
        <v>46096</v>
      </c>
      <c r="B233" s="5" t="s">
        <v>981</v>
      </c>
      <c r="C233" s="5" t="s">
        <v>2652</v>
      </c>
      <c r="D233" s="5" t="s">
        <v>11</v>
      </c>
      <c r="E233" s="5" t="s">
        <v>6</v>
      </c>
      <c r="F233" s="5" t="s">
        <v>6</v>
      </c>
      <c r="G233" s="5" t="s">
        <v>3103</v>
      </c>
      <c r="H233" s="5" t="s">
        <v>3905</v>
      </c>
      <c r="I233" s="6" t="str">
        <f>HYPERLINK("http://maps.yandex.ru/?ll=40.42491,47.89247&amp;spn=0.011598,0.004531&amp;z=17&amp;l=map&amp;pt=40.42491,47.89247", "47.892475//40.42491")</f>
        <v>47.892475//40.42491</v>
      </c>
      <c r="J233" s="5" t="s">
        <v>64</v>
      </c>
      <c r="K233" s="6" t="str">
        <f>HYPERLINK("http://maps.yandex.ru/?ll=44.61318,48.9405&amp;spn=0.011598,0.004531&amp;z=17&amp;l=map&amp;pt=44.61318,48.9405", "48.94051//44.61318")</f>
        <v>48.94051//44.61318</v>
      </c>
      <c r="L233" s="5" t="s">
        <v>95</v>
      </c>
      <c r="M233" s="5" t="s">
        <v>55</v>
      </c>
      <c r="N233" s="5" t="s">
        <v>298</v>
      </c>
      <c r="O233" s="5" t="s">
        <v>1363</v>
      </c>
      <c r="P233" s="5">
        <v>7</v>
      </c>
      <c r="Q233" s="5">
        <v>68</v>
      </c>
      <c r="R233" s="5">
        <v>25</v>
      </c>
      <c r="S233" s="5">
        <v>63.048999999999999</v>
      </c>
      <c r="T233" s="5" t="s">
        <v>3906</v>
      </c>
      <c r="U233" s="5" t="s">
        <v>3907</v>
      </c>
      <c r="V233" s="5" t="s">
        <v>3908</v>
      </c>
      <c r="W233" s="5">
        <v>2.63</v>
      </c>
      <c r="X233" s="5">
        <v>40.28</v>
      </c>
      <c r="Y233" s="5">
        <v>115</v>
      </c>
      <c r="Z233" s="5" t="s">
        <v>2653</v>
      </c>
      <c r="AA233" s="5" t="s">
        <v>2268</v>
      </c>
      <c r="AB233" s="5" t="s">
        <v>1725</v>
      </c>
      <c r="AC233" s="5" t="s">
        <v>1673</v>
      </c>
      <c r="AD233" s="5" t="s">
        <v>19</v>
      </c>
      <c r="AE233" s="5" t="s">
        <v>1793</v>
      </c>
      <c r="AF233" s="5" t="s">
        <v>3909</v>
      </c>
      <c r="AG233" s="5">
        <v>162</v>
      </c>
      <c r="AH233" s="5">
        <v>49</v>
      </c>
      <c r="AI233" s="5">
        <v>113</v>
      </c>
      <c r="AJ233" s="5">
        <v>36.99</v>
      </c>
      <c r="AK233" s="5">
        <v>25.8</v>
      </c>
      <c r="AL233" s="5" t="s">
        <v>12</v>
      </c>
      <c r="AM233" s="5" t="s">
        <v>12</v>
      </c>
      <c r="AN233" s="5" t="s">
        <v>12</v>
      </c>
      <c r="AO233" s="5" t="s">
        <v>11</v>
      </c>
      <c r="AP233" s="5" t="s">
        <v>11</v>
      </c>
      <c r="AQ233" s="5" t="s">
        <v>53</v>
      </c>
      <c r="AR233" s="5" t="s">
        <v>52</v>
      </c>
    </row>
    <row r="234" spans="1:44" ht="31.5" x14ac:dyDescent="0.25">
      <c r="A234" s="10">
        <v>46096</v>
      </c>
      <c r="B234" s="5" t="s">
        <v>979</v>
      </c>
      <c r="C234" s="5" t="s">
        <v>2654</v>
      </c>
      <c r="D234" s="5" t="s">
        <v>11</v>
      </c>
      <c r="E234" s="5" t="s">
        <v>0</v>
      </c>
      <c r="F234" s="5" t="s">
        <v>0</v>
      </c>
      <c r="G234" s="5" t="s">
        <v>3910</v>
      </c>
      <c r="H234" s="5" t="s">
        <v>3911</v>
      </c>
      <c r="I234" s="6" t="str">
        <f>HYPERLINK("http://maps.yandex.ru/?ll=53.348988,54.4797&amp;spn=0.011598,0.004531&amp;z=17&amp;l=map&amp;pt=53.348988,54.4797", "54.47977//53.348988")</f>
        <v>54.47977//53.348988</v>
      </c>
      <c r="J234" s="5" t="s">
        <v>28</v>
      </c>
      <c r="K234" s="6" t="str">
        <f>HYPERLINK("http://maps.yandex.ru/?ll=45.00602,53.2519&amp;spn=0.011598,0.004531&amp;z=17&amp;l=map&amp;pt=45.00602,53.2519", "53.25192//45.00602")</f>
        <v>53.25192//45.00602</v>
      </c>
      <c r="L234" s="5" t="s">
        <v>94</v>
      </c>
      <c r="M234" s="5" t="s">
        <v>3160</v>
      </c>
      <c r="N234" s="5" t="s">
        <v>3912</v>
      </c>
      <c r="O234" s="5" t="s">
        <v>13</v>
      </c>
      <c r="P234" s="5">
        <v>38</v>
      </c>
      <c r="Q234" s="5">
        <v>62</v>
      </c>
      <c r="R234" s="5">
        <v>0</v>
      </c>
      <c r="S234" s="5">
        <v>637.798</v>
      </c>
      <c r="T234" s="5" t="s">
        <v>12</v>
      </c>
      <c r="U234" s="5" t="s">
        <v>12</v>
      </c>
      <c r="V234" s="5" t="s">
        <v>12</v>
      </c>
      <c r="W234" s="5">
        <v>26.58</v>
      </c>
      <c r="X234" s="5">
        <v>69.25</v>
      </c>
      <c r="Y234" s="5">
        <v>99</v>
      </c>
      <c r="Z234" s="5" t="s">
        <v>1910</v>
      </c>
      <c r="AA234" s="5" t="s">
        <v>2085</v>
      </c>
      <c r="AB234" s="5" t="s">
        <v>1709</v>
      </c>
      <c r="AC234" s="5" t="s">
        <v>1673</v>
      </c>
      <c r="AD234" s="5" t="s">
        <v>19</v>
      </c>
      <c r="AE234" s="5" t="s">
        <v>2743</v>
      </c>
      <c r="AF234" s="5" t="s">
        <v>12</v>
      </c>
      <c r="AG234" s="5"/>
      <c r="AH234" s="5"/>
      <c r="AI234" s="5"/>
      <c r="AJ234" s="5"/>
      <c r="AK234" s="5"/>
      <c r="AL234" s="5" t="s">
        <v>12</v>
      </c>
      <c r="AM234" s="5" t="s">
        <v>12</v>
      </c>
      <c r="AN234" s="5" t="s">
        <v>12</v>
      </c>
      <c r="AO234" s="5" t="s">
        <v>115</v>
      </c>
      <c r="AP234" s="5" t="s">
        <v>114</v>
      </c>
      <c r="AQ234" s="5" t="s">
        <v>99</v>
      </c>
      <c r="AR234" s="5" t="s">
        <v>98</v>
      </c>
    </row>
    <row r="235" spans="1:44" ht="31.5" x14ac:dyDescent="0.25">
      <c r="A235" s="10">
        <v>46096</v>
      </c>
      <c r="B235" s="5" t="s">
        <v>978</v>
      </c>
      <c r="C235" s="5" t="s">
        <v>2655</v>
      </c>
      <c r="D235" s="5" t="s">
        <v>11</v>
      </c>
      <c r="E235" s="5" t="s">
        <v>1</v>
      </c>
      <c r="F235" s="5" t="s">
        <v>1</v>
      </c>
      <c r="G235" s="5" t="s">
        <v>3103</v>
      </c>
      <c r="H235" s="5" t="s">
        <v>3913</v>
      </c>
      <c r="I235" s="6" t="str">
        <f>HYPERLINK("http://maps.yandex.ru/?ll=38.9785,55.5533&amp;spn=0.011598,0.004531&amp;z=17&amp;l=map&amp;pt=38.9785,55.5533", "55.55331//38.9785")</f>
        <v>55.55331//38.9785</v>
      </c>
      <c r="J235" s="5" t="s">
        <v>56</v>
      </c>
      <c r="K235" s="6" t="str">
        <f>HYPERLINK("http://maps.yandex.ru/?ll=38.685543,55.85473&amp;spn=0.011598,0.004531&amp;z=17&amp;l=map&amp;pt=38.685543,55.85473", "55.854736//38.685543")</f>
        <v>55.854736//38.685543</v>
      </c>
      <c r="L235" s="5" t="s">
        <v>56</v>
      </c>
      <c r="M235" s="5" t="s">
        <v>608</v>
      </c>
      <c r="N235" s="5" t="s">
        <v>13</v>
      </c>
      <c r="O235" s="5" t="s">
        <v>171</v>
      </c>
      <c r="P235" s="5">
        <v>36</v>
      </c>
      <c r="Q235" s="5">
        <v>0</v>
      </c>
      <c r="R235" s="5">
        <v>64</v>
      </c>
      <c r="S235" s="5">
        <v>1638.4</v>
      </c>
      <c r="T235" s="5" t="s">
        <v>12</v>
      </c>
      <c r="U235" s="5" t="s">
        <v>12</v>
      </c>
      <c r="V235" s="5" t="s">
        <v>12</v>
      </c>
      <c r="W235" s="5">
        <v>68.27</v>
      </c>
      <c r="X235" s="5">
        <v>188.74</v>
      </c>
      <c r="Y235" s="5">
        <v>103</v>
      </c>
      <c r="Z235" s="5" t="s">
        <v>1707</v>
      </c>
      <c r="AA235" s="5" t="s">
        <v>1512</v>
      </c>
      <c r="AB235" s="5" t="s">
        <v>19</v>
      </c>
      <c r="AC235" s="5" t="s">
        <v>19</v>
      </c>
      <c r="AD235" s="5" t="s">
        <v>19</v>
      </c>
      <c r="AE235" s="5" t="s">
        <v>1673</v>
      </c>
      <c r="AF235" s="5" t="s">
        <v>12</v>
      </c>
      <c r="AG235" s="5"/>
      <c r="AH235" s="5"/>
      <c r="AI235" s="5"/>
      <c r="AJ235" s="5"/>
      <c r="AK235" s="5"/>
      <c r="AL235" s="5" t="s">
        <v>12</v>
      </c>
      <c r="AM235" s="5" t="s">
        <v>12</v>
      </c>
      <c r="AN235" s="5" t="s">
        <v>12</v>
      </c>
      <c r="AO235" s="5" t="s">
        <v>115</v>
      </c>
      <c r="AP235" s="5" t="s">
        <v>114</v>
      </c>
      <c r="AQ235" s="5" t="s">
        <v>99</v>
      </c>
      <c r="AR235" s="5" t="s">
        <v>98</v>
      </c>
    </row>
    <row r="236" spans="1:44" ht="31.5" x14ac:dyDescent="0.25">
      <c r="A236" s="10">
        <v>46096</v>
      </c>
      <c r="B236" s="5" t="s">
        <v>977</v>
      </c>
      <c r="C236" s="5" t="s">
        <v>2656</v>
      </c>
      <c r="D236" s="5" t="s">
        <v>11</v>
      </c>
      <c r="E236" s="5" t="s">
        <v>0</v>
      </c>
      <c r="F236" s="5" t="s">
        <v>0</v>
      </c>
      <c r="G236" s="5" t="s">
        <v>3103</v>
      </c>
      <c r="H236" s="5" t="s">
        <v>3914</v>
      </c>
      <c r="I236" s="6" t="str">
        <f>HYPERLINK("http://maps.yandex.ru/?ll=37.190224,56.11092&amp;spn=0.011598,0.004531&amp;z=17&amp;l=map&amp;pt=37.190224,56.11092", "56.110928//37.190224")</f>
        <v>56.110928//37.190224</v>
      </c>
      <c r="J236" s="5" t="s">
        <v>56</v>
      </c>
      <c r="K236" s="6" t="str">
        <f>HYPERLINK("http://maps.yandex.ru/?ll=30.460186,59.77278&amp;spn=0.011598,0.004531&amp;z=17&amp;l=map&amp;pt=30.460186,59.77278", "59.772785//30.460186")</f>
        <v>59.772785//30.460186</v>
      </c>
      <c r="L236" s="5" t="s">
        <v>23</v>
      </c>
      <c r="M236" s="5" t="s">
        <v>3915</v>
      </c>
      <c r="N236" s="5" t="s">
        <v>1138</v>
      </c>
      <c r="O236" s="5" t="s">
        <v>1345</v>
      </c>
      <c r="P236" s="5">
        <v>45</v>
      </c>
      <c r="Q236" s="5">
        <v>50</v>
      </c>
      <c r="R236" s="5">
        <v>5</v>
      </c>
      <c r="S236" s="5">
        <v>626.85699999999997</v>
      </c>
      <c r="T236" s="5" t="s">
        <v>12</v>
      </c>
      <c r="U236" s="5" t="s">
        <v>12</v>
      </c>
      <c r="V236" s="5" t="s">
        <v>12</v>
      </c>
      <c r="W236" s="5">
        <v>26.12</v>
      </c>
      <c r="X236" s="5">
        <v>57.61</v>
      </c>
      <c r="Y236" s="5">
        <v>103</v>
      </c>
      <c r="Z236" s="5" t="s">
        <v>2240</v>
      </c>
      <c r="AA236" s="5" t="s">
        <v>2136</v>
      </c>
      <c r="AB236" s="5" t="s">
        <v>2086</v>
      </c>
      <c r="AC236" s="5" t="s">
        <v>1673</v>
      </c>
      <c r="AD236" s="5" t="s">
        <v>19</v>
      </c>
      <c r="AE236" s="5" t="s">
        <v>2731</v>
      </c>
      <c r="AF236" s="5" t="s">
        <v>12</v>
      </c>
      <c r="AG236" s="5"/>
      <c r="AH236" s="5"/>
      <c r="AI236" s="5"/>
      <c r="AJ236" s="5"/>
      <c r="AK236" s="5"/>
      <c r="AL236" s="5" t="s">
        <v>3916</v>
      </c>
      <c r="AM236" s="5" t="s">
        <v>3917</v>
      </c>
      <c r="AN236" s="5" t="s">
        <v>1927</v>
      </c>
      <c r="AO236" s="5" t="s">
        <v>115</v>
      </c>
      <c r="AP236" s="5" t="s">
        <v>114</v>
      </c>
      <c r="AQ236" s="5" t="s">
        <v>99</v>
      </c>
      <c r="AR236" s="5" t="s">
        <v>98</v>
      </c>
    </row>
    <row r="237" spans="1:44" ht="15.75" x14ac:dyDescent="0.25">
      <c r="A237" s="10">
        <v>46096</v>
      </c>
      <c r="B237" s="5" t="s">
        <v>976</v>
      </c>
      <c r="C237" s="5" t="s">
        <v>2657</v>
      </c>
      <c r="D237" s="5" t="s">
        <v>11</v>
      </c>
      <c r="E237" s="5" t="s">
        <v>7</v>
      </c>
      <c r="F237" s="5" t="s">
        <v>7</v>
      </c>
      <c r="G237" s="5" t="s">
        <v>11</v>
      </c>
      <c r="H237" s="5" t="s">
        <v>11</v>
      </c>
      <c r="I237" s="6" t="str">
        <f>HYPERLINK("http://maps.yandex.ru/?ll=,&amp;spn=0.011598,0.004531&amp;z=17&amp;l=map&amp;pt=,", "")</f>
        <v/>
      </c>
      <c r="J237" s="5" t="s">
        <v>84</v>
      </c>
      <c r="K237" s="6" t="str">
        <f>HYPERLINK("http://maps.yandex.ru/?ll=,&amp;spn=0.011598,0.004531&amp;z=17&amp;l=map&amp;pt=,", "")</f>
        <v/>
      </c>
      <c r="L237" s="5" t="s">
        <v>84</v>
      </c>
      <c r="M237" s="5" t="s">
        <v>13</v>
      </c>
      <c r="N237" s="5" t="s">
        <v>58</v>
      </c>
      <c r="O237" s="5" t="s">
        <v>13</v>
      </c>
      <c r="P237" s="5">
        <v>0</v>
      </c>
      <c r="Q237" s="5">
        <v>100</v>
      </c>
      <c r="R237" s="5">
        <v>0</v>
      </c>
      <c r="S237" s="5">
        <v>0</v>
      </c>
      <c r="T237" s="5" t="s">
        <v>12</v>
      </c>
      <c r="U237" s="5" t="s">
        <v>12</v>
      </c>
      <c r="V237" s="5" t="s">
        <v>12</v>
      </c>
      <c r="W237" s="5">
        <v>0</v>
      </c>
      <c r="X237" s="5">
        <v>0</v>
      </c>
      <c r="Y237" s="5">
        <v>0</v>
      </c>
      <c r="Z237" s="5" t="s">
        <v>2086</v>
      </c>
      <c r="AA237" s="5" t="s">
        <v>2086</v>
      </c>
      <c r="AB237" s="5" t="s">
        <v>19</v>
      </c>
      <c r="AC237" s="5" t="s">
        <v>19</v>
      </c>
      <c r="AD237" s="5" t="s">
        <v>19</v>
      </c>
      <c r="AE237" s="5" t="s">
        <v>19</v>
      </c>
      <c r="AF237" s="5" t="s">
        <v>12</v>
      </c>
      <c r="AG237" s="5"/>
      <c r="AH237" s="5"/>
      <c r="AI237" s="5"/>
      <c r="AJ237" s="5"/>
      <c r="AK237" s="5"/>
      <c r="AL237" s="5" t="s">
        <v>12</v>
      </c>
      <c r="AM237" s="5" t="s">
        <v>12</v>
      </c>
      <c r="AN237" s="5" t="s">
        <v>12</v>
      </c>
      <c r="AO237" s="5" t="s">
        <v>115</v>
      </c>
      <c r="AP237" s="5" t="s">
        <v>114</v>
      </c>
      <c r="AQ237" s="5" t="s">
        <v>99</v>
      </c>
      <c r="AR237" s="5" t="s">
        <v>98</v>
      </c>
    </row>
    <row r="238" spans="1:44" ht="31.5" x14ac:dyDescent="0.25">
      <c r="A238" s="10">
        <v>46096</v>
      </c>
      <c r="B238" s="5" t="s">
        <v>975</v>
      </c>
      <c r="C238" s="5" t="s">
        <v>2658</v>
      </c>
      <c r="D238" s="5" t="s">
        <v>11</v>
      </c>
      <c r="E238" s="5" t="s">
        <v>0</v>
      </c>
      <c r="F238" s="5" t="s">
        <v>0</v>
      </c>
      <c r="G238" s="5" t="s">
        <v>3918</v>
      </c>
      <c r="H238" s="5" t="s">
        <v>3919</v>
      </c>
      <c r="I238" s="6" t="str">
        <f>HYPERLINK("http://maps.yandex.ru/?ll=42.0834,45.0440&amp;spn=0.011598,0.004531&amp;z=17&amp;l=map&amp;pt=42.0834,45.0440", "45.04408//42.0834")</f>
        <v>45.04408//42.0834</v>
      </c>
      <c r="J238" s="5" t="s">
        <v>208</v>
      </c>
      <c r="K238" s="6" t="str">
        <f>HYPERLINK("http://maps.yandex.ru/?ll=44.513054,48.78318&amp;spn=0.011598,0.004531&amp;z=17&amp;l=map&amp;pt=44.513054,48.78318", "48.783184//44.513054")</f>
        <v>48.783184//44.513054</v>
      </c>
      <c r="L238" s="5" t="s">
        <v>95</v>
      </c>
      <c r="M238" s="5" t="s">
        <v>320</v>
      </c>
      <c r="N238" s="5" t="s">
        <v>3920</v>
      </c>
      <c r="O238" s="5" t="s">
        <v>3543</v>
      </c>
      <c r="P238" s="5">
        <v>28</v>
      </c>
      <c r="Q238" s="5">
        <v>66</v>
      </c>
      <c r="R238" s="5">
        <v>6</v>
      </c>
      <c r="S238" s="5">
        <v>452.63900000000001</v>
      </c>
      <c r="T238" s="5" t="s">
        <v>2630</v>
      </c>
      <c r="U238" s="5" t="s">
        <v>3921</v>
      </c>
      <c r="V238" s="5" t="s">
        <v>3922</v>
      </c>
      <c r="W238" s="5">
        <v>18.86</v>
      </c>
      <c r="X238" s="5">
        <v>67.2</v>
      </c>
      <c r="Y238" s="5">
        <v>207</v>
      </c>
      <c r="Z238" s="5" t="s">
        <v>2369</v>
      </c>
      <c r="AA238" s="5" t="s">
        <v>2510</v>
      </c>
      <c r="AB238" s="5" t="s">
        <v>19</v>
      </c>
      <c r="AC238" s="5" t="s">
        <v>19</v>
      </c>
      <c r="AD238" s="5" t="s">
        <v>19</v>
      </c>
      <c r="AE238" s="5" t="s">
        <v>2585</v>
      </c>
      <c r="AF238" s="5" t="s">
        <v>3923</v>
      </c>
      <c r="AG238" s="5">
        <v>268</v>
      </c>
      <c r="AH238" s="5">
        <v>3</v>
      </c>
      <c r="AI238" s="5">
        <v>265</v>
      </c>
      <c r="AJ238" s="5">
        <v>45.81</v>
      </c>
      <c r="AK238" s="5">
        <v>45.3</v>
      </c>
      <c r="AL238" s="5" t="s">
        <v>12</v>
      </c>
      <c r="AM238" s="5" t="s">
        <v>12</v>
      </c>
      <c r="AN238" s="5" t="s">
        <v>12</v>
      </c>
      <c r="AO238" s="5" t="s">
        <v>11</v>
      </c>
      <c r="AP238" s="5" t="s">
        <v>11</v>
      </c>
      <c r="AQ238" s="5" t="s">
        <v>53</v>
      </c>
      <c r="AR238" s="5" t="s">
        <v>52</v>
      </c>
    </row>
    <row r="239" spans="1:44" ht="31.5" x14ac:dyDescent="0.25">
      <c r="A239" s="10">
        <v>46096</v>
      </c>
      <c r="B239" s="5" t="s">
        <v>973</v>
      </c>
      <c r="C239" s="5" t="s">
        <v>2661</v>
      </c>
      <c r="D239" s="5" t="s">
        <v>11</v>
      </c>
      <c r="E239" s="5" t="s">
        <v>8</v>
      </c>
      <c r="F239" s="5" t="s">
        <v>8</v>
      </c>
      <c r="G239" s="5" t="s">
        <v>3924</v>
      </c>
      <c r="H239" s="5" t="s">
        <v>3121</v>
      </c>
      <c r="I239" s="6" t="str">
        <f>HYPERLINK("http://maps.yandex.ru/?ll=36.410206,54.55419&amp;spn=0.011598,0.004531&amp;z=17&amp;l=map&amp;pt=36.410206,54.55419", "54.554195//36.410206")</f>
        <v>54.554195//36.410206</v>
      </c>
      <c r="J239" s="5" t="s">
        <v>202</v>
      </c>
      <c r="K239" s="6" t="str">
        <f>HYPERLINK("http://maps.yandex.ru/?ll=38.31155,56.31574&amp;spn=0.011598,0.004531&amp;z=17&amp;l=map&amp;pt=38.31155,56.31574", "56.315746//38.31155")</f>
        <v>56.315746//38.31155</v>
      </c>
      <c r="L239" s="5" t="s">
        <v>56</v>
      </c>
      <c r="M239" s="5" t="s">
        <v>345</v>
      </c>
      <c r="N239" s="5" t="s">
        <v>1177</v>
      </c>
      <c r="O239" s="5" t="s">
        <v>418</v>
      </c>
      <c r="P239" s="5">
        <v>35</v>
      </c>
      <c r="Q239" s="5">
        <v>22</v>
      </c>
      <c r="R239" s="5">
        <v>43</v>
      </c>
      <c r="S239" s="5">
        <v>574.20399999999995</v>
      </c>
      <c r="T239" s="5" t="s">
        <v>1928</v>
      </c>
      <c r="U239" s="5" t="s">
        <v>2662</v>
      </c>
      <c r="V239" s="5" t="s">
        <v>3925</v>
      </c>
      <c r="W239" s="5">
        <v>23.93</v>
      </c>
      <c r="X239" s="5">
        <v>67.75</v>
      </c>
      <c r="Y239" s="5">
        <v>155</v>
      </c>
      <c r="Z239" s="5" t="s">
        <v>1692</v>
      </c>
      <c r="AA239" s="5" t="s">
        <v>3808</v>
      </c>
      <c r="AB239" s="5" t="s">
        <v>1993</v>
      </c>
      <c r="AC239" s="5" t="s">
        <v>1673</v>
      </c>
      <c r="AD239" s="5" t="s">
        <v>19</v>
      </c>
      <c r="AE239" s="5" t="s">
        <v>1332</v>
      </c>
      <c r="AF239" s="5" t="s">
        <v>3926</v>
      </c>
      <c r="AG239" s="5">
        <v>165</v>
      </c>
      <c r="AH239" s="5">
        <v>1</v>
      </c>
      <c r="AI239" s="5">
        <v>164</v>
      </c>
      <c r="AJ239" s="5">
        <v>34.96</v>
      </c>
      <c r="AK239" s="5">
        <v>34.75</v>
      </c>
      <c r="AL239" s="5" t="s">
        <v>12</v>
      </c>
      <c r="AM239" s="5" t="s">
        <v>12</v>
      </c>
      <c r="AN239" s="5" t="s">
        <v>12</v>
      </c>
      <c r="AO239" s="5" t="s">
        <v>11</v>
      </c>
      <c r="AP239" s="5" t="s">
        <v>11</v>
      </c>
      <c r="AQ239" s="5" t="s">
        <v>53</v>
      </c>
      <c r="AR239" s="5" t="s">
        <v>52</v>
      </c>
    </row>
    <row r="240" spans="1:44" ht="31.5" x14ac:dyDescent="0.25">
      <c r="A240" s="10">
        <v>46096</v>
      </c>
      <c r="B240" s="5" t="s">
        <v>704</v>
      </c>
      <c r="C240" s="5" t="s">
        <v>1701</v>
      </c>
      <c r="D240" s="5" t="s">
        <v>11</v>
      </c>
      <c r="E240" s="5" t="s">
        <v>0</v>
      </c>
      <c r="F240" s="5" t="s">
        <v>0</v>
      </c>
      <c r="G240" s="5" t="s">
        <v>3927</v>
      </c>
      <c r="H240" s="5" t="s">
        <v>3928</v>
      </c>
      <c r="I240" s="6" t="str">
        <f>HYPERLINK("http://maps.yandex.ru/?ll=39.653942,47.31189&amp;spn=0.011598,0.004531&amp;z=17&amp;l=map&amp;pt=39.653942,47.31189", "47.311897//39.653942")</f>
        <v>47.311897//39.653942</v>
      </c>
      <c r="J240" s="5" t="s">
        <v>64</v>
      </c>
      <c r="K240" s="6" t="str">
        <f>HYPERLINK("http://maps.yandex.ru/?ll=39.653942,47.31189&amp;spn=0.011598,0.004531&amp;z=17&amp;l=map&amp;pt=39.653942,47.31189", "47.311897//39.653942")</f>
        <v>47.311897//39.653942</v>
      </c>
      <c r="L240" s="5" t="s">
        <v>64</v>
      </c>
      <c r="M240" s="5" t="s">
        <v>13</v>
      </c>
      <c r="N240" s="5" t="s">
        <v>1226</v>
      </c>
      <c r="O240" s="5" t="s">
        <v>1459</v>
      </c>
      <c r="P240" s="5">
        <v>0</v>
      </c>
      <c r="Q240" s="5">
        <v>49</v>
      </c>
      <c r="R240" s="5">
        <v>51</v>
      </c>
      <c r="S240" s="5">
        <v>0</v>
      </c>
      <c r="T240" s="5" t="s">
        <v>1673</v>
      </c>
      <c r="U240" s="5" t="s">
        <v>3929</v>
      </c>
      <c r="V240" s="5" t="s">
        <v>3930</v>
      </c>
      <c r="W240" s="5">
        <v>0</v>
      </c>
      <c r="X240" s="5">
        <v>0</v>
      </c>
      <c r="Y240" s="5">
        <v>13</v>
      </c>
      <c r="Z240" s="5" t="s">
        <v>1702</v>
      </c>
      <c r="AA240" s="5" t="s">
        <v>1958</v>
      </c>
      <c r="AB240" s="5" t="s">
        <v>19</v>
      </c>
      <c r="AC240" s="5" t="s">
        <v>19</v>
      </c>
      <c r="AD240" s="5" t="s">
        <v>19</v>
      </c>
      <c r="AE240" s="5" t="s">
        <v>1673</v>
      </c>
      <c r="AF240" s="5" t="s">
        <v>12</v>
      </c>
      <c r="AG240" s="5">
        <v>0</v>
      </c>
      <c r="AH240" s="5">
        <v>0</v>
      </c>
      <c r="AI240" s="5">
        <v>0</v>
      </c>
      <c r="AJ240" s="5">
        <v>0</v>
      </c>
      <c r="AK240" s="5">
        <v>0</v>
      </c>
      <c r="AL240" s="5" t="s">
        <v>12</v>
      </c>
      <c r="AM240" s="5" t="s">
        <v>12</v>
      </c>
      <c r="AN240" s="5" t="s">
        <v>12</v>
      </c>
      <c r="AO240" s="5" t="s">
        <v>11</v>
      </c>
      <c r="AP240" s="5" t="s">
        <v>11</v>
      </c>
      <c r="AQ240" s="5" t="s">
        <v>53</v>
      </c>
      <c r="AR240" s="5" t="s">
        <v>52</v>
      </c>
    </row>
    <row r="241" spans="1:44" ht="31.5" x14ac:dyDescent="0.25">
      <c r="A241" s="10">
        <v>46096</v>
      </c>
      <c r="B241" s="5" t="s">
        <v>703</v>
      </c>
      <c r="C241" s="5" t="s">
        <v>1703</v>
      </c>
      <c r="D241" s="5" t="s">
        <v>11</v>
      </c>
      <c r="E241" s="5" t="s">
        <v>6</v>
      </c>
      <c r="F241" s="5" t="s">
        <v>6</v>
      </c>
      <c r="G241" s="5" t="s">
        <v>3931</v>
      </c>
      <c r="H241" s="5" t="s">
        <v>3932</v>
      </c>
      <c r="I241" s="6" t="str">
        <f>HYPERLINK("http://maps.yandex.ru/?ll=52.327168,54.0774&amp;spn=0.011598,0.004531&amp;z=17&amp;l=map&amp;pt=52.327168,54.0774", "54.07747//52.327168")</f>
        <v>54.07747//52.327168</v>
      </c>
      <c r="J241" s="5" t="s">
        <v>76</v>
      </c>
      <c r="K241" s="6" t="str">
        <f>HYPERLINK("http://maps.yandex.ru/?ll=48.30641,52.95229&amp;spn=0.011598,0.004531&amp;z=17&amp;l=map&amp;pt=48.30641,52.95229", "52.952297//48.30641")</f>
        <v>52.952297//48.30641</v>
      </c>
      <c r="L241" s="5" t="s">
        <v>61</v>
      </c>
      <c r="M241" s="5" t="s">
        <v>870</v>
      </c>
      <c r="N241" s="5" t="s">
        <v>3933</v>
      </c>
      <c r="O241" s="5" t="s">
        <v>628</v>
      </c>
      <c r="P241" s="5">
        <v>24</v>
      </c>
      <c r="Q241" s="5">
        <v>54</v>
      </c>
      <c r="R241" s="5">
        <v>22</v>
      </c>
      <c r="S241" s="5">
        <v>330.05599999999998</v>
      </c>
      <c r="T241" s="5" t="s">
        <v>3934</v>
      </c>
      <c r="U241" s="5" t="s">
        <v>1705</v>
      </c>
      <c r="V241" s="5" t="s">
        <v>3935</v>
      </c>
      <c r="W241" s="5">
        <v>13.75</v>
      </c>
      <c r="X241" s="5">
        <v>57.26</v>
      </c>
      <c r="Y241" s="5">
        <v>143</v>
      </c>
      <c r="Z241" s="5" t="s">
        <v>1707</v>
      </c>
      <c r="AA241" s="5" t="s">
        <v>2570</v>
      </c>
      <c r="AB241" s="5" t="s">
        <v>3176</v>
      </c>
      <c r="AC241" s="5" t="s">
        <v>1673</v>
      </c>
      <c r="AD241" s="5" t="s">
        <v>19</v>
      </c>
      <c r="AE241" s="5" t="s">
        <v>2240</v>
      </c>
      <c r="AF241" s="5" t="s">
        <v>3936</v>
      </c>
      <c r="AG241" s="5">
        <v>143</v>
      </c>
      <c r="AH241" s="5">
        <v>3</v>
      </c>
      <c r="AI241" s="5">
        <v>140</v>
      </c>
      <c r="AJ241" s="5">
        <v>32.799999999999997</v>
      </c>
      <c r="AK241" s="5">
        <v>32.11</v>
      </c>
      <c r="AL241" s="5" t="s">
        <v>12</v>
      </c>
      <c r="AM241" s="5" t="s">
        <v>12</v>
      </c>
      <c r="AN241" s="5" t="s">
        <v>12</v>
      </c>
      <c r="AO241" s="5" t="s">
        <v>11</v>
      </c>
      <c r="AP241" s="5" t="s">
        <v>11</v>
      </c>
      <c r="AQ241" s="5" t="s">
        <v>53</v>
      </c>
      <c r="AR241" s="5" t="s">
        <v>52</v>
      </c>
    </row>
    <row r="242" spans="1:44" ht="31.5" x14ac:dyDescent="0.25">
      <c r="A242" s="10">
        <v>46096</v>
      </c>
      <c r="B242" s="5" t="s">
        <v>702</v>
      </c>
      <c r="C242" s="5" t="s">
        <v>1708</v>
      </c>
      <c r="D242" s="5" t="s">
        <v>11</v>
      </c>
      <c r="E242" s="5" t="s">
        <v>0</v>
      </c>
      <c r="F242" s="5" t="s">
        <v>0</v>
      </c>
      <c r="G242" s="5" t="s">
        <v>3937</v>
      </c>
      <c r="H242" s="5" t="s">
        <v>3938</v>
      </c>
      <c r="I242" s="6" t="str">
        <f>HYPERLINK("http://maps.yandex.ru/?ll=30.65856,59.66603&amp;spn=0.011598,0.004531&amp;z=17&amp;l=map&amp;pt=30.65856,59.66603", "59.666035//30.65856")</f>
        <v>59.666035//30.65856</v>
      </c>
      <c r="J242" s="5" t="s">
        <v>22</v>
      </c>
      <c r="K242" s="6" t="str">
        <f>HYPERLINK("http://maps.yandex.ru/?ll=32.09898,58.36599&amp;spn=0.011598,0.004531&amp;z=17&amp;l=map&amp;pt=32.09898,58.36599", "58.365997//32.09898")</f>
        <v>58.365997//32.09898</v>
      </c>
      <c r="L242" s="5" t="s">
        <v>148</v>
      </c>
      <c r="M242" s="5" t="s">
        <v>474</v>
      </c>
      <c r="N242" s="5" t="s">
        <v>3939</v>
      </c>
      <c r="O242" s="5" t="s">
        <v>649</v>
      </c>
      <c r="P242" s="5">
        <v>22</v>
      </c>
      <c r="Q242" s="5">
        <v>74</v>
      </c>
      <c r="R242" s="5">
        <v>4</v>
      </c>
      <c r="S242" s="5">
        <v>283.714</v>
      </c>
      <c r="T242" s="5" t="s">
        <v>1571</v>
      </c>
      <c r="U242" s="5" t="s">
        <v>3940</v>
      </c>
      <c r="V242" s="5" t="s">
        <v>3941</v>
      </c>
      <c r="W242" s="5">
        <v>11.82</v>
      </c>
      <c r="X242" s="5">
        <v>53.76</v>
      </c>
      <c r="Y242" s="5">
        <v>91</v>
      </c>
      <c r="Z242" s="5" t="s">
        <v>1710</v>
      </c>
      <c r="AA242" s="5" t="s">
        <v>2066</v>
      </c>
      <c r="AB242" s="5" t="s">
        <v>1570</v>
      </c>
      <c r="AC242" s="5" t="s">
        <v>1673</v>
      </c>
      <c r="AD242" s="5" t="s">
        <v>19</v>
      </c>
      <c r="AE242" s="5" t="s">
        <v>2622</v>
      </c>
      <c r="AF242" s="5" t="s">
        <v>3942</v>
      </c>
      <c r="AG242" s="5">
        <v>94</v>
      </c>
      <c r="AH242" s="5">
        <v>2</v>
      </c>
      <c r="AI242" s="5">
        <v>92</v>
      </c>
      <c r="AJ242" s="5">
        <v>32.75</v>
      </c>
      <c r="AK242" s="5">
        <v>32.06</v>
      </c>
      <c r="AL242" s="5" t="s">
        <v>12</v>
      </c>
      <c r="AM242" s="5" t="s">
        <v>12</v>
      </c>
      <c r="AN242" s="5" t="s">
        <v>12</v>
      </c>
      <c r="AO242" s="5" t="s">
        <v>11</v>
      </c>
      <c r="AP242" s="5" t="s">
        <v>11</v>
      </c>
      <c r="AQ242" s="5" t="s">
        <v>53</v>
      </c>
      <c r="AR242" s="5" t="s">
        <v>52</v>
      </c>
    </row>
    <row r="243" spans="1:44" ht="31.5" x14ac:dyDescent="0.25">
      <c r="A243" s="10">
        <v>46096</v>
      </c>
      <c r="B243" s="5" t="s">
        <v>700</v>
      </c>
      <c r="C243" s="5" t="s">
        <v>1712</v>
      </c>
      <c r="D243" s="5" t="s">
        <v>11</v>
      </c>
      <c r="E243" s="5" t="s">
        <v>0</v>
      </c>
      <c r="F243" s="5" t="s">
        <v>0</v>
      </c>
      <c r="G243" s="5" t="s">
        <v>3943</v>
      </c>
      <c r="H243" s="5" t="s">
        <v>3944</v>
      </c>
      <c r="I243" s="6" t="str">
        <f>HYPERLINK("http://maps.yandex.ru/?ll=42.069973,44.2156&amp;spn=0.011598,0.004531&amp;z=17&amp;l=map&amp;pt=42.069973,44.2156", "44.21566//42.069973")</f>
        <v>44.21566//42.069973</v>
      </c>
      <c r="J243" s="5" t="s">
        <v>23</v>
      </c>
      <c r="K243" s="6" t="str">
        <f>HYPERLINK("http://maps.yandex.ru/?ll=42.072987,44.2412&amp;spn=0.011598,0.004531&amp;z=17&amp;l=map&amp;pt=42.072987,44.2412", "44.24128//42.072987")</f>
        <v>44.24128//42.072987</v>
      </c>
      <c r="L243" s="5" t="s">
        <v>23</v>
      </c>
      <c r="M243" s="5" t="s">
        <v>381</v>
      </c>
      <c r="N243" s="5" t="s">
        <v>3141</v>
      </c>
      <c r="O243" s="5" t="s">
        <v>13</v>
      </c>
      <c r="P243" s="5">
        <v>1</v>
      </c>
      <c r="Q243" s="5">
        <v>99</v>
      </c>
      <c r="R243" s="5">
        <v>0</v>
      </c>
      <c r="S243" s="5">
        <v>3.6549999999999998</v>
      </c>
      <c r="T243" s="5" t="s">
        <v>1615</v>
      </c>
      <c r="U243" s="5" t="s">
        <v>3945</v>
      </c>
      <c r="V243" s="5" t="s">
        <v>3946</v>
      </c>
      <c r="W243" s="5">
        <v>0.15</v>
      </c>
      <c r="X243" s="5">
        <v>15.5</v>
      </c>
      <c r="Y243" s="5">
        <v>63</v>
      </c>
      <c r="Z243" s="5" t="s">
        <v>1581</v>
      </c>
      <c r="AA243" s="5" t="s">
        <v>3947</v>
      </c>
      <c r="AB243" s="5" t="s">
        <v>19</v>
      </c>
      <c r="AC243" s="5" t="s">
        <v>19</v>
      </c>
      <c r="AD243" s="5" t="s">
        <v>19</v>
      </c>
      <c r="AE243" s="5" t="s">
        <v>1746</v>
      </c>
      <c r="AF243" s="5" t="s">
        <v>3948</v>
      </c>
      <c r="AG243" s="5">
        <v>4</v>
      </c>
      <c r="AH243" s="5">
        <v>2</v>
      </c>
      <c r="AI243" s="5">
        <v>2</v>
      </c>
      <c r="AJ243" s="5">
        <v>80</v>
      </c>
      <c r="AK243" s="5">
        <v>40</v>
      </c>
      <c r="AL243" s="5" t="s">
        <v>12</v>
      </c>
      <c r="AM243" s="5" t="s">
        <v>12</v>
      </c>
      <c r="AN243" s="5" t="s">
        <v>12</v>
      </c>
      <c r="AO243" s="5" t="s">
        <v>11</v>
      </c>
      <c r="AP243" s="5" t="s">
        <v>11</v>
      </c>
      <c r="AQ243" s="5" t="s">
        <v>53</v>
      </c>
      <c r="AR243" s="5" t="s">
        <v>52</v>
      </c>
    </row>
    <row r="244" spans="1:44" ht="31.5" x14ac:dyDescent="0.25">
      <c r="A244" s="10">
        <v>46096</v>
      </c>
      <c r="B244" s="5" t="s">
        <v>699</v>
      </c>
      <c r="C244" s="5" t="s">
        <v>1714</v>
      </c>
      <c r="D244" s="5" t="s">
        <v>11</v>
      </c>
      <c r="E244" s="5" t="s">
        <v>6</v>
      </c>
      <c r="F244" s="5" t="s">
        <v>6</v>
      </c>
      <c r="G244" s="5" t="s">
        <v>3103</v>
      </c>
      <c r="H244" s="5" t="s">
        <v>3949</v>
      </c>
      <c r="I244" s="6" t="str">
        <f>HYPERLINK("http://maps.yandex.ru/?ll=38.146812,53.45690&amp;spn=0.011598,0.004531&amp;z=17&amp;l=map&amp;pt=38.146812,53.45690", "53.456905//38.146812")</f>
        <v>53.456905//38.146812</v>
      </c>
      <c r="J244" s="5" t="s">
        <v>168</v>
      </c>
      <c r="K244" s="6" t="str">
        <f>HYPERLINK("http://maps.yandex.ru/?ll=41.134106,44.9220&amp;spn=0.011598,0.004531&amp;z=17&amp;l=map&amp;pt=41.134106,44.9220", "44.92201//41.134106")</f>
        <v>44.92201//41.134106</v>
      </c>
      <c r="L244" s="5" t="s">
        <v>88</v>
      </c>
      <c r="M244" s="5" t="s">
        <v>3950</v>
      </c>
      <c r="N244" s="5" t="s">
        <v>3951</v>
      </c>
      <c r="O244" s="5" t="s">
        <v>302</v>
      </c>
      <c r="P244" s="5">
        <v>62</v>
      </c>
      <c r="Q244" s="5">
        <v>28</v>
      </c>
      <c r="R244" s="5">
        <v>10</v>
      </c>
      <c r="S244" s="5">
        <v>1103.8699999999999</v>
      </c>
      <c r="T244" s="5" t="s">
        <v>12</v>
      </c>
      <c r="U244" s="5" t="s">
        <v>12</v>
      </c>
      <c r="V244" s="5" t="s">
        <v>12</v>
      </c>
      <c r="W244" s="5">
        <v>46</v>
      </c>
      <c r="X244" s="5">
        <v>74.42</v>
      </c>
      <c r="Y244" s="5">
        <v>121</v>
      </c>
      <c r="Z244" s="5" t="s">
        <v>1716</v>
      </c>
      <c r="AA244" s="5" t="s">
        <v>1670</v>
      </c>
      <c r="AB244" s="5" t="s">
        <v>19</v>
      </c>
      <c r="AC244" s="5" t="s">
        <v>19</v>
      </c>
      <c r="AD244" s="5" t="s">
        <v>19</v>
      </c>
      <c r="AE244" s="5" t="s">
        <v>1677</v>
      </c>
      <c r="AF244" s="5" t="s">
        <v>12</v>
      </c>
      <c r="AG244" s="5"/>
      <c r="AH244" s="5"/>
      <c r="AI244" s="5"/>
      <c r="AJ244" s="5"/>
      <c r="AK244" s="5"/>
      <c r="AL244" s="5" t="s">
        <v>1719</v>
      </c>
      <c r="AM244" s="5" t="s">
        <v>3952</v>
      </c>
      <c r="AN244" s="5" t="s">
        <v>1756</v>
      </c>
      <c r="AO244" s="5" t="s">
        <v>115</v>
      </c>
      <c r="AP244" s="5" t="s">
        <v>114</v>
      </c>
      <c r="AQ244" s="5" t="s">
        <v>99</v>
      </c>
      <c r="AR244" s="5" t="s">
        <v>98</v>
      </c>
    </row>
    <row r="245" spans="1:44" ht="31.5" x14ac:dyDescent="0.25">
      <c r="A245" s="10">
        <v>46096</v>
      </c>
      <c r="B245" s="5" t="s">
        <v>697</v>
      </c>
      <c r="C245" s="5" t="s">
        <v>1721</v>
      </c>
      <c r="D245" s="5" t="s">
        <v>11</v>
      </c>
      <c r="E245" s="5" t="s">
        <v>0</v>
      </c>
      <c r="F245" s="5" t="s">
        <v>0</v>
      </c>
      <c r="G245" s="5" t="s">
        <v>3103</v>
      </c>
      <c r="H245" s="5" t="s">
        <v>3953</v>
      </c>
      <c r="I245" s="6" t="str">
        <f>HYPERLINK("http://maps.yandex.ru/?ll=39.185207,52.1854&amp;spn=0.011598,0.004531&amp;z=17&amp;l=map&amp;pt=39.185207,52.1854", "52.18543//39.185207")</f>
        <v>52.18543//39.185207</v>
      </c>
      <c r="J245" s="5" t="s">
        <v>151</v>
      </c>
      <c r="K245" s="6" t="str">
        <f>HYPERLINK("http://maps.yandex.ru/?ll=40.497715,47.75267&amp;spn=0.011598,0.004531&amp;z=17&amp;l=map&amp;pt=40.497715,47.75267", "47.752674//40.497715")</f>
        <v>47.752674//40.497715</v>
      </c>
      <c r="L245" s="5" t="s">
        <v>64</v>
      </c>
      <c r="M245" s="5" t="s">
        <v>132</v>
      </c>
      <c r="N245" s="5" t="s">
        <v>1432</v>
      </c>
      <c r="O245" s="5" t="s">
        <v>782</v>
      </c>
      <c r="P245" s="5">
        <v>33</v>
      </c>
      <c r="Q245" s="5">
        <v>5</v>
      </c>
      <c r="R245" s="5">
        <v>62</v>
      </c>
      <c r="S245" s="5">
        <v>547.19799999999998</v>
      </c>
      <c r="T245" s="5" t="s">
        <v>2161</v>
      </c>
      <c r="U245" s="5" t="s">
        <v>3954</v>
      </c>
      <c r="V245" s="5" t="s">
        <v>3955</v>
      </c>
      <c r="W245" s="5">
        <v>22.8</v>
      </c>
      <c r="X245" s="5">
        <v>69.19</v>
      </c>
      <c r="Y245" s="5">
        <v>136</v>
      </c>
      <c r="Z245" s="5" t="s">
        <v>2788</v>
      </c>
      <c r="AA245" s="5" t="s">
        <v>3956</v>
      </c>
      <c r="AB245" s="5" t="s">
        <v>2521</v>
      </c>
      <c r="AC245" s="5" t="s">
        <v>1673</v>
      </c>
      <c r="AD245" s="5" t="s">
        <v>19</v>
      </c>
      <c r="AE245" s="5" t="s">
        <v>1888</v>
      </c>
      <c r="AF245" s="5" t="s">
        <v>3957</v>
      </c>
      <c r="AG245" s="5">
        <v>155</v>
      </c>
      <c r="AH245" s="5">
        <v>0</v>
      </c>
      <c r="AI245" s="5">
        <v>155</v>
      </c>
      <c r="AJ245" s="5">
        <v>26.54</v>
      </c>
      <c r="AK245" s="5">
        <v>26.54</v>
      </c>
      <c r="AL245" s="5" t="s">
        <v>12</v>
      </c>
      <c r="AM245" s="5" t="s">
        <v>12</v>
      </c>
      <c r="AN245" s="5" t="s">
        <v>12</v>
      </c>
      <c r="AO245" s="5" t="s">
        <v>11</v>
      </c>
      <c r="AP245" s="5" t="s">
        <v>11</v>
      </c>
      <c r="AQ245" s="5" t="s">
        <v>123</v>
      </c>
      <c r="AR245" s="5" t="s">
        <v>122</v>
      </c>
    </row>
    <row r="246" spans="1:44" ht="31.5" x14ac:dyDescent="0.25">
      <c r="A246" s="10">
        <v>46096</v>
      </c>
      <c r="B246" s="5" t="s">
        <v>694</v>
      </c>
      <c r="C246" s="5" t="s">
        <v>1724</v>
      </c>
      <c r="D246" s="5" t="s">
        <v>11</v>
      </c>
      <c r="E246" s="5" t="s">
        <v>0</v>
      </c>
      <c r="F246" s="5" t="s">
        <v>0</v>
      </c>
      <c r="G246" s="5" t="s">
        <v>3103</v>
      </c>
      <c r="H246" s="5" t="s">
        <v>3958</v>
      </c>
      <c r="I246" s="6" t="str">
        <f>HYPERLINK("http://maps.yandex.ru/?ll=41.3167,52.6801&amp;spn=0.011598,0.004531&amp;z=17&amp;l=map&amp;pt=41.3167,52.6801", "52.68016//41.3167")</f>
        <v>52.68016//41.3167</v>
      </c>
      <c r="J246" s="5" t="s">
        <v>284</v>
      </c>
      <c r="K246" s="6" t="str">
        <f>HYPERLINK("http://maps.yandex.ru/?ll=39.796207,51.0910&amp;spn=0.011598,0.004531&amp;z=17&amp;l=map&amp;pt=39.796207,51.0910", "51.09109//39.796207")</f>
        <v>51.09109//39.796207</v>
      </c>
      <c r="L246" s="5" t="s">
        <v>101</v>
      </c>
      <c r="M246" s="5" t="s">
        <v>3391</v>
      </c>
      <c r="N246" s="5" t="s">
        <v>454</v>
      </c>
      <c r="O246" s="5" t="s">
        <v>3459</v>
      </c>
      <c r="P246" s="5">
        <v>15</v>
      </c>
      <c r="Q246" s="5">
        <v>37</v>
      </c>
      <c r="R246" s="5">
        <v>48</v>
      </c>
      <c r="S246" s="5">
        <v>260.392</v>
      </c>
      <c r="T246" s="5" t="s">
        <v>2616</v>
      </c>
      <c r="U246" s="5" t="s">
        <v>3959</v>
      </c>
      <c r="V246" s="5" t="s">
        <v>3960</v>
      </c>
      <c r="W246" s="5">
        <v>10.85</v>
      </c>
      <c r="X246" s="5">
        <v>73.55</v>
      </c>
      <c r="Y246" s="5">
        <v>98</v>
      </c>
      <c r="Z246" s="5" t="s">
        <v>1726</v>
      </c>
      <c r="AA246" s="5" t="s">
        <v>3961</v>
      </c>
      <c r="AB246" s="5" t="s">
        <v>19</v>
      </c>
      <c r="AC246" s="5" t="s">
        <v>19</v>
      </c>
      <c r="AD246" s="5" t="s">
        <v>19</v>
      </c>
      <c r="AE246" s="5" t="s">
        <v>3512</v>
      </c>
      <c r="AF246" s="5" t="s">
        <v>3962</v>
      </c>
      <c r="AG246" s="5">
        <v>103</v>
      </c>
      <c r="AH246" s="5">
        <v>0</v>
      </c>
      <c r="AI246" s="5">
        <v>103</v>
      </c>
      <c r="AJ246" s="5">
        <v>29.18</v>
      </c>
      <c r="AK246" s="5">
        <v>29.18</v>
      </c>
      <c r="AL246" s="5" t="s">
        <v>12</v>
      </c>
      <c r="AM246" s="5" t="s">
        <v>12</v>
      </c>
      <c r="AN246" s="5" t="s">
        <v>12</v>
      </c>
      <c r="AO246" s="5" t="s">
        <v>11</v>
      </c>
      <c r="AP246" s="5" t="s">
        <v>11</v>
      </c>
      <c r="AQ246" s="5" t="s">
        <v>123</v>
      </c>
      <c r="AR246" s="5" t="s">
        <v>122</v>
      </c>
    </row>
    <row r="247" spans="1:44" ht="31.5" x14ac:dyDescent="0.25">
      <c r="A247" s="10">
        <v>46096</v>
      </c>
      <c r="B247" s="5" t="s">
        <v>693</v>
      </c>
      <c r="C247" s="5" t="s">
        <v>1728</v>
      </c>
      <c r="D247" s="5" t="s">
        <v>11</v>
      </c>
      <c r="E247" s="5" t="s">
        <v>0</v>
      </c>
      <c r="F247" s="5" t="s">
        <v>0</v>
      </c>
      <c r="G247" s="5" t="s">
        <v>3963</v>
      </c>
      <c r="H247" s="5" t="s">
        <v>3964</v>
      </c>
      <c r="I247" s="6" t="str">
        <f>HYPERLINK("http://maps.yandex.ru/?ll=34.477577,57.61723&amp;spn=0.011598,0.004531&amp;z=17&amp;l=map&amp;pt=34.477577,57.61723", "57.617233//34.477577")</f>
        <v>57.617233//34.477577</v>
      </c>
      <c r="J247" s="5" t="s">
        <v>50</v>
      </c>
      <c r="K247" s="6" t="str">
        <f>HYPERLINK("http://maps.yandex.ru/?ll=30.402374,59.79726&amp;spn=0.011598,0.004531&amp;z=17&amp;l=map&amp;pt=30.402374,59.79726", "59.797264//30.402374")</f>
        <v>59.797264//30.402374</v>
      </c>
      <c r="L247" s="5" t="s">
        <v>23</v>
      </c>
      <c r="M247" s="5" t="s">
        <v>3098</v>
      </c>
      <c r="N247" s="5" t="s">
        <v>3819</v>
      </c>
      <c r="O247" s="5" t="s">
        <v>198</v>
      </c>
      <c r="P247" s="5">
        <v>23</v>
      </c>
      <c r="Q247" s="5">
        <v>75</v>
      </c>
      <c r="R247" s="5">
        <v>2</v>
      </c>
      <c r="S247" s="5">
        <v>385.47199999999998</v>
      </c>
      <c r="T247" s="5" t="s">
        <v>1585</v>
      </c>
      <c r="U247" s="5" t="s">
        <v>1729</v>
      </c>
      <c r="V247" s="5" t="s">
        <v>3965</v>
      </c>
      <c r="W247" s="5">
        <v>16.059999999999999</v>
      </c>
      <c r="X247" s="5">
        <v>70.17</v>
      </c>
      <c r="Y247" s="5">
        <v>114</v>
      </c>
      <c r="Z247" s="5" t="s">
        <v>1730</v>
      </c>
      <c r="AA247" s="5" t="s">
        <v>833</v>
      </c>
      <c r="AB247" s="5" t="s">
        <v>19</v>
      </c>
      <c r="AC247" s="5" t="s">
        <v>19</v>
      </c>
      <c r="AD247" s="5" t="s">
        <v>19</v>
      </c>
      <c r="AE247" s="5" t="s">
        <v>1964</v>
      </c>
      <c r="AF247" s="5" t="s">
        <v>3966</v>
      </c>
      <c r="AG247" s="5">
        <v>97</v>
      </c>
      <c r="AH247" s="5">
        <v>1</v>
      </c>
      <c r="AI247" s="5">
        <v>96</v>
      </c>
      <c r="AJ247" s="5">
        <v>25.06</v>
      </c>
      <c r="AK247" s="5">
        <v>24.81</v>
      </c>
      <c r="AL247" s="5" t="s">
        <v>12</v>
      </c>
      <c r="AM247" s="5" t="s">
        <v>12</v>
      </c>
      <c r="AN247" s="5" t="s">
        <v>12</v>
      </c>
      <c r="AO247" s="5" t="s">
        <v>11</v>
      </c>
      <c r="AP247" s="5" t="s">
        <v>11</v>
      </c>
      <c r="AQ247" s="5" t="s">
        <v>123</v>
      </c>
      <c r="AR247" s="5" t="s">
        <v>122</v>
      </c>
    </row>
    <row r="248" spans="1:44" ht="31.5" x14ac:dyDescent="0.25">
      <c r="A248" s="10">
        <v>46096</v>
      </c>
      <c r="B248" s="5" t="s">
        <v>691</v>
      </c>
      <c r="C248" s="5" t="s">
        <v>1732</v>
      </c>
      <c r="D248" s="5" t="s">
        <v>11</v>
      </c>
      <c r="E248" s="5" t="s">
        <v>6</v>
      </c>
      <c r="F248" s="5" t="s">
        <v>6</v>
      </c>
      <c r="G248" s="5" t="s">
        <v>3967</v>
      </c>
      <c r="H248" s="5" t="s">
        <v>3968</v>
      </c>
      <c r="I248" s="6" t="str">
        <f>HYPERLINK("http://maps.yandex.ru/?ll=36.57651,56.47373&amp;spn=0.011598,0.004531&amp;z=17&amp;l=map&amp;pt=36.57651,56.47373", "56.473732//36.57651")</f>
        <v>56.473732//36.57651</v>
      </c>
      <c r="J248" s="5" t="s">
        <v>56</v>
      </c>
      <c r="K248" s="6" t="str">
        <f>HYPERLINK("http://maps.yandex.ru/?ll=41.35313,52.5590&amp;spn=0.011598,0.004531&amp;z=17&amp;l=map&amp;pt=41.35313,52.5590", "52.55908//41.35313")</f>
        <v>52.55908//41.35313</v>
      </c>
      <c r="L248" s="5" t="s">
        <v>284</v>
      </c>
      <c r="M248" s="5" t="s">
        <v>3969</v>
      </c>
      <c r="N248" s="5" t="s">
        <v>515</v>
      </c>
      <c r="O248" s="5" t="s">
        <v>449</v>
      </c>
      <c r="P248" s="5">
        <v>35</v>
      </c>
      <c r="Q248" s="5">
        <v>63</v>
      </c>
      <c r="R248" s="5">
        <v>2</v>
      </c>
      <c r="S248" s="5">
        <v>581.98099999999999</v>
      </c>
      <c r="T248" s="5" t="s">
        <v>2396</v>
      </c>
      <c r="U248" s="5" t="s">
        <v>3970</v>
      </c>
      <c r="V248" s="5" t="s">
        <v>3971</v>
      </c>
      <c r="W248" s="5">
        <v>24.25</v>
      </c>
      <c r="X248" s="5">
        <v>69.239999999999995</v>
      </c>
      <c r="Y248" s="5">
        <v>106</v>
      </c>
      <c r="Z248" s="5" t="s">
        <v>1733</v>
      </c>
      <c r="AA248" s="5" t="s">
        <v>2664</v>
      </c>
      <c r="AB248" s="5" t="s">
        <v>19</v>
      </c>
      <c r="AC248" s="5" t="s">
        <v>19</v>
      </c>
      <c r="AD248" s="5" t="s">
        <v>19</v>
      </c>
      <c r="AE248" s="5" t="s">
        <v>2197</v>
      </c>
      <c r="AF248" s="5" t="s">
        <v>3972</v>
      </c>
      <c r="AG248" s="5">
        <v>207</v>
      </c>
      <c r="AH248" s="5">
        <v>1</v>
      </c>
      <c r="AI248" s="5">
        <v>206</v>
      </c>
      <c r="AJ248" s="5">
        <v>32.75</v>
      </c>
      <c r="AK248" s="5">
        <v>32.590000000000003</v>
      </c>
      <c r="AL248" s="5" t="s">
        <v>12</v>
      </c>
      <c r="AM248" s="5" t="s">
        <v>12</v>
      </c>
      <c r="AN248" s="5" t="s">
        <v>12</v>
      </c>
      <c r="AO248" s="5" t="s">
        <v>11</v>
      </c>
      <c r="AP248" s="5" t="s">
        <v>11</v>
      </c>
      <c r="AQ248" s="5" t="s">
        <v>18</v>
      </c>
      <c r="AR248" s="5" t="s">
        <v>17</v>
      </c>
    </row>
    <row r="249" spans="1:44" ht="31.5" x14ac:dyDescent="0.25">
      <c r="A249" s="10">
        <v>46096</v>
      </c>
      <c r="B249" s="5" t="s">
        <v>689</v>
      </c>
      <c r="C249" s="5" t="s">
        <v>1734</v>
      </c>
      <c r="D249" s="5" t="s">
        <v>11</v>
      </c>
      <c r="E249" s="5" t="s">
        <v>6</v>
      </c>
      <c r="F249" s="5" t="s">
        <v>6</v>
      </c>
      <c r="G249" s="5" t="s">
        <v>3973</v>
      </c>
      <c r="H249" s="5" t="s">
        <v>3974</v>
      </c>
      <c r="I249" s="6" t="str">
        <f>HYPERLINK("http://maps.yandex.ru/?ll=56.079018,54.6643&amp;spn=0.011598,0.004531&amp;z=17&amp;l=map&amp;pt=56.079018,54.6643", "54.66435//56.079018")</f>
        <v>54.66435//56.079018</v>
      </c>
      <c r="J249" s="5" t="s">
        <v>34</v>
      </c>
      <c r="K249" s="6" t="str">
        <f>HYPERLINK("http://maps.yandex.ru/?ll=57.273746,54.88427&amp;spn=0.011598,0.004531&amp;z=17&amp;l=map&amp;pt=57.273746,54.88427", "54.884277//57.273746")</f>
        <v>54.884277//57.273746</v>
      </c>
      <c r="L249" s="5" t="s">
        <v>227</v>
      </c>
      <c r="M249" s="5" t="s">
        <v>1432</v>
      </c>
      <c r="N249" s="5" t="s">
        <v>1142</v>
      </c>
      <c r="O249" s="5" t="s">
        <v>1410</v>
      </c>
      <c r="P249" s="5">
        <v>5</v>
      </c>
      <c r="Q249" s="5">
        <v>28</v>
      </c>
      <c r="R249" s="5">
        <v>67</v>
      </c>
      <c r="S249" s="5">
        <v>85.397999999999996</v>
      </c>
      <c r="T249" s="5" t="s">
        <v>2486</v>
      </c>
      <c r="U249" s="5" t="s">
        <v>3975</v>
      </c>
      <c r="V249" s="5" t="s">
        <v>3976</v>
      </c>
      <c r="W249" s="5">
        <v>3.56</v>
      </c>
      <c r="X249" s="5">
        <v>66.8</v>
      </c>
      <c r="Y249" s="5">
        <v>92</v>
      </c>
      <c r="Z249" s="5" t="s">
        <v>1604</v>
      </c>
      <c r="AA249" s="5" t="s">
        <v>3977</v>
      </c>
      <c r="AB249" s="5" t="s">
        <v>19</v>
      </c>
      <c r="AC249" s="5" t="s">
        <v>19</v>
      </c>
      <c r="AD249" s="5" t="s">
        <v>19</v>
      </c>
      <c r="AE249" s="5" t="s">
        <v>2237</v>
      </c>
      <c r="AF249" s="5" t="s">
        <v>3978</v>
      </c>
      <c r="AG249" s="5">
        <v>34</v>
      </c>
      <c r="AH249" s="5">
        <v>1</v>
      </c>
      <c r="AI249" s="5">
        <v>33</v>
      </c>
      <c r="AJ249" s="5">
        <v>36.96</v>
      </c>
      <c r="AK249" s="5">
        <v>35.869999999999997</v>
      </c>
      <c r="AL249" s="5" t="s">
        <v>12</v>
      </c>
      <c r="AM249" s="5" t="s">
        <v>12</v>
      </c>
      <c r="AN249" s="5" t="s">
        <v>12</v>
      </c>
      <c r="AO249" s="5" t="s">
        <v>11</v>
      </c>
      <c r="AP249" s="5" t="s">
        <v>11</v>
      </c>
      <c r="AQ249" s="5" t="s">
        <v>18</v>
      </c>
      <c r="AR249" s="5" t="s">
        <v>17</v>
      </c>
    </row>
    <row r="250" spans="1:44" ht="31.5" x14ac:dyDescent="0.25">
      <c r="A250" s="10">
        <v>46096</v>
      </c>
      <c r="B250" s="5" t="s">
        <v>687</v>
      </c>
      <c r="C250" s="5" t="s">
        <v>1737</v>
      </c>
      <c r="D250" s="5" t="s">
        <v>11</v>
      </c>
      <c r="E250" s="5" t="s">
        <v>0</v>
      </c>
      <c r="F250" s="5" t="s">
        <v>0</v>
      </c>
      <c r="G250" s="5" t="s">
        <v>3979</v>
      </c>
      <c r="H250" s="5" t="s">
        <v>3980</v>
      </c>
      <c r="I250" s="6" t="str">
        <f>HYPERLINK("http://maps.yandex.ru/?ll=113.47277,51.99413&amp;spn=0.011598,0.004531&amp;z=17&amp;l=map&amp;pt=113.47277,51.99413", "51.994137//113.47277")</f>
        <v>51.994137//113.47277</v>
      </c>
      <c r="J250" s="5" t="s">
        <v>155</v>
      </c>
      <c r="K250" s="6" t="str">
        <f>HYPERLINK("http://maps.yandex.ru/?ll=109.87461,51.42580&amp;spn=0.011598,0.004531&amp;z=17&amp;l=map&amp;pt=109.87461,51.42580", "51.425804//109.87461")</f>
        <v>51.425804//109.87461</v>
      </c>
      <c r="L250" s="5" t="s">
        <v>155</v>
      </c>
      <c r="M250" s="5" t="s">
        <v>1488</v>
      </c>
      <c r="N250" s="5" t="s">
        <v>1424</v>
      </c>
      <c r="O250" s="5" t="s">
        <v>262</v>
      </c>
      <c r="P250" s="5">
        <v>22</v>
      </c>
      <c r="Q250" s="5">
        <v>67</v>
      </c>
      <c r="R250" s="5">
        <v>11</v>
      </c>
      <c r="S250" s="5">
        <v>372.50599999999997</v>
      </c>
      <c r="T250" s="5" t="s">
        <v>3981</v>
      </c>
      <c r="U250" s="5" t="s">
        <v>3982</v>
      </c>
      <c r="V250" s="5" t="s">
        <v>3983</v>
      </c>
      <c r="W250" s="5">
        <v>15.52</v>
      </c>
      <c r="X250" s="5">
        <v>69.930000000000007</v>
      </c>
      <c r="Y250" s="5">
        <v>98</v>
      </c>
      <c r="Z250" s="5" t="s">
        <v>1739</v>
      </c>
      <c r="AA250" s="5" t="s">
        <v>2384</v>
      </c>
      <c r="AB250" s="5" t="s">
        <v>19</v>
      </c>
      <c r="AC250" s="5" t="s">
        <v>19</v>
      </c>
      <c r="AD250" s="5" t="s">
        <v>19</v>
      </c>
      <c r="AE250" s="5" t="s">
        <v>2392</v>
      </c>
      <c r="AF250" s="5" t="s">
        <v>3984</v>
      </c>
      <c r="AG250" s="5">
        <v>111</v>
      </c>
      <c r="AH250" s="5">
        <v>1</v>
      </c>
      <c r="AI250" s="5">
        <v>110</v>
      </c>
      <c r="AJ250" s="5">
        <v>28.98</v>
      </c>
      <c r="AK250" s="5">
        <v>28.72</v>
      </c>
      <c r="AL250" s="5" t="s">
        <v>12</v>
      </c>
      <c r="AM250" s="5" t="s">
        <v>12</v>
      </c>
      <c r="AN250" s="5" t="s">
        <v>12</v>
      </c>
      <c r="AO250" s="5" t="s">
        <v>11</v>
      </c>
      <c r="AP250" s="5" t="s">
        <v>11</v>
      </c>
      <c r="AQ250" s="5" t="s">
        <v>18</v>
      </c>
      <c r="AR250" s="5" t="s">
        <v>17</v>
      </c>
    </row>
    <row r="251" spans="1:44" ht="15.75" x14ac:dyDescent="0.25">
      <c r="A251" s="10">
        <v>46096</v>
      </c>
      <c r="B251" s="5" t="s">
        <v>685</v>
      </c>
      <c r="C251" s="5" t="s">
        <v>1741</v>
      </c>
      <c r="D251" s="5" t="s">
        <v>11</v>
      </c>
      <c r="E251" s="5" t="s">
        <v>8</v>
      </c>
      <c r="F251" s="5" t="s">
        <v>8</v>
      </c>
      <c r="G251" s="5" t="s">
        <v>11</v>
      </c>
      <c r="H251" s="5" t="s">
        <v>11</v>
      </c>
      <c r="I251" s="6" t="str">
        <f>HYPERLINK("http://maps.yandex.ru/?ll=,&amp;spn=0.011598,0.004531&amp;z=17&amp;l=map&amp;pt=,", "")</f>
        <v/>
      </c>
      <c r="J251" s="5" t="s">
        <v>84</v>
      </c>
      <c r="K251" s="6" t="str">
        <f>HYPERLINK("http://maps.yandex.ru/?ll=,&amp;spn=0.011598,0.004531&amp;z=17&amp;l=map&amp;pt=,", "")</f>
        <v/>
      </c>
      <c r="L251" s="5" t="s">
        <v>84</v>
      </c>
      <c r="M251" s="5" t="s">
        <v>13</v>
      </c>
      <c r="N251" s="5" t="s">
        <v>58</v>
      </c>
      <c r="O251" s="5" t="s">
        <v>13</v>
      </c>
      <c r="P251" s="5">
        <v>0</v>
      </c>
      <c r="Q251" s="5">
        <v>100</v>
      </c>
      <c r="R251" s="5">
        <v>0</v>
      </c>
      <c r="S251" s="5">
        <v>0</v>
      </c>
      <c r="T251" s="5" t="s">
        <v>1673</v>
      </c>
      <c r="U251" s="5" t="s">
        <v>1742</v>
      </c>
      <c r="V251" s="5" t="s">
        <v>1743</v>
      </c>
      <c r="W251" s="5">
        <v>0</v>
      </c>
      <c r="X251" s="5">
        <v>0</v>
      </c>
      <c r="Y251" s="5">
        <v>0</v>
      </c>
      <c r="Z251" s="5" t="s">
        <v>1745</v>
      </c>
      <c r="AA251" s="5" t="s">
        <v>3985</v>
      </c>
      <c r="AB251" s="5" t="s">
        <v>19</v>
      </c>
      <c r="AC251" s="5" t="s">
        <v>19</v>
      </c>
      <c r="AD251" s="5" t="s">
        <v>19</v>
      </c>
      <c r="AE251" s="5" t="s">
        <v>2049</v>
      </c>
      <c r="AF251" s="5" t="s">
        <v>12</v>
      </c>
      <c r="AG251" s="5">
        <v>4</v>
      </c>
      <c r="AH251" s="5">
        <v>4</v>
      </c>
      <c r="AI251" s="5">
        <v>0</v>
      </c>
      <c r="AJ251" s="5">
        <v>400</v>
      </c>
      <c r="AK251" s="5">
        <v>0</v>
      </c>
      <c r="AL251" s="5" t="s">
        <v>12</v>
      </c>
      <c r="AM251" s="5" t="s">
        <v>12</v>
      </c>
      <c r="AN251" s="5" t="s">
        <v>12</v>
      </c>
      <c r="AO251" s="5" t="s">
        <v>11</v>
      </c>
      <c r="AP251" s="5" t="s">
        <v>11</v>
      </c>
      <c r="AQ251" s="5" t="s">
        <v>18</v>
      </c>
      <c r="AR251" s="5" t="s">
        <v>17</v>
      </c>
    </row>
    <row r="252" spans="1:44" ht="31.5" x14ac:dyDescent="0.25">
      <c r="A252" s="10">
        <v>46096</v>
      </c>
      <c r="B252" s="5" t="s">
        <v>684</v>
      </c>
      <c r="C252" s="5" t="s">
        <v>1747</v>
      </c>
      <c r="D252" s="5" t="s">
        <v>11</v>
      </c>
      <c r="E252" s="5" t="s">
        <v>6</v>
      </c>
      <c r="F252" s="5" t="s">
        <v>6</v>
      </c>
      <c r="G252" s="5" t="s">
        <v>3986</v>
      </c>
      <c r="H252" s="5" t="s">
        <v>3121</v>
      </c>
      <c r="I252" s="6" t="str">
        <f>HYPERLINK("http://maps.yandex.ru/?ll=35.821453,52.2904&amp;spn=0.011598,0.004531&amp;z=17&amp;l=map&amp;pt=35.821453,52.2904", "52.29041//35.821453")</f>
        <v>52.29041//35.821453</v>
      </c>
      <c r="J252" s="5" t="s">
        <v>176</v>
      </c>
      <c r="K252" s="6" t="str">
        <f>HYPERLINK("http://maps.yandex.ru/?ll=34.041325,53.14621&amp;spn=0.011598,0.004531&amp;z=17&amp;l=map&amp;pt=34.041325,53.14621", "53.146214//34.041325")</f>
        <v>53.146214//34.041325</v>
      </c>
      <c r="L252" s="5" t="s">
        <v>3143</v>
      </c>
      <c r="M252" s="5" t="s">
        <v>1333</v>
      </c>
      <c r="N252" s="5" t="s">
        <v>116</v>
      </c>
      <c r="O252" s="5" t="s">
        <v>3987</v>
      </c>
      <c r="P252" s="5">
        <v>17</v>
      </c>
      <c r="Q252" s="5">
        <v>6</v>
      </c>
      <c r="R252" s="5">
        <v>77</v>
      </c>
      <c r="S252" s="5">
        <v>316.34399999999999</v>
      </c>
      <c r="T252" s="5" t="s">
        <v>1609</v>
      </c>
      <c r="U252" s="5" t="s">
        <v>3988</v>
      </c>
      <c r="V252" s="5" t="s">
        <v>3989</v>
      </c>
      <c r="W252" s="5">
        <v>13.18</v>
      </c>
      <c r="X252" s="5">
        <v>76.8</v>
      </c>
      <c r="Y252" s="5">
        <v>210</v>
      </c>
      <c r="Z252" s="5" t="s">
        <v>1750</v>
      </c>
      <c r="AA252" s="5" t="s">
        <v>2458</v>
      </c>
      <c r="AB252" s="5" t="s">
        <v>19</v>
      </c>
      <c r="AC252" s="5" t="s">
        <v>19</v>
      </c>
      <c r="AD252" s="5" t="s">
        <v>19</v>
      </c>
      <c r="AE252" s="5" t="s">
        <v>1845</v>
      </c>
      <c r="AF252" s="5" t="s">
        <v>3990</v>
      </c>
      <c r="AG252" s="5">
        <v>64</v>
      </c>
      <c r="AH252" s="5">
        <v>3</v>
      </c>
      <c r="AI252" s="5">
        <v>61</v>
      </c>
      <c r="AJ252" s="5">
        <v>27.12</v>
      </c>
      <c r="AK252" s="5">
        <v>25.85</v>
      </c>
      <c r="AL252" s="5" t="s">
        <v>12</v>
      </c>
      <c r="AM252" s="5" t="s">
        <v>12</v>
      </c>
      <c r="AN252" s="5" t="s">
        <v>12</v>
      </c>
      <c r="AO252" s="5" t="s">
        <v>11</v>
      </c>
      <c r="AP252" s="5" t="s">
        <v>11</v>
      </c>
      <c r="AQ252" s="5" t="s">
        <v>53</v>
      </c>
      <c r="AR252" s="5" t="s">
        <v>52</v>
      </c>
    </row>
    <row r="253" spans="1:44" ht="15.75" x14ac:dyDescent="0.25">
      <c r="A253" s="10">
        <v>46096</v>
      </c>
      <c r="B253" s="5" t="s">
        <v>682</v>
      </c>
      <c r="C253" s="5" t="s">
        <v>1752</v>
      </c>
      <c r="D253" s="5" t="s">
        <v>11</v>
      </c>
      <c r="E253" s="5" t="s">
        <v>8</v>
      </c>
      <c r="F253" s="5" t="s">
        <v>8</v>
      </c>
      <c r="G253" s="5" t="s">
        <v>11</v>
      </c>
      <c r="H253" s="5" t="s">
        <v>11</v>
      </c>
      <c r="I253" s="6" t="str">
        <f>HYPERLINK("http://maps.yandex.ru/?ll=,&amp;spn=0.011598,0.004531&amp;z=17&amp;l=map&amp;pt=,", "")</f>
        <v/>
      </c>
      <c r="J253" s="5" t="s">
        <v>84</v>
      </c>
      <c r="K253" s="6" t="str">
        <f>HYPERLINK("http://maps.yandex.ru/?ll=,&amp;spn=0.011598,0.004531&amp;z=17&amp;l=map&amp;pt=,", "")</f>
        <v/>
      </c>
      <c r="L253" s="5" t="s">
        <v>84</v>
      </c>
      <c r="M253" s="5" t="s">
        <v>13</v>
      </c>
      <c r="N253" s="5" t="s">
        <v>13</v>
      </c>
      <c r="O253" s="5" t="s">
        <v>58</v>
      </c>
      <c r="P253" s="5">
        <v>0</v>
      </c>
      <c r="Q253" s="5">
        <v>0</v>
      </c>
      <c r="R253" s="5">
        <v>100</v>
      </c>
      <c r="S253" s="5">
        <v>0</v>
      </c>
      <c r="T253" s="5" t="s">
        <v>12</v>
      </c>
      <c r="U253" s="5" t="s">
        <v>12</v>
      </c>
      <c r="V253" s="5" t="s">
        <v>12</v>
      </c>
      <c r="W253" s="5">
        <v>0</v>
      </c>
      <c r="X253" s="5">
        <v>0</v>
      </c>
      <c r="Y253" s="5">
        <v>0</v>
      </c>
      <c r="Z253" s="5" t="s">
        <v>12</v>
      </c>
      <c r="AA253" s="5" t="s">
        <v>12</v>
      </c>
      <c r="AB253" s="5" t="s">
        <v>19</v>
      </c>
      <c r="AC253" s="5" t="s">
        <v>19</v>
      </c>
      <c r="AD253" s="5" t="s">
        <v>19</v>
      </c>
      <c r="AE253" s="5" t="s">
        <v>12</v>
      </c>
      <c r="AF253" s="5" t="s">
        <v>12</v>
      </c>
      <c r="AG253" s="5"/>
      <c r="AH253" s="5"/>
      <c r="AI253" s="5"/>
      <c r="AJ253" s="5"/>
      <c r="AK253" s="5"/>
      <c r="AL253" s="5" t="s">
        <v>681</v>
      </c>
      <c r="AM253" s="5" t="s">
        <v>681</v>
      </c>
      <c r="AN253" s="5" t="s">
        <v>19</v>
      </c>
      <c r="AO253" s="5" t="s">
        <v>115</v>
      </c>
      <c r="AP253" s="5" t="s">
        <v>114</v>
      </c>
      <c r="AQ253" s="5" t="s">
        <v>99</v>
      </c>
      <c r="AR253" s="5" t="s">
        <v>98</v>
      </c>
    </row>
    <row r="254" spans="1:44" ht="31.5" x14ac:dyDescent="0.25">
      <c r="A254" s="10">
        <v>46096</v>
      </c>
      <c r="B254" s="5" t="s">
        <v>680</v>
      </c>
      <c r="C254" s="5" t="s">
        <v>1753</v>
      </c>
      <c r="D254" s="5" t="s">
        <v>11</v>
      </c>
      <c r="E254" s="5" t="s">
        <v>0</v>
      </c>
      <c r="F254" s="5" t="s">
        <v>0</v>
      </c>
      <c r="G254" s="5" t="s">
        <v>3991</v>
      </c>
      <c r="H254" s="5" t="s">
        <v>3121</v>
      </c>
      <c r="I254" s="6" t="str">
        <f>HYPERLINK("http://maps.yandex.ru/?ll=39.524,53.92447&amp;spn=0.011598,0.004531&amp;z=17&amp;l=map&amp;pt=39.524,53.92447", "53.924477//39.524")</f>
        <v>53.924477//39.524</v>
      </c>
      <c r="J254" s="5" t="s">
        <v>118</v>
      </c>
      <c r="K254" s="6" t="str">
        <f>HYPERLINK("http://maps.yandex.ru/?ll=36.763496,55.78304&amp;spn=0.011598,0.004531&amp;z=17&amp;l=map&amp;pt=36.763496,55.78304", "55.783047//36.763496")</f>
        <v>55.783047//36.763496</v>
      </c>
      <c r="L254" s="5" t="s">
        <v>56</v>
      </c>
      <c r="M254" s="5" t="s">
        <v>1353</v>
      </c>
      <c r="N254" s="5" t="s">
        <v>313</v>
      </c>
      <c r="O254" s="5" t="s">
        <v>1433</v>
      </c>
      <c r="P254" s="5">
        <v>30</v>
      </c>
      <c r="Q254" s="5">
        <v>60</v>
      </c>
      <c r="R254" s="5">
        <v>11</v>
      </c>
      <c r="S254" s="5">
        <v>397.33</v>
      </c>
      <c r="T254" s="5" t="s">
        <v>12</v>
      </c>
      <c r="U254" s="5" t="s">
        <v>12</v>
      </c>
      <c r="V254" s="5" t="s">
        <v>12</v>
      </c>
      <c r="W254" s="5">
        <v>16.559999999999999</v>
      </c>
      <c r="X254" s="5">
        <v>56.08</v>
      </c>
      <c r="Y254" s="5">
        <v>110</v>
      </c>
      <c r="Z254" s="5" t="s">
        <v>1755</v>
      </c>
      <c r="AA254" s="5" t="s">
        <v>1948</v>
      </c>
      <c r="AB254" s="5" t="s">
        <v>1548</v>
      </c>
      <c r="AC254" s="5" t="s">
        <v>1673</v>
      </c>
      <c r="AD254" s="5" t="s">
        <v>19</v>
      </c>
      <c r="AE254" s="5" t="s">
        <v>1756</v>
      </c>
      <c r="AF254" s="5" t="s">
        <v>12</v>
      </c>
      <c r="AG254" s="5"/>
      <c r="AH254" s="5"/>
      <c r="AI254" s="5"/>
      <c r="AJ254" s="5"/>
      <c r="AK254" s="5"/>
      <c r="AL254" s="5" t="s">
        <v>1757</v>
      </c>
      <c r="AM254" s="5" t="s">
        <v>3992</v>
      </c>
      <c r="AN254" s="5" t="s">
        <v>1695</v>
      </c>
      <c r="AO254" s="5" t="s">
        <v>115</v>
      </c>
      <c r="AP254" s="5" t="s">
        <v>114</v>
      </c>
      <c r="AQ254" s="5" t="s">
        <v>99</v>
      </c>
      <c r="AR254" s="5" t="s">
        <v>98</v>
      </c>
    </row>
    <row r="255" spans="1:44" ht="31.5" x14ac:dyDescent="0.25">
      <c r="A255" s="10">
        <v>46096</v>
      </c>
      <c r="B255" s="5" t="s">
        <v>678</v>
      </c>
      <c r="C255" s="5" t="s">
        <v>1758</v>
      </c>
      <c r="D255" s="5" t="s">
        <v>11</v>
      </c>
      <c r="E255" s="5" t="s">
        <v>5</v>
      </c>
      <c r="F255" s="5" t="s">
        <v>5</v>
      </c>
      <c r="G255" s="5" t="s">
        <v>3993</v>
      </c>
      <c r="H255" s="5" t="s">
        <v>3603</v>
      </c>
      <c r="I255" s="6" t="str">
        <f>HYPERLINK("http://maps.yandex.ru/?ll=30.609602,59.77056&amp;spn=0.011598,0.004531&amp;z=17&amp;l=map&amp;pt=30.609602,59.77056", "59.770565//30.609602")</f>
        <v>59.770565//30.609602</v>
      </c>
      <c r="J255" s="5" t="s">
        <v>23</v>
      </c>
      <c r="K255" s="6" t="str">
        <f>HYPERLINK("http://maps.yandex.ru/?ll=30.609568,59.770&amp;spn=0.011598,0.004531&amp;z=17&amp;l=map&amp;pt=30.609568,59.770", "59.7708//30.609568")</f>
        <v>59.7708//30.609568</v>
      </c>
      <c r="L255" s="5" t="s">
        <v>23</v>
      </c>
      <c r="M255" s="5" t="s">
        <v>13</v>
      </c>
      <c r="N255" s="5" t="s">
        <v>58</v>
      </c>
      <c r="O255" s="5" t="s">
        <v>13</v>
      </c>
      <c r="P255" s="5">
        <v>0</v>
      </c>
      <c r="Q255" s="5">
        <v>100</v>
      </c>
      <c r="R255" s="5">
        <v>0</v>
      </c>
      <c r="S255" s="5">
        <v>2.1999999999999999E-2</v>
      </c>
      <c r="T255" s="5" t="s">
        <v>12</v>
      </c>
      <c r="U255" s="5" t="s">
        <v>12</v>
      </c>
      <c r="V255" s="5" t="s">
        <v>12</v>
      </c>
      <c r="W255" s="5">
        <v>0</v>
      </c>
      <c r="X255" s="5">
        <v>4.95</v>
      </c>
      <c r="Y255" s="5">
        <v>6</v>
      </c>
      <c r="Z255" s="5" t="s">
        <v>1371</v>
      </c>
      <c r="AA255" s="5" t="s">
        <v>1371</v>
      </c>
      <c r="AB255" s="5" t="s">
        <v>19</v>
      </c>
      <c r="AC255" s="5" t="s">
        <v>19</v>
      </c>
      <c r="AD255" s="5" t="s">
        <v>19</v>
      </c>
      <c r="AE255" s="5" t="s">
        <v>19</v>
      </c>
      <c r="AF255" s="5" t="s">
        <v>12</v>
      </c>
      <c r="AG255" s="5"/>
      <c r="AH255" s="5"/>
      <c r="AI255" s="5"/>
      <c r="AJ255" s="5"/>
      <c r="AK255" s="5"/>
      <c r="AL255" s="5" t="s">
        <v>12</v>
      </c>
      <c r="AM255" s="5" t="s">
        <v>12</v>
      </c>
      <c r="AN255" s="5" t="s">
        <v>12</v>
      </c>
      <c r="AO255" s="5" t="s">
        <v>115</v>
      </c>
      <c r="AP255" s="5" t="s">
        <v>114</v>
      </c>
      <c r="AQ255" s="5" t="s">
        <v>99</v>
      </c>
      <c r="AR255" s="5" t="s">
        <v>98</v>
      </c>
    </row>
    <row r="256" spans="1:44" ht="31.5" x14ac:dyDescent="0.25">
      <c r="A256" s="10">
        <v>46096</v>
      </c>
      <c r="B256" s="5" t="s">
        <v>675</v>
      </c>
      <c r="C256" s="5" t="s">
        <v>1759</v>
      </c>
      <c r="D256" s="5" t="s">
        <v>11</v>
      </c>
      <c r="E256" s="5" t="s">
        <v>0</v>
      </c>
      <c r="F256" s="5" t="s">
        <v>0</v>
      </c>
      <c r="G256" s="5" t="s">
        <v>3994</v>
      </c>
      <c r="H256" s="5" t="s">
        <v>3995</v>
      </c>
      <c r="I256" s="6" t="str">
        <f>HYPERLINK("http://maps.yandex.ru/?ll=41.46229,54.98579&amp;spn=0.011598,0.004531&amp;z=17&amp;l=map&amp;pt=41.46229,54.98579", "54.985798//41.46229")</f>
        <v>54.985798//41.46229</v>
      </c>
      <c r="J256" s="5" t="s">
        <v>118</v>
      </c>
      <c r="K256" s="6" t="str">
        <f>HYPERLINK("http://maps.yandex.ru/?ll=44.15043,56.19114&amp;spn=0.011598,0.004531&amp;z=17&amp;l=map&amp;pt=44.15043,56.19114", "56.191143//44.15043")</f>
        <v>56.191143//44.15043</v>
      </c>
      <c r="L256" s="5" t="s">
        <v>15</v>
      </c>
      <c r="M256" s="5" t="s">
        <v>545</v>
      </c>
      <c r="N256" s="5" t="s">
        <v>649</v>
      </c>
      <c r="O256" s="5" t="s">
        <v>1436</v>
      </c>
      <c r="P256" s="5">
        <v>21</v>
      </c>
      <c r="Q256" s="5">
        <v>4</v>
      </c>
      <c r="R256" s="5">
        <v>75</v>
      </c>
      <c r="S256" s="5">
        <v>288.149</v>
      </c>
      <c r="T256" s="5" t="s">
        <v>3996</v>
      </c>
      <c r="U256" s="5" t="s">
        <v>1761</v>
      </c>
      <c r="V256" s="5" t="s">
        <v>3997</v>
      </c>
      <c r="W256" s="5">
        <v>12.01</v>
      </c>
      <c r="X256" s="5">
        <v>56.89</v>
      </c>
      <c r="Y256" s="5">
        <v>99</v>
      </c>
      <c r="Z256" s="5" t="s">
        <v>2540</v>
      </c>
      <c r="AA256" s="5" t="s">
        <v>833</v>
      </c>
      <c r="AB256" s="5" t="s">
        <v>19</v>
      </c>
      <c r="AC256" s="5" t="s">
        <v>19</v>
      </c>
      <c r="AD256" s="5" t="s">
        <v>19</v>
      </c>
      <c r="AE256" s="5" t="s">
        <v>2769</v>
      </c>
      <c r="AF256" s="5" t="s">
        <v>3998</v>
      </c>
      <c r="AG256" s="5">
        <v>81</v>
      </c>
      <c r="AH256" s="5">
        <v>1</v>
      </c>
      <c r="AI256" s="5">
        <v>80</v>
      </c>
      <c r="AJ256" s="5">
        <v>27.46</v>
      </c>
      <c r="AK256" s="5">
        <v>27.12</v>
      </c>
      <c r="AL256" s="5" t="s">
        <v>12</v>
      </c>
      <c r="AM256" s="5" t="s">
        <v>12</v>
      </c>
      <c r="AN256" s="5" t="s">
        <v>12</v>
      </c>
      <c r="AO256" s="5" t="s">
        <v>11</v>
      </c>
      <c r="AP256" s="5" t="s">
        <v>11</v>
      </c>
      <c r="AQ256" s="5" t="s">
        <v>53</v>
      </c>
      <c r="AR256" s="5" t="s">
        <v>52</v>
      </c>
    </row>
    <row r="257" spans="1:44" ht="31.5" x14ac:dyDescent="0.25">
      <c r="A257" s="10">
        <v>46096</v>
      </c>
      <c r="B257" s="5" t="s">
        <v>673</v>
      </c>
      <c r="C257" s="5" t="s">
        <v>1765</v>
      </c>
      <c r="D257" s="5" t="s">
        <v>11</v>
      </c>
      <c r="E257" s="5" t="s">
        <v>1</v>
      </c>
      <c r="F257" s="5" t="s">
        <v>1</v>
      </c>
      <c r="G257" s="5" t="s">
        <v>3999</v>
      </c>
      <c r="H257" s="5" t="s">
        <v>4000</v>
      </c>
      <c r="I257" s="6" t="str">
        <f>HYPERLINK("http://maps.yandex.ru/?ll=41.939102,44.99151&amp;spn=0.011598,0.004531&amp;z=17&amp;l=map&amp;pt=41.939102,44.99151", "44.991516//41.939102")</f>
        <v>44.991516//41.939102</v>
      </c>
      <c r="J257" s="5" t="s">
        <v>208</v>
      </c>
      <c r="K257" s="6" t="str">
        <f>HYPERLINK("http://maps.yandex.ru/?ll=43.668457,43.5437&amp;spn=0.011598,0.004531&amp;z=17&amp;l=map&amp;pt=43.668457,43.5437", "43.54375//43.668457")</f>
        <v>43.54375//43.668457</v>
      </c>
      <c r="L257" s="5" t="s">
        <v>893</v>
      </c>
      <c r="M257" s="5" t="s">
        <v>4001</v>
      </c>
      <c r="N257" s="5" t="s">
        <v>4002</v>
      </c>
      <c r="O257" s="5" t="s">
        <v>1411</v>
      </c>
      <c r="P257" s="5">
        <v>19</v>
      </c>
      <c r="Q257" s="5">
        <v>59</v>
      </c>
      <c r="R257" s="5">
        <v>22</v>
      </c>
      <c r="S257" s="5">
        <v>300.88099999999997</v>
      </c>
      <c r="T257" s="5" t="s">
        <v>1904</v>
      </c>
      <c r="U257" s="5" t="s">
        <v>4003</v>
      </c>
      <c r="V257" s="5" t="s">
        <v>4004</v>
      </c>
      <c r="W257" s="5">
        <v>12.54</v>
      </c>
      <c r="X257" s="5">
        <v>65.709999999999994</v>
      </c>
      <c r="Y257" s="5">
        <v>157</v>
      </c>
      <c r="Z257" s="5" t="s">
        <v>1766</v>
      </c>
      <c r="AA257" s="5" t="s">
        <v>1473</v>
      </c>
      <c r="AB257" s="5" t="s">
        <v>19</v>
      </c>
      <c r="AC257" s="5" t="s">
        <v>19</v>
      </c>
      <c r="AD257" s="5" t="s">
        <v>19</v>
      </c>
      <c r="AE257" s="5" t="s">
        <v>2486</v>
      </c>
      <c r="AF257" s="5" t="s">
        <v>4005</v>
      </c>
      <c r="AG257" s="5">
        <v>86</v>
      </c>
      <c r="AH257" s="5">
        <v>0</v>
      </c>
      <c r="AI257" s="5">
        <v>86</v>
      </c>
      <c r="AJ257" s="5">
        <v>28.1</v>
      </c>
      <c r="AK257" s="5">
        <v>28.1</v>
      </c>
      <c r="AL257" s="5" t="s">
        <v>12</v>
      </c>
      <c r="AM257" s="5" t="s">
        <v>12</v>
      </c>
      <c r="AN257" s="5" t="s">
        <v>12</v>
      </c>
      <c r="AO257" s="5" t="s">
        <v>11</v>
      </c>
      <c r="AP257" s="5" t="s">
        <v>11</v>
      </c>
      <c r="AQ257" s="5" t="s">
        <v>53</v>
      </c>
      <c r="AR257" s="5" t="s">
        <v>52</v>
      </c>
    </row>
    <row r="258" spans="1:44" ht="31.5" x14ac:dyDescent="0.25">
      <c r="A258" s="10">
        <v>46096</v>
      </c>
      <c r="B258" s="5" t="s">
        <v>672</v>
      </c>
      <c r="C258" s="5" t="s">
        <v>1768</v>
      </c>
      <c r="D258" s="5" t="s">
        <v>11</v>
      </c>
      <c r="E258" s="5" t="s">
        <v>7</v>
      </c>
      <c r="F258" s="5" t="s">
        <v>7</v>
      </c>
      <c r="G258" s="5" t="s">
        <v>4006</v>
      </c>
      <c r="H258" s="5" t="s">
        <v>4007</v>
      </c>
      <c r="I258" s="6" t="str">
        <f>HYPERLINK("http://maps.yandex.ru/?ll=41.35493,55.6838&amp;spn=0.011598,0.004531&amp;z=17&amp;l=map&amp;pt=41.35493,55.6838", "55.68382//41.35493")</f>
        <v>55.68382//41.35493</v>
      </c>
      <c r="J258" s="5" t="s">
        <v>49</v>
      </c>
      <c r="K258" s="6" t="str">
        <f>HYPERLINK("http://maps.yandex.ru/?ll=49.274105,55.87528&amp;spn=0.011598,0.004531&amp;z=17&amp;l=map&amp;pt=49.274105,55.87528", "55.875286//49.274105")</f>
        <v>55.875286//49.274105</v>
      </c>
      <c r="L258" s="5" t="s">
        <v>28</v>
      </c>
      <c r="M258" s="5" t="s">
        <v>1059</v>
      </c>
      <c r="N258" s="5" t="s">
        <v>1552</v>
      </c>
      <c r="O258" s="5" t="s">
        <v>87</v>
      </c>
      <c r="P258" s="5">
        <v>36</v>
      </c>
      <c r="Q258" s="5">
        <v>63</v>
      </c>
      <c r="R258" s="5">
        <v>1</v>
      </c>
      <c r="S258" s="5">
        <v>619.95000000000005</v>
      </c>
      <c r="T258" s="5" t="s">
        <v>12</v>
      </c>
      <c r="U258" s="5" t="s">
        <v>12</v>
      </c>
      <c r="V258" s="5" t="s">
        <v>12</v>
      </c>
      <c r="W258" s="5">
        <v>25.83</v>
      </c>
      <c r="X258" s="5">
        <v>72.010000000000005</v>
      </c>
      <c r="Y258" s="5">
        <v>100</v>
      </c>
      <c r="Z258" s="5" t="s">
        <v>1468</v>
      </c>
      <c r="AA258" s="5" t="s">
        <v>3961</v>
      </c>
      <c r="AB258" s="5" t="s">
        <v>19</v>
      </c>
      <c r="AC258" s="5" t="s">
        <v>19</v>
      </c>
      <c r="AD258" s="5" t="s">
        <v>19</v>
      </c>
      <c r="AE258" s="5" t="s">
        <v>2819</v>
      </c>
      <c r="AF258" s="5" t="s">
        <v>4008</v>
      </c>
      <c r="AG258" s="5"/>
      <c r="AH258" s="5">
        <v>0</v>
      </c>
      <c r="AI258" s="5"/>
      <c r="AJ258" s="5"/>
      <c r="AK258" s="5"/>
      <c r="AL258" s="5" t="s">
        <v>12</v>
      </c>
      <c r="AM258" s="5" t="s">
        <v>12</v>
      </c>
      <c r="AN258" s="5" t="s">
        <v>12</v>
      </c>
      <c r="AO258" s="5" t="s">
        <v>11</v>
      </c>
      <c r="AP258" s="5" t="s">
        <v>11</v>
      </c>
      <c r="AQ258" s="5" t="s">
        <v>53</v>
      </c>
      <c r="AR258" s="5" t="s">
        <v>52</v>
      </c>
    </row>
    <row r="259" spans="1:44" ht="31.5" x14ac:dyDescent="0.25">
      <c r="A259" s="10">
        <v>46096</v>
      </c>
      <c r="B259" s="5" t="s">
        <v>671</v>
      </c>
      <c r="C259" s="5" t="s">
        <v>1770</v>
      </c>
      <c r="D259" s="5" t="s">
        <v>11</v>
      </c>
      <c r="E259" s="5" t="s">
        <v>8</v>
      </c>
      <c r="F259" s="5" t="s">
        <v>8</v>
      </c>
      <c r="G259" s="5" t="s">
        <v>4009</v>
      </c>
      <c r="H259" s="5" t="s">
        <v>3121</v>
      </c>
      <c r="I259" s="6" t="str">
        <f>HYPERLINK("http://maps.yandex.ru/?ll=36.576496,56.473&amp;spn=0.011598,0.004531&amp;z=17&amp;l=map&amp;pt=36.576496,56.473", "56.4737//36.576496")</f>
        <v>56.4737//36.576496</v>
      </c>
      <c r="J259" s="5" t="s">
        <v>56</v>
      </c>
      <c r="K259" s="6" t="str">
        <f>HYPERLINK("http://maps.yandex.ru/?ll=37.067493,56.13083&amp;spn=0.011598,0.004531&amp;z=17&amp;l=map&amp;pt=37.067493,56.13083", "56.130836//37.067493")</f>
        <v>56.130836//37.067493</v>
      </c>
      <c r="L259" s="5" t="s">
        <v>56</v>
      </c>
      <c r="M259" s="5" t="s">
        <v>1059</v>
      </c>
      <c r="N259" s="5" t="s">
        <v>4010</v>
      </c>
      <c r="O259" s="5" t="s">
        <v>998</v>
      </c>
      <c r="P259" s="5">
        <v>36</v>
      </c>
      <c r="Q259" s="5">
        <v>61</v>
      </c>
      <c r="R259" s="5">
        <v>3</v>
      </c>
      <c r="S259" s="5">
        <v>428.53399999999999</v>
      </c>
      <c r="T259" s="5" t="s">
        <v>1706</v>
      </c>
      <c r="U259" s="5" t="s">
        <v>1771</v>
      </c>
      <c r="V259" s="5" t="s">
        <v>4011</v>
      </c>
      <c r="W259" s="5">
        <v>17.86</v>
      </c>
      <c r="X259" s="5">
        <v>49.82</v>
      </c>
      <c r="Y259" s="5">
        <v>132</v>
      </c>
      <c r="Z259" s="5" t="s">
        <v>1772</v>
      </c>
      <c r="AA259" s="5" t="s">
        <v>4012</v>
      </c>
      <c r="AB259" s="5" t="s">
        <v>19</v>
      </c>
      <c r="AC259" s="5" t="s">
        <v>19</v>
      </c>
      <c r="AD259" s="5" t="s">
        <v>19</v>
      </c>
      <c r="AE259" s="5" t="s">
        <v>2240</v>
      </c>
      <c r="AF259" s="5" t="s">
        <v>4013</v>
      </c>
      <c r="AG259" s="5">
        <v>120</v>
      </c>
      <c r="AH259" s="5">
        <v>0</v>
      </c>
      <c r="AI259" s="5">
        <v>120</v>
      </c>
      <c r="AJ259" s="5">
        <v>27.71</v>
      </c>
      <c r="AK259" s="5">
        <v>27.71</v>
      </c>
      <c r="AL259" s="5" t="s">
        <v>12</v>
      </c>
      <c r="AM259" s="5" t="s">
        <v>12</v>
      </c>
      <c r="AN259" s="5" t="s">
        <v>12</v>
      </c>
      <c r="AO259" s="5" t="s">
        <v>11</v>
      </c>
      <c r="AP259" s="5" t="s">
        <v>11</v>
      </c>
      <c r="AQ259" s="5" t="s">
        <v>123</v>
      </c>
      <c r="AR259" s="5" t="s">
        <v>122</v>
      </c>
    </row>
    <row r="260" spans="1:44" ht="31.5" x14ac:dyDescent="0.25">
      <c r="A260" s="10">
        <v>46096</v>
      </c>
      <c r="B260" s="5" t="s">
        <v>670</v>
      </c>
      <c r="C260" s="5" t="s">
        <v>1773</v>
      </c>
      <c r="D260" s="5" t="s">
        <v>11</v>
      </c>
      <c r="E260" s="5" t="s">
        <v>0</v>
      </c>
      <c r="F260" s="5" t="s">
        <v>0</v>
      </c>
      <c r="G260" s="5" t="s">
        <v>4014</v>
      </c>
      <c r="H260" s="5" t="s">
        <v>4015</v>
      </c>
      <c r="I260" s="6" t="str">
        <f>HYPERLINK("http://maps.yandex.ru/?ll=41.462414,54.9857&amp;spn=0.011598,0.004531&amp;z=17&amp;l=map&amp;pt=41.462414,54.9857", "54.98572//41.462414")</f>
        <v>54.98572//41.462414</v>
      </c>
      <c r="J260" s="5" t="s">
        <v>118</v>
      </c>
      <c r="K260" s="6" t="str">
        <f>HYPERLINK("http://maps.yandex.ru/?ll=44.150337,56.19111&amp;spn=0.011598,0.004531&amp;z=17&amp;l=map&amp;pt=44.150337,56.19111", "56.191116//44.150337")</f>
        <v>56.191116//44.150337</v>
      </c>
      <c r="L260" s="5" t="s">
        <v>15</v>
      </c>
      <c r="M260" s="5" t="s">
        <v>545</v>
      </c>
      <c r="N260" s="5" t="s">
        <v>4016</v>
      </c>
      <c r="O260" s="5" t="s">
        <v>13</v>
      </c>
      <c r="P260" s="5">
        <v>21</v>
      </c>
      <c r="Q260" s="5">
        <v>79</v>
      </c>
      <c r="R260" s="5">
        <v>0</v>
      </c>
      <c r="S260" s="5">
        <v>290.68799999999999</v>
      </c>
      <c r="T260" s="5" t="s">
        <v>12</v>
      </c>
      <c r="U260" s="5" t="s">
        <v>12</v>
      </c>
      <c r="V260" s="5" t="s">
        <v>12</v>
      </c>
      <c r="W260" s="5">
        <v>12.11</v>
      </c>
      <c r="X260" s="5">
        <v>57.38</v>
      </c>
      <c r="Y260" s="5">
        <v>92</v>
      </c>
      <c r="Z260" s="5" t="s">
        <v>1774</v>
      </c>
      <c r="AA260" s="5" t="s">
        <v>1933</v>
      </c>
      <c r="AB260" s="5" t="s">
        <v>19</v>
      </c>
      <c r="AC260" s="5" t="s">
        <v>19</v>
      </c>
      <c r="AD260" s="5" t="s">
        <v>19</v>
      </c>
      <c r="AE260" s="5" t="s">
        <v>1671</v>
      </c>
      <c r="AF260" s="5" t="s">
        <v>12</v>
      </c>
      <c r="AG260" s="5"/>
      <c r="AH260" s="5"/>
      <c r="AI260" s="5"/>
      <c r="AJ260" s="5"/>
      <c r="AK260" s="5"/>
      <c r="AL260" s="5" t="s">
        <v>12</v>
      </c>
      <c r="AM260" s="5" t="s">
        <v>12</v>
      </c>
      <c r="AN260" s="5" t="s">
        <v>12</v>
      </c>
      <c r="AO260" s="5" t="s">
        <v>115</v>
      </c>
      <c r="AP260" s="5" t="s">
        <v>114</v>
      </c>
      <c r="AQ260" s="5" t="s">
        <v>99</v>
      </c>
      <c r="AR260" s="5" t="s">
        <v>98</v>
      </c>
    </row>
    <row r="261" spans="1:44" ht="31.5" x14ac:dyDescent="0.25">
      <c r="A261" s="10">
        <v>46096</v>
      </c>
      <c r="B261" s="5" t="s">
        <v>668</v>
      </c>
      <c r="C261" s="5" t="s">
        <v>1775</v>
      </c>
      <c r="D261" s="5" t="s">
        <v>11</v>
      </c>
      <c r="E261" s="5" t="s">
        <v>6</v>
      </c>
      <c r="F261" s="5" t="s">
        <v>6</v>
      </c>
      <c r="G261" s="5" t="s">
        <v>4017</v>
      </c>
      <c r="H261" s="5" t="s">
        <v>3497</v>
      </c>
      <c r="I261" s="6" t="str">
        <f>HYPERLINK("http://maps.yandex.ru/?ll=55.931995,53.6641&amp;spn=0.011598,0.004531&amp;z=17&amp;l=map&amp;pt=55.931995,53.6641", "53.66414//55.931995")</f>
        <v>53.66414//55.931995</v>
      </c>
      <c r="J261" s="5" t="s">
        <v>34</v>
      </c>
      <c r="K261" s="6" t="str">
        <f>HYPERLINK("http://maps.yandex.ru/?ll=51.251526,53.8899&amp;spn=0.011598,0.004531&amp;z=17&amp;l=map&amp;pt=51.251526,53.8899", "53.88994//51.251526")</f>
        <v>53.88994//51.251526</v>
      </c>
      <c r="L261" s="5" t="s">
        <v>76</v>
      </c>
      <c r="M261" s="5" t="s">
        <v>692</v>
      </c>
      <c r="N261" s="5" t="s">
        <v>4018</v>
      </c>
      <c r="O261" s="5" t="s">
        <v>13</v>
      </c>
      <c r="P261" s="5">
        <v>32</v>
      </c>
      <c r="Q261" s="5">
        <v>68</v>
      </c>
      <c r="R261" s="5">
        <v>0</v>
      </c>
      <c r="S261" s="5">
        <v>524.36800000000005</v>
      </c>
      <c r="T261" s="5" t="s">
        <v>12</v>
      </c>
      <c r="U261" s="5" t="s">
        <v>12</v>
      </c>
      <c r="V261" s="5" t="s">
        <v>12</v>
      </c>
      <c r="W261" s="5">
        <v>21.85</v>
      </c>
      <c r="X261" s="5">
        <v>68.52</v>
      </c>
      <c r="Y261" s="5">
        <v>101</v>
      </c>
      <c r="Z261" s="5" t="s">
        <v>1776</v>
      </c>
      <c r="AA261" s="5" t="s">
        <v>1955</v>
      </c>
      <c r="AB261" s="5" t="s">
        <v>19</v>
      </c>
      <c r="AC261" s="5" t="s">
        <v>19</v>
      </c>
      <c r="AD261" s="5" t="s">
        <v>19</v>
      </c>
      <c r="AE261" s="5" t="s">
        <v>2743</v>
      </c>
      <c r="AF261" s="5" t="s">
        <v>12</v>
      </c>
      <c r="AG261" s="5"/>
      <c r="AH261" s="5"/>
      <c r="AI261" s="5"/>
      <c r="AJ261" s="5"/>
      <c r="AK261" s="5"/>
      <c r="AL261" s="5" t="s">
        <v>12</v>
      </c>
      <c r="AM261" s="5" t="s">
        <v>12</v>
      </c>
      <c r="AN261" s="5" t="s">
        <v>12</v>
      </c>
      <c r="AO261" s="5" t="s">
        <v>115</v>
      </c>
      <c r="AP261" s="5" t="s">
        <v>114</v>
      </c>
      <c r="AQ261" s="5" t="s">
        <v>99</v>
      </c>
      <c r="AR261" s="5" t="s">
        <v>98</v>
      </c>
    </row>
    <row r="262" spans="1:44" ht="31.5" x14ac:dyDescent="0.25">
      <c r="A262" s="10">
        <v>46096</v>
      </c>
      <c r="B262" s="5" t="s">
        <v>667</v>
      </c>
      <c r="C262" s="5" t="s">
        <v>1778</v>
      </c>
      <c r="D262" s="5" t="s">
        <v>11</v>
      </c>
      <c r="E262" s="5" t="s">
        <v>8</v>
      </c>
      <c r="F262" s="5" t="s">
        <v>8</v>
      </c>
      <c r="G262" s="5" t="s">
        <v>4019</v>
      </c>
      <c r="H262" s="5" t="s">
        <v>4020</v>
      </c>
      <c r="I262" s="6" t="str">
        <f>HYPERLINK("http://maps.yandex.ru/?ll=58.821693,54.88320&amp;spn=0.011598,0.004531&amp;z=17&amp;l=map&amp;pt=58.821693,54.88320", "54.883205//58.821693")</f>
        <v>54.883205//58.821693</v>
      </c>
      <c r="J262" s="5" t="s">
        <v>227</v>
      </c>
      <c r="K262" s="6" t="str">
        <f>HYPERLINK("http://maps.yandex.ru/?ll=51.994625,54.04511&amp;spn=0.011598,0.004531&amp;z=17&amp;l=map&amp;pt=51.994625,54.04511", "54.045116//51.994625")</f>
        <v>54.045116//51.994625</v>
      </c>
      <c r="L262" s="5" t="s">
        <v>76</v>
      </c>
      <c r="M262" s="5" t="s">
        <v>797</v>
      </c>
      <c r="N262" s="5" t="s">
        <v>868</v>
      </c>
      <c r="O262" s="5" t="s">
        <v>864</v>
      </c>
      <c r="P262" s="5">
        <v>30</v>
      </c>
      <c r="Q262" s="5">
        <v>65</v>
      </c>
      <c r="R262" s="5">
        <v>5</v>
      </c>
      <c r="S262" s="5">
        <v>496.72399999999999</v>
      </c>
      <c r="T262" s="5" t="s">
        <v>3180</v>
      </c>
      <c r="U262" s="5" t="s">
        <v>4021</v>
      </c>
      <c r="V262" s="5" t="s">
        <v>4022</v>
      </c>
      <c r="W262" s="5">
        <v>20.7</v>
      </c>
      <c r="X262" s="5">
        <v>68.349999999999994</v>
      </c>
      <c r="Y262" s="5">
        <v>97</v>
      </c>
      <c r="Z262" s="5" t="s">
        <v>1762</v>
      </c>
      <c r="AA262" s="5" t="s">
        <v>2032</v>
      </c>
      <c r="AB262" s="5" t="s">
        <v>4023</v>
      </c>
      <c r="AC262" s="5" t="s">
        <v>1673</v>
      </c>
      <c r="AD262" s="5" t="s">
        <v>19</v>
      </c>
      <c r="AE262" s="5" t="s">
        <v>1948</v>
      </c>
      <c r="AF262" s="5" t="s">
        <v>4024</v>
      </c>
      <c r="AG262" s="5">
        <v>160</v>
      </c>
      <c r="AH262" s="5">
        <v>1</v>
      </c>
      <c r="AI262" s="5">
        <v>159</v>
      </c>
      <c r="AJ262" s="5">
        <v>32.26</v>
      </c>
      <c r="AK262" s="5">
        <v>32.06</v>
      </c>
      <c r="AL262" s="5" t="s">
        <v>12</v>
      </c>
      <c r="AM262" s="5" t="s">
        <v>12</v>
      </c>
      <c r="AN262" s="5" t="s">
        <v>12</v>
      </c>
      <c r="AO262" s="5" t="s">
        <v>11</v>
      </c>
      <c r="AP262" s="5" t="s">
        <v>11</v>
      </c>
      <c r="AQ262" s="5" t="s">
        <v>123</v>
      </c>
      <c r="AR262" s="5" t="s">
        <v>122</v>
      </c>
    </row>
    <row r="263" spans="1:44" ht="31.5" x14ac:dyDescent="0.25">
      <c r="A263" s="10">
        <v>46096</v>
      </c>
      <c r="B263" s="5" t="s">
        <v>666</v>
      </c>
      <c r="C263" s="5" t="s">
        <v>1780</v>
      </c>
      <c r="D263" s="5" t="s">
        <v>11</v>
      </c>
      <c r="E263" s="5" t="s">
        <v>7</v>
      </c>
      <c r="F263" s="5" t="s">
        <v>7</v>
      </c>
      <c r="G263" s="5" t="s">
        <v>4025</v>
      </c>
      <c r="H263" s="5" t="s">
        <v>4026</v>
      </c>
      <c r="I263" s="6" t="str">
        <f>HYPERLINK("http://maps.yandex.ru/?ll=39.856068,46.1339&amp;spn=0.011598,0.004531&amp;z=17&amp;l=map&amp;pt=39.856068,46.1339", "46.13394//39.856068")</f>
        <v>46.13394//39.856068</v>
      </c>
      <c r="J263" s="5" t="s">
        <v>88</v>
      </c>
      <c r="K263" s="6" t="str">
        <f>HYPERLINK("http://maps.yandex.ru/?ll=38.65169,45.11295&amp;spn=0.011598,0.004531&amp;z=17&amp;l=map&amp;pt=38.65169,45.11295", "45.112953//38.65169")</f>
        <v>45.112953//38.65169</v>
      </c>
      <c r="L263" s="5" t="s">
        <v>88</v>
      </c>
      <c r="M263" s="5" t="s">
        <v>1413</v>
      </c>
      <c r="N263" s="5" t="s">
        <v>4027</v>
      </c>
      <c r="O263" s="5" t="s">
        <v>865</v>
      </c>
      <c r="P263" s="5">
        <v>8</v>
      </c>
      <c r="Q263" s="5">
        <v>88</v>
      </c>
      <c r="R263" s="5">
        <v>4</v>
      </c>
      <c r="S263" s="5">
        <v>156.773</v>
      </c>
      <c r="T263" s="5" t="s">
        <v>1938</v>
      </c>
      <c r="U263" s="5" t="s">
        <v>4028</v>
      </c>
      <c r="V263" s="5" t="s">
        <v>4029</v>
      </c>
      <c r="W263" s="5">
        <v>6.53</v>
      </c>
      <c r="X263" s="5">
        <v>81.58</v>
      </c>
      <c r="Y263" s="5">
        <v>189</v>
      </c>
      <c r="Z263" s="5" t="s">
        <v>1782</v>
      </c>
      <c r="AA263" s="5" t="s">
        <v>3583</v>
      </c>
      <c r="AB263" s="5" t="s">
        <v>19</v>
      </c>
      <c r="AC263" s="5" t="s">
        <v>19</v>
      </c>
      <c r="AD263" s="5" t="s">
        <v>19</v>
      </c>
      <c r="AE263" s="5" t="s">
        <v>1582</v>
      </c>
      <c r="AF263" s="5" t="s">
        <v>4030</v>
      </c>
      <c r="AG263" s="5">
        <v>58</v>
      </c>
      <c r="AH263" s="5">
        <v>6</v>
      </c>
      <c r="AI263" s="5">
        <v>52</v>
      </c>
      <c r="AJ263" s="5">
        <v>33.33</v>
      </c>
      <c r="AK263" s="5">
        <v>29.89</v>
      </c>
      <c r="AL263" s="5" t="s">
        <v>12</v>
      </c>
      <c r="AM263" s="5" t="s">
        <v>12</v>
      </c>
      <c r="AN263" s="5" t="s">
        <v>12</v>
      </c>
      <c r="AO263" s="5" t="s">
        <v>11</v>
      </c>
      <c r="AP263" s="5" t="s">
        <v>11</v>
      </c>
      <c r="AQ263" s="5" t="s">
        <v>123</v>
      </c>
      <c r="AR263" s="5" t="s">
        <v>122</v>
      </c>
    </row>
    <row r="264" spans="1:44" ht="31.5" x14ac:dyDescent="0.25">
      <c r="A264" s="10">
        <v>46096</v>
      </c>
      <c r="B264" s="5" t="s">
        <v>665</v>
      </c>
      <c r="C264" s="5" t="s">
        <v>1784</v>
      </c>
      <c r="D264" s="5" t="s">
        <v>11</v>
      </c>
      <c r="E264" s="5" t="s">
        <v>6</v>
      </c>
      <c r="F264" s="5" t="s">
        <v>6</v>
      </c>
      <c r="G264" s="5" t="s">
        <v>4031</v>
      </c>
      <c r="H264" s="5" t="s">
        <v>4032</v>
      </c>
      <c r="I264" s="6" t="str">
        <f>HYPERLINK("http://maps.yandex.ru/?ll=39.213127,51.8448&amp;spn=0.011598,0.004531&amp;z=17&amp;l=map&amp;pt=39.213127,51.8448", "51.84482//39.213127")</f>
        <v>51.84482//39.213127</v>
      </c>
      <c r="J264" s="5" t="s">
        <v>101</v>
      </c>
      <c r="K264" s="6" t="str">
        <f>HYPERLINK("http://maps.yandex.ru/?ll=39.21295,51.84491&amp;spn=0.011598,0.004531&amp;z=17&amp;l=map&amp;pt=39.21295,51.84491", "51.844913//39.21295")</f>
        <v>51.844913//39.21295</v>
      </c>
      <c r="L264" s="5" t="s">
        <v>101</v>
      </c>
      <c r="M264" s="5" t="s">
        <v>574</v>
      </c>
      <c r="N264" s="5" t="s">
        <v>3581</v>
      </c>
      <c r="O264" s="5" t="s">
        <v>396</v>
      </c>
      <c r="P264" s="5">
        <v>2</v>
      </c>
      <c r="Q264" s="5">
        <v>96</v>
      </c>
      <c r="R264" s="5">
        <v>2</v>
      </c>
      <c r="S264" s="5">
        <v>12.175000000000001</v>
      </c>
      <c r="T264" s="5" t="s">
        <v>1756</v>
      </c>
      <c r="U264" s="5" t="s">
        <v>1785</v>
      </c>
      <c r="V264" s="5" t="s">
        <v>4033</v>
      </c>
      <c r="W264" s="5">
        <v>0.51</v>
      </c>
      <c r="X264" s="5">
        <v>20.48</v>
      </c>
      <c r="Y264" s="5">
        <v>176</v>
      </c>
      <c r="Z264" s="5" t="s">
        <v>12</v>
      </c>
      <c r="AA264" s="5" t="s">
        <v>12</v>
      </c>
      <c r="AB264" s="5" t="s">
        <v>19</v>
      </c>
      <c r="AC264" s="5" t="s">
        <v>19</v>
      </c>
      <c r="AD264" s="5" t="s">
        <v>19</v>
      </c>
      <c r="AE264" s="5" t="s">
        <v>12</v>
      </c>
      <c r="AF264" s="5" t="s">
        <v>12</v>
      </c>
      <c r="AG264" s="5">
        <v>12</v>
      </c>
      <c r="AH264" s="5">
        <v>7</v>
      </c>
      <c r="AI264" s="5">
        <v>5</v>
      </c>
      <c r="AJ264" s="5">
        <v>52.17</v>
      </c>
      <c r="AK264" s="5">
        <v>21.74</v>
      </c>
      <c r="AL264" s="5" t="s">
        <v>12</v>
      </c>
      <c r="AM264" s="5" t="s">
        <v>12</v>
      </c>
      <c r="AN264" s="5" t="s">
        <v>12</v>
      </c>
      <c r="AO264" s="5" t="s">
        <v>11</v>
      </c>
      <c r="AP264" s="5" t="s">
        <v>11</v>
      </c>
      <c r="AQ264" s="5" t="s">
        <v>123</v>
      </c>
      <c r="AR264" s="5" t="s">
        <v>122</v>
      </c>
    </row>
    <row r="265" spans="1:44" ht="31.5" x14ac:dyDescent="0.25">
      <c r="A265" s="10">
        <v>46096</v>
      </c>
      <c r="B265" s="5" t="s">
        <v>722</v>
      </c>
      <c r="C265" s="5" t="s">
        <v>1786</v>
      </c>
      <c r="D265" s="5" t="s">
        <v>11</v>
      </c>
      <c r="E265" s="5" t="s">
        <v>40</v>
      </c>
      <c r="F265" s="5" t="s">
        <v>11</v>
      </c>
      <c r="G265" s="5" t="s">
        <v>4034</v>
      </c>
      <c r="H265" s="5" t="s">
        <v>4035</v>
      </c>
      <c r="I265" s="6" t="str">
        <f>HYPERLINK("http://maps.yandex.ru/?ll=68.95292,56.30537&amp;spn=0.011598,0.004531&amp;z=17&amp;l=map&amp;pt=68.95292,56.30537", "56.305374//68.95292")</f>
        <v>56.305374//68.95292</v>
      </c>
      <c r="J265" s="5" t="s">
        <v>503</v>
      </c>
      <c r="K265" s="6" t="str">
        <f>HYPERLINK("http://maps.yandex.ru/?ll=65.47081,57.15576&amp;spn=0.011598,0.004531&amp;z=17&amp;l=map&amp;pt=65.47081,57.15576", "57.155766//65.47081")</f>
        <v>57.155766//65.47081</v>
      </c>
      <c r="L265" s="5" t="s">
        <v>503</v>
      </c>
      <c r="M265" s="5" t="s">
        <v>1452</v>
      </c>
      <c r="N265" s="5" t="s">
        <v>828</v>
      </c>
      <c r="O265" s="5" t="s">
        <v>13</v>
      </c>
      <c r="P265" s="5">
        <v>15</v>
      </c>
      <c r="Q265" s="5">
        <v>85</v>
      </c>
      <c r="R265" s="5">
        <v>0</v>
      </c>
      <c r="S265" s="5">
        <v>263.40600000000001</v>
      </c>
      <c r="T265" s="5" t="s">
        <v>12</v>
      </c>
      <c r="U265" s="5" t="s">
        <v>12</v>
      </c>
      <c r="V265" s="5" t="s">
        <v>12</v>
      </c>
      <c r="W265" s="5">
        <v>10.98</v>
      </c>
      <c r="X265" s="5">
        <v>74.150000000000006</v>
      </c>
      <c r="Y265" s="5">
        <v>91</v>
      </c>
      <c r="Z265" s="5" t="s">
        <v>1788</v>
      </c>
      <c r="AA265" s="5" t="s">
        <v>2225</v>
      </c>
      <c r="AB265" s="5" t="s">
        <v>19</v>
      </c>
      <c r="AC265" s="5" t="s">
        <v>19</v>
      </c>
      <c r="AD265" s="5" t="s">
        <v>19</v>
      </c>
      <c r="AE265" s="5" t="s">
        <v>1777</v>
      </c>
      <c r="AF265" s="5" t="s">
        <v>12</v>
      </c>
      <c r="AG265" s="5"/>
      <c r="AH265" s="5"/>
      <c r="AI265" s="5"/>
      <c r="AJ265" s="5"/>
      <c r="AK265" s="5"/>
      <c r="AL265" s="5" t="s">
        <v>12</v>
      </c>
      <c r="AM265" s="5" t="s">
        <v>12</v>
      </c>
      <c r="AN265" s="5" t="s">
        <v>12</v>
      </c>
      <c r="AO265" s="5" t="s">
        <v>83</v>
      </c>
      <c r="AP265" s="5" t="s">
        <v>82</v>
      </c>
      <c r="AQ265" s="5" t="s">
        <v>330</v>
      </c>
      <c r="AR265" s="5" t="s">
        <v>329</v>
      </c>
    </row>
    <row r="266" spans="1:44" ht="31.5" x14ac:dyDescent="0.25">
      <c r="A266" s="10">
        <v>46096</v>
      </c>
      <c r="B266" s="5" t="s">
        <v>664</v>
      </c>
      <c r="C266" s="5" t="s">
        <v>1789</v>
      </c>
      <c r="D266" s="5" t="s">
        <v>11</v>
      </c>
      <c r="E266" s="5" t="s">
        <v>6</v>
      </c>
      <c r="F266" s="5" t="s">
        <v>6</v>
      </c>
      <c r="G266" s="5" t="s">
        <v>4036</v>
      </c>
      <c r="H266" s="5" t="s">
        <v>4037</v>
      </c>
      <c r="I266" s="6" t="str">
        <f>HYPERLINK("http://maps.yandex.ru/?ll=55.569702,54.64387&amp;spn=0.011598,0.004531&amp;z=17&amp;l=map&amp;pt=55.569702,54.64387", "54.643875//55.569702")</f>
        <v>54.643875//55.569702</v>
      </c>
      <c r="J266" s="5" t="s">
        <v>34</v>
      </c>
      <c r="K266" s="6" t="str">
        <f>HYPERLINK("http://maps.yandex.ru/?ll=49.283592,55.64399&amp;spn=0.011598,0.004531&amp;z=17&amp;l=map&amp;pt=49.283592,55.64399", "55.643997//49.283592")</f>
        <v>55.643997//49.283592</v>
      </c>
      <c r="L266" s="5" t="s">
        <v>28</v>
      </c>
      <c r="M266" s="5" t="s">
        <v>1186</v>
      </c>
      <c r="N266" s="5" t="s">
        <v>359</v>
      </c>
      <c r="O266" s="5" t="s">
        <v>4038</v>
      </c>
      <c r="P266" s="5">
        <v>28</v>
      </c>
      <c r="Q266" s="5">
        <v>70</v>
      </c>
      <c r="R266" s="5">
        <v>2</v>
      </c>
      <c r="S266" s="5">
        <v>475.077</v>
      </c>
      <c r="T266" s="5" t="s">
        <v>2056</v>
      </c>
      <c r="U266" s="5" t="s">
        <v>4039</v>
      </c>
      <c r="V266" s="5" t="s">
        <v>4040</v>
      </c>
      <c r="W266" s="5">
        <v>19.8</v>
      </c>
      <c r="X266" s="5">
        <v>71.77</v>
      </c>
      <c r="Y266" s="5">
        <v>154</v>
      </c>
      <c r="Z266" s="5" t="s">
        <v>1791</v>
      </c>
      <c r="AA266" s="5" t="s">
        <v>3715</v>
      </c>
      <c r="AB266" s="5" t="s">
        <v>19</v>
      </c>
      <c r="AC266" s="5" t="s">
        <v>19</v>
      </c>
      <c r="AD266" s="5" t="s">
        <v>19</v>
      </c>
      <c r="AE266" s="5" t="s">
        <v>1620</v>
      </c>
      <c r="AF266" s="5" t="s">
        <v>4041</v>
      </c>
      <c r="AG266" s="5">
        <v>184</v>
      </c>
      <c r="AH266" s="5">
        <v>1</v>
      </c>
      <c r="AI266" s="5">
        <v>183</v>
      </c>
      <c r="AJ266" s="5">
        <v>35.520000000000003</v>
      </c>
      <c r="AK266" s="5">
        <v>35.33</v>
      </c>
      <c r="AL266" s="5" t="s">
        <v>12</v>
      </c>
      <c r="AM266" s="5" t="s">
        <v>12</v>
      </c>
      <c r="AN266" s="5" t="s">
        <v>12</v>
      </c>
      <c r="AO266" s="5" t="s">
        <v>11</v>
      </c>
      <c r="AP266" s="5" t="s">
        <v>11</v>
      </c>
      <c r="AQ266" s="5" t="s">
        <v>18</v>
      </c>
      <c r="AR266" s="5" t="s">
        <v>17</v>
      </c>
    </row>
    <row r="267" spans="1:44" ht="31.5" x14ac:dyDescent="0.25">
      <c r="A267" s="10">
        <v>46096</v>
      </c>
      <c r="B267" s="5" t="s">
        <v>663</v>
      </c>
      <c r="C267" s="5" t="s">
        <v>1792</v>
      </c>
      <c r="D267" s="5" t="s">
        <v>11</v>
      </c>
      <c r="E267" s="5" t="s">
        <v>8</v>
      </c>
      <c r="F267" s="5" t="s">
        <v>8</v>
      </c>
      <c r="G267" s="5" t="s">
        <v>4042</v>
      </c>
      <c r="H267" s="5" t="s">
        <v>4043</v>
      </c>
      <c r="I267" s="6" t="str">
        <f>HYPERLINK("http://maps.yandex.ru/?ll=49.29269,53.26986&amp;spn=0.011598,0.004531&amp;z=17&amp;l=map&amp;pt=49.29269,53.26986", "53.269867//49.29269")</f>
        <v>53.269867//49.29269</v>
      </c>
      <c r="J267" s="5" t="s">
        <v>76</v>
      </c>
      <c r="K267" s="6" t="str">
        <f>HYPERLINK("http://maps.yandex.ru/?ll=50.15643,53.08476&amp;spn=0.011598,0.004531&amp;z=17&amp;l=map&amp;pt=50.15643,53.08476", "53.084766//50.15643")</f>
        <v>53.084766//50.15643</v>
      </c>
      <c r="L267" s="5" t="s">
        <v>76</v>
      </c>
      <c r="M267" s="5" t="s">
        <v>1433</v>
      </c>
      <c r="N267" s="5" t="s">
        <v>4044</v>
      </c>
      <c r="O267" s="5" t="s">
        <v>3544</v>
      </c>
      <c r="P267" s="5">
        <v>11</v>
      </c>
      <c r="Q267" s="5">
        <v>86</v>
      </c>
      <c r="R267" s="5">
        <v>3</v>
      </c>
      <c r="S267" s="5">
        <v>130.74299999999999</v>
      </c>
      <c r="T267" s="5" t="s">
        <v>12</v>
      </c>
      <c r="U267" s="5" t="s">
        <v>12</v>
      </c>
      <c r="V267" s="5" t="s">
        <v>12</v>
      </c>
      <c r="W267" s="5">
        <v>5.45</v>
      </c>
      <c r="X267" s="5">
        <v>50.52</v>
      </c>
      <c r="Y267" s="5">
        <v>198</v>
      </c>
      <c r="Z267" s="5" t="s">
        <v>1429</v>
      </c>
      <c r="AA267" s="5" t="s">
        <v>2151</v>
      </c>
      <c r="AB267" s="5" t="s">
        <v>19</v>
      </c>
      <c r="AC267" s="5" t="s">
        <v>19</v>
      </c>
      <c r="AD267" s="5" t="s">
        <v>19</v>
      </c>
      <c r="AE267" s="5" t="s">
        <v>3008</v>
      </c>
      <c r="AF267" s="5" t="s">
        <v>12</v>
      </c>
      <c r="AG267" s="5"/>
      <c r="AH267" s="5"/>
      <c r="AI267" s="5"/>
      <c r="AJ267" s="5"/>
      <c r="AK267" s="5"/>
      <c r="AL267" s="5" t="s">
        <v>12</v>
      </c>
      <c r="AM267" s="5" t="s">
        <v>12</v>
      </c>
      <c r="AN267" s="5" t="s">
        <v>12</v>
      </c>
      <c r="AO267" s="5" t="s">
        <v>83</v>
      </c>
      <c r="AP267" s="5" t="s">
        <v>82</v>
      </c>
      <c r="AQ267" s="5" t="s">
        <v>106</v>
      </c>
      <c r="AR267" s="5" t="s">
        <v>105</v>
      </c>
    </row>
    <row r="268" spans="1:44" ht="15.75" x14ac:dyDescent="0.25">
      <c r="A268" s="10">
        <v>46096</v>
      </c>
      <c r="B268" s="5" t="s">
        <v>662</v>
      </c>
      <c r="C268" s="5" t="s">
        <v>1794</v>
      </c>
      <c r="D268" s="5" t="s">
        <v>11</v>
      </c>
      <c r="E268" s="5" t="s">
        <v>8</v>
      </c>
      <c r="F268" s="5" t="s">
        <v>8</v>
      </c>
      <c r="G268" s="5" t="s">
        <v>4045</v>
      </c>
      <c r="H268" s="5" t="s">
        <v>4046</v>
      </c>
      <c r="I268" s="6" t="str">
        <f>HYPERLINK("http://maps.yandex.ru/?ll=32.55464,58.2453&amp;spn=0.011598,0.004531&amp;z=17&amp;l=map&amp;pt=32.55464,58.2453", "58.24535//32.55464")</f>
        <v>58.24535//32.55464</v>
      </c>
      <c r="J268" s="5" t="s">
        <v>148</v>
      </c>
      <c r="K268" s="6" t="str">
        <f>HYPERLINK("http://maps.yandex.ru/?ll=30.4038,59.7974&amp;spn=0.011598,0.004531&amp;z=17&amp;l=map&amp;pt=30.4038,59.7974", "59.79745//30.4038")</f>
        <v>59.79745//30.4038</v>
      </c>
      <c r="L268" s="5" t="s">
        <v>23</v>
      </c>
      <c r="M268" s="5" t="s">
        <v>4047</v>
      </c>
      <c r="N268" s="5" t="s">
        <v>4048</v>
      </c>
      <c r="O268" s="5" t="s">
        <v>13</v>
      </c>
      <c r="P268" s="5">
        <v>17</v>
      </c>
      <c r="Q268" s="5">
        <v>83</v>
      </c>
      <c r="R268" s="5">
        <v>0</v>
      </c>
      <c r="S268" s="5">
        <v>244.565</v>
      </c>
      <c r="T268" s="5" t="s">
        <v>4049</v>
      </c>
      <c r="U268" s="5" t="s">
        <v>4050</v>
      </c>
      <c r="V268" s="5" t="s">
        <v>4051</v>
      </c>
      <c r="W268" s="5">
        <v>10.19</v>
      </c>
      <c r="X268" s="5">
        <v>58.54</v>
      </c>
      <c r="Y268" s="5">
        <v>90</v>
      </c>
      <c r="Z268" s="5" t="s">
        <v>1795</v>
      </c>
      <c r="AA268" s="5" t="s">
        <v>2156</v>
      </c>
      <c r="AB268" s="5" t="s">
        <v>1677</v>
      </c>
      <c r="AC268" s="5" t="s">
        <v>1673</v>
      </c>
      <c r="AD268" s="5" t="s">
        <v>19</v>
      </c>
      <c r="AE268" s="5" t="s">
        <v>3537</v>
      </c>
      <c r="AF268" s="5" t="s">
        <v>4052</v>
      </c>
      <c r="AG268" s="5">
        <v>67</v>
      </c>
      <c r="AH268" s="5">
        <v>1</v>
      </c>
      <c r="AI268" s="5">
        <v>66</v>
      </c>
      <c r="AJ268" s="5">
        <v>25.67</v>
      </c>
      <c r="AK268" s="5">
        <v>25.29</v>
      </c>
      <c r="AL268" s="5" t="s">
        <v>12</v>
      </c>
      <c r="AM268" s="5" t="s">
        <v>12</v>
      </c>
      <c r="AN268" s="5" t="s">
        <v>12</v>
      </c>
      <c r="AO268" s="5" t="s">
        <v>11</v>
      </c>
      <c r="AP268" s="5" t="s">
        <v>11</v>
      </c>
      <c r="AQ268" s="5" t="s">
        <v>18</v>
      </c>
      <c r="AR268" s="5" t="s">
        <v>17</v>
      </c>
    </row>
    <row r="269" spans="1:44" ht="31.5" x14ac:dyDescent="0.25">
      <c r="A269" s="10">
        <v>46096</v>
      </c>
      <c r="B269" s="5" t="s">
        <v>660</v>
      </c>
      <c r="C269" s="5" t="s">
        <v>1797</v>
      </c>
      <c r="D269" s="5" t="s">
        <v>11</v>
      </c>
      <c r="E269" s="5" t="s">
        <v>7</v>
      </c>
      <c r="F269" s="5" t="s">
        <v>7</v>
      </c>
      <c r="G269" s="5" t="s">
        <v>4053</v>
      </c>
      <c r="H269" s="5" t="s">
        <v>4054</v>
      </c>
      <c r="I269" s="6" t="str">
        <f>HYPERLINK("http://maps.yandex.ru/?ll=32.44469,58.28184&amp;spn=0.011598,0.004531&amp;z=17&amp;l=map&amp;pt=32.44469,58.28184", "58.281845//32.44469")</f>
        <v>58.281845//32.44469</v>
      </c>
      <c r="J269" s="5" t="s">
        <v>148</v>
      </c>
      <c r="K269" s="6" t="str">
        <f>HYPERLINK("http://maps.yandex.ru/?ll=33.642044,57.901&amp;spn=0.011598,0.004531&amp;z=17&amp;l=map&amp;pt=33.642044,57.901", "57.9014//33.642044")</f>
        <v>57.9014//33.642044</v>
      </c>
      <c r="L269" s="5" t="s">
        <v>148</v>
      </c>
      <c r="M269" s="5" t="s">
        <v>1348</v>
      </c>
      <c r="N269" s="5" t="s">
        <v>1355</v>
      </c>
      <c r="O269" s="5" t="s">
        <v>25</v>
      </c>
      <c r="P269" s="5">
        <v>33</v>
      </c>
      <c r="Q269" s="5">
        <v>65</v>
      </c>
      <c r="R269" s="5">
        <v>1</v>
      </c>
      <c r="S269" s="5">
        <v>555.60400000000004</v>
      </c>
      <c r="T269" s="5" t="s">
        <v>1618</v>
      </c>
      <c r="U269" s="5" t="s">
        <v>4055</v>
      </c>
      <c r="V269" s="5" t="s">
        <v>4056</v>
      </c>
      <c r="W269" s="5">
        <v>23.15</v>
      </c>
      <c r="X269" s="5">
        <v>69.52</v>
      </c>
      <c r="Y269" s="5">
        <v>96</v>
      </c>
      <c r="Z269" s="5" t="s">
        <v>1800</v>
      </c>
      <c r="AA269" s="5" t="s">
        <v>2275</v>
      </c>
      <c r="AB269" s="5" t="s">
        <v>3841</v>
      </c>
      <c r="AC269" s="5" t="s">
        <v>1673</v>
      </c>
      <c r="AD269" s="5" t="s">
        <v>19</v>
      </c>
      <c r="AE269" s="5" t="s">
        <v>1577</v>
      </c>
      <c r="AF269" s="5" t="s">
        <v>4057</v>
      </c>
      <c r="AG269" s="5"/>
      <c r="AH269" s="5">
        <v>0</v>
      </c>
      <c r="AI269" s="5"/>
      <c r="AJ269" s="5">
        <v>0</v>
      </c>
      <c r="AK269" s="5">
        <v>0</v>
      </c>
      <c r="AL269" s="5" t="s">
        <v>12</v>
      </c>
      <c r="AM269" s="5" t="s">
        <v>12</v>
      </c>
      <c r="AN269" s="5" t="s">
        <v>12</v>
      </c>
      <c r="AO269" s="5" t="s">
        <v>11</v>
      </c>
      <c r="AP269" s="5" t="s">
        <v>11</v>
      </c>
      <c r="AQ269" s="5" t="s">
        <v>92</v>
      </c>
      <c r="AR269" s="5" t="s">
        <v>91</v>
      </c>
    </row>
    <row r="270" spans="1:44" ht="31.5" x14ac:dyDescent="0.25">
      <c r="A270" s="10">
        <v>46096</v>
      </c>
      <c r="B270" s="5" t="s">
        <v>659</v>
      </c>
      <c r="C270" s="5" t="s">
        <v>1801</v>
      </c>
      <c r="D270" s="5" t="s">
        <v>11</v>
      </c>
      <c r="E270" s="5" t="s">
        <v>4</v>
      </c>
      <c r="F270" s="5" t="s">
        <v>4</v>
      </c>
      <c r="G270" s="5" t="s">
        <v>4058</v>
      </c>
      <c r="H270" s="5" t="s">
        <v>4059</v>
      </c>
      <c r="I270" s="6" t="str">
        <f>HYPERLINK("http://maps.yandex.ru/?ll=40.885513,56.13490&amp;spn=0.011598,0.004531&amp;z=17&amp;l=map&amp;pt=40.885513,56.13490", "56.134903//40.885513")</f>
        <v>56.134903//40.885513</v>
      </c>
      <c r="J270" s="5" t="s">
        <v>49</v>
      </c>
      <c r="K270" s="6" t="str">
        <f>HYPERLINK("http://maps.yandex.ru/?ll=34.85267,57.35777&amp;spn=0.011598,0.004531&amp;z=17&amp;l=map&amp;pt=34.85267,57.35777", "57.357777//34.85267")</f>
        <v>57.357777//34.85267</v>
      </c>
      <c r="L270" s="5" t="s">
        <v>50</v>
      </c>
      <c r="M270" s="5" t="s">
        <v>241</v>
      </c>
      <c r="N270" s="5" t="s">
        <v>4060</v>
      </c>
      <c r="O270" s="5" t="s">
        <v>322</v>
      </c>
      <c r="P270" s="5">
        <v>29</v>
      </c>
      <c r="Q270" s="5">
        <v>70</v>
      </c>
      <c r="R270" s="5">
        <v>1</v>
      </c>
      <c r="S270" s="5">
        <v>482.904</v>
      </c>
      <c r="T270" s="5" t="s">
        <v>2633</v>
      </c>
      <c r="U270" s="5" t="s">
        <v>4061</v>
      </c>
      <c r="V270" s="5" t="s">
        <v>4062</v>
      </c>
      <c r="W270" s="5">
        <v>20.12</v>
      </c>
      <c r="X270" s="5">
        <v>69.489999999999995</v>
      </c>
      <c r="Y270" s="5">
        <v>102</v>
      </c>
      <c r="Z270" s="5" t="s">
        <v>1803</v>
      </c>
      <c r="AA270" s="5" t="s">
        <v>3903</v>
      </c>
      <c r="AB270" s="5" t="s">
        <v>19</v>
      </c>
      <c r="AC270" s="5" t="s">
        <v>19</v>
      </c>
      <c r="AD270" s="5" t="s">
        <v>19</v>
      </c>
      <c r="AE270" s="5" t="s">
        <v>1600</v>
      </c>
      <c r="AF270" s="5" t="s">
        <v>4063</v>
      </c>
      <c r="AG270" s="5"/>
      <c r="AH270" s="5">
        <v>0</v>
      </c>
      <c r="AI270" s="5"/>
      <c r="AJ270" s="5">
        <v>0</v>
      </c>
      <c r="AK270" s="5">
        <v>0</v>
      </c>
      <c r="AL270" s="5" t="s">
        <v>12</v>
      </c>
      <c r="AM270" s="5" t="s">
        <v>12</v>
      </c>
      <c r="AN270" s="5" t="s">
        <v>12</v>
      </c>
      <c r="AO270" s="5" t="s">
        <v>11</v>
      </c>
      <c r="AP270" s="5" t="s">
        <v>11</v>
      </c>
      <c r="AQ270" s="5" t="s">
        <v>92</v>
      </c>
      <c r="AR270" s="5" t="s">
        <v>91</v>
      </c>
    </row>
    <row r="271" spans="1:44" ht="31.5" x14ac:dyDescent="0.25">
      <c r="A271" s="10">
        <v>46096</v>
      </c>
      <c r="B271" s="5" t="s">
        <v>656</v>
      </c>
      <c r="C271" s="5" t="s">
        <v>1804</v>
      </c>
      <c r="D271" s="5" t="s">
        <v>11</v>
      </c>
      <c r="E271" s="5" t="s">
        <v>4</v>
      </c>
      <c r="F271" s="5" t="s">
        <v>4</v>
      </c>
      <c r="G271" s="5" t="s">
        <v>4064</v>
      </c>
      <c r="H271" s="5" t="s">
        <v>4065</v>
      </c>
      <c r="I271" s="6" t="str">
        <f>HYPERLINK("http://maps.yandex.ru/?ll=30.292704,59.84335&amp;spn=0.011598,0.004531&amp;z=17&amp;l=map&amp;pt=30.292704,59.84335", "59.843353//30.292704")</f>
        <v>59.843353//30.292704</v>
      </c>
      <c r="J271" s="5" t="s">
        <v>23</v>
      </c>
      <c r="K271" s="6" t="str">
        <f>HYPERLINK("http://maps.yandex.ru/?ll=36.268253,56.73142&amp;spn=0.011598,0.004531&amp;z=17&amp;l=map&amp;pt=36.268253,56.73142", "56.731426//36.268253")</f>
        <v>56.731426//36.268253</v>
      </c>
      <c r="L271" s="5" t="s">
        <v>50</v>
      </c>
      <c r="M271" s="5" t="s">
        <v>1472</v>
      </c>
      <c r="N271" s="5" t="s">
        <v>1531</v>
      </c>
      <c r="O271" s="5" t="s">
        <v>13</v>
      </c>
      <c r="P271" s="5">
        <v>34</v>
      </c>
      <c r="Q271" s="5">
        <v>66</v>
      </c>
      <c r="R271" s="5">
        <v>0</v>
      </c>
      <c r="S271" s="5">
        <v>566.31500000000005</v>
      </c>
      <c r="T271" s="5" t="s">
        <v>2839</v>
      </c>
      <c r="U271" s="5" t="s">
        <v>4066</v>
      </c>
      <c r="V271" s="5" t="s">
        <v>4067</v>
      </c>
      <c r="W271" s="5">
        <v>23.6</v>
      </c>
      <c r="X271" s="5">
        <v>69.23</v>
      </c>
      <c r="Y271" s="5">
        <v>107</v>
      </c>
      <c r="Z271" s="5" t="s">
        <v>1031</v>
      </c>
      <c r="AA271" s="5" t="s">
        <v>1713</v>
      </c>
      <c r="AB271" s="5" t="s">
        <v>19</v>
      </c>
      <c r="AC271" s="5" t="s">
        <v>19</v>
      </c>
      <c r="AD271" s="5" t="s">
        <v>19</v>
      </c>
      <c r="AE271" s="5" t="s">
        <v>1774</v>
      </c>
      <c r="AF271" s="5" t="s">
        <v>1500</v>
      </c>
      <c r="AG271" s="5"/>
      <c r="AH271" s="5">
        <v>0</v>
      </c>
      <c r="AI271" s="5"/>
      <c r="AJ271" s="5">
        <v>0</v>
      </c>
      <c r="AK271" s="5">
        <v>0</v>
      </c>
      <c r="AL271" s="5" t="s">
        <v>12</v>
      </c>
      <c r="AM271" s="5" t="s">
        <v>12</v>
      </c>
      <c r="AN271" s="5" t="s">
        <v>12</v>
      </c>
      <c r="AO271" s="5" t="s">
        <v>11</v>
      </c>
      <c r="AP271" s="5" t="s">
        <v>11</v>
      </c>
      <c r="AQ271" s="5" t="s">
        <v>92</v>
      </c>
      <c r="AR271" s="5" t="s">
        <v>91</v>
      </c>
    </row>
    <row r="272" spans="1:44" ht="31.5" x14ac:dyDescent="0.25">
      <c r="A272" s="10">
        <v>46096</v>
      </c>
      <c r="B272" s="5" t="s">
        <v>654</v>
      </c>
      <c r="C272" s="5" t="s">
        <v>1806</v>
      </c>
      <c r="D272" s="5" t="s">
        <v>11</v>
      </c>
      <c r="E272" s="5" t="s">
        <v>7</v>
      </c>
      <c r="F272" s="5" t="s">
        <v>7</v>
      </c>
      <c r="G272" s="5" t="s">
        <v>4068</v>
      </c>
      <c r="H272" s="5" t="s">
        <v>3121</v>
      </c>
      <c r="I272" s="6" t="str">
        <f>HYPERLINK("http://maps.yandex.ru/?ll=30.609316,59.7707&amp;spn=0.011598,0.004531&amp;z=17&amp;l=map&amp;pt=30.609316,59.7707", "59.77078//30.609316")</f>
        <v>59.77078//30.609316</v>
      </c>
      <c r="J272" s="5" t="s">
        <v>23</v>
      </c>
      <c r="K272" s="6" t="str">
        <f>HYPERLINK("http://maps.yandex.ru/?ll=38.76964,56.6963&amp;spn=0.011598,0.004531&amp;z=17&amp;l=map&amp;pt=38.76964,56.6963", "56.69639//38.76964")</f>
        <v>56.69639//38.76964</v>
      </c>
      <c r="L272" s="5" t="s">
        <v>560</v>
      </c>
      <c r="M272" s="5" t="s">
        <v>347</v>
      </c>
      <c r="N272" s="5" t="s">
        <v>1455</v>
      </c>
      <c r="O272" s="5" t="s">
        <v>1452</v>
      </c>
      <c r="P272" s="5">
        <v>46</v>
      </c>
      <c r="Q272" s="5">
        <v>40</v>
      </c>
      <c r="R272" s="5">
        <v>15</v>
      </c>
      <c r="S272" s="5">
        <v>795.10299999999995</v>
      </c>
      <c r="T272" s="5" t="s">
        <v>4069</v>
      </c>
      <c r="U272" s="5" t="s">
        <v>4070</v>
      </c>
      <c r="V272" s="5" t="s">
        <v>4071</v>
      </c>
      <c r="W272" s="5">
        <v>33.130000000000003</v>
      </c>
      <c r="X272" s="5">
        <v>72.72</v>
      </c>
      <c r="Y272" s="5">
        <v>125</v>
      </c>
      <c r="Z272" s="5" t="s">
        <v>1808</v>
      </c>
      <c r="AA272" s="5" t="s">
        <v>4072</v>
      </c>
      <c r="AB272" s="5" t="s">
        <v>2570</v>
      </c>
      <c r="AC272" s="5" t="s">
        <v>1673</v>
      </c>
      <c r="AD272" s="5" t="s">
        <v>19</v>
      </c>
      <c r="AE272" s="5" t="s">
        <v>1623</v>
      </c>
      <c r="AF272" s="5" t="s">
        <v>4073</v>
      </c>
      <c r="AG272" s="5"/>
      <c r="AH272" s="5">
        <v>0</v>
      </c>
      <c r="AI272" s="5"/>
      <c r="AJ272" s="5">
        <v>0</v>
      </c>
      <c r="AK272" s="5">
        <v>0</v>
      </c>
      <c r="AL272" s="5" t="s">
        <v>12</v>
      </c>
      <c r="AM272" s="5" t="s">
        <v>12</v>
      </c>
      <c r="AN272" s="5" t="s">
        <v>12</v>
      </c>
      <c r="AO272" s="5" t="s">
        <v>11</v>
      </c>
      <c r="AP272" s="5" t="s">
        <v>11</v>
      </c>
      <c r="AQ272" s="5" t="s">
        <v>92</v>
      </c>
      <c r="AR272" s="5" t="s">
        <v>91</v>
      </c>
    </row>
    <row r="273" spans="1:44" ht="31.5" x14ac:dyDescent="0.25">
      <c r="A273" s="10">
        <v>46096</v>
      </c>
      <c r="B273" s="5" t="s">
        <v>652</v>
      </c>
      <c r="C273" s="5" t="s">
        <v>1809</v>
      </c>
      <c r="D273" s="5" t="s">
        <v>11</v>
      </c>
      <c r="E273" s="5" t="s">
        <v>4</v>
      </c>
      <c r="F273" s="5" t="s">
        <v>4</v>
      </c>
      <c r="G273" s="5" t="s">
        <v>3103</v>
      </c>
      <c r="H273" s="5" t="s">
        <v>4074</v>
      </c>
      <c r="I273" s="6" t="str">
        <f>HYPERLINK("http://maps.yandex.ru/?ll=46.10084,51.44820&amp;spn=0.011598,0.004531&amp;z=17&amp;l=map&amp;pt=46.10084,51.44820", "51.448204//46.10084")</f>
        <v>51.448204//46.10084</v>
      </c>
      <c r="J273" s="5" t="s">
        <v>213</v>
      </c>
      <c r="K273" s="6" t="str">
        <f>HYPERLINK("http://maps.yandex.ru/?ll=44.51286,48.7827&amp;spn=0.011598,0.004531&amp;z=17&amp;l=map&amp;pt=44.51286,48.7827", "48.78276//44.51286")</f>
        <v>48.78276//44.51286</v>
      </c>
      <c r="L273" s="5" t="s">
        <v>95</v>
      </c>
      <c r="M273" s="5" t="s">
        <v>100</v>
      </c>
      <c r="N273" s="5" t="s">
        <v>1251</v>
      </c>
      <c r="O273" s="5" t="s">
        <v>613</v>
      </c>
      <c r="P273" s="5">
        <v>39</v>
      </c>
      <c r="Q273" s="5">
        <v>43</v>
      </c>
      <c r="R273" s="5">
        <v>18</v>
      </c>
      <c r="S273" s="5">
        <v>543.00099999999998</v>
      </c>
      <c r="T273" s="5" t="s">
        <v>2289</v>
      </c>
      <c r="U273" s="5" t="s">
        <v>1810</v>
      </c>
      <c r="V273" s="5" t="s">
        <v>4075</v>
      </c>
      <c r="W273" s="5">
        <v>22.63</v>
      </c>
      <c r="X273" s="5">
        <v>57.78</v>
      </c>
      <c r="Y273" s="5">
        <v>148</v>
      </c>
      <c r="Z273" s="5" t="s">
        <v>1812</v>
      </c>
      <c r="AA273" s="5" t="s">
        <v>4076</v>
      </c>
      <c r="AB273" s="5" t="s">
        <v>19</v>
      </c>
      <c r="AC273" s="5" t="s">
        <v>19</v>
      </c>
      <c r="AD273" s="5" t="s">
        <v>19</v>
      </c>
      <c r="AE273" s="5" t="s">
        <v>2330</v>
      </c>
      <c r="AF273" s="5" t="s">
        <v>4077</v>
      </c>
      <c r="AG273" s="5"/>
      <c r="AH273" s="5">
        <v>0</v>
      </c>
      <c r="AI273" s="5"/>
      <c r="AJ273" s="5">
        <v>0</v>
      </c>
      <c r="AK273" s="5">
        <v>0</v>
      </c>
      <c r="AL273" s="5" t="s">
        <v>12</v>
      </c>
      <c r="AM273" s="5" t="s">
        <v>12</v>
      </c>
      <c r="AN273" s="5" t="s">
        <v>12</v>
      </c>
      <c r="AO273" s="5" t="s">
        <v>11</v>
      </c>
      <c r="AP273" s="5" t="s">
        <v>11</v>
      </c>
      <c r="AQ273" s="5" t="s">
        <v>92</v>
      </c>
      <c r="AR273" s="5" t="s">
        <v>91</v>
      </c>
    </row>
    <row r="274" spans="1:44" ht="31.5" x14ac:dyDescent="0.25">
      <c r="A274" s="10">
        <v>46096</v>
      </c>
      <c r="B274" s="5" t="s">
        <v>650</v>
      </c>
      <c r="C274" s="5" t="s">
        <v>1813</v>
      </c>
      <c r="D274" s="5" t="s">
        <v>11</v>
      </c>
      <c r="E274" s="5" t="s">
        <v>3</v>
      </c>
      <c r="F274" s="5" t="s">
        <v>3</v>
      </c>
      <c r="G274" s="5" t="s">
        <v>4078</v>
      </c>
      <c r="H274" s="5" t="s">
        <v>4079</v>
      </c>
      <c r="I274" s="6" t="str">
        <f>HYPERLINK("http://maps.yandex.ru/?ll=30.654903,59.6690&amp;spn=0.011598,0.004531&amp;z=17&amp;l=map&amp;pt=30.654903,59.6690", "59.66906//30.654903")</f>
        <v>59.66906//30.654903</v>
      </c>
      <c r="J274" s="5" t="s">
        <v>22</v>
      </c>
      <c r="K274" s="6" t="str">
        <f>HYPERLINK("http://maps.yandex.ru/?ll=30.395594,59.8999&amp;spn=0.011598,0.004531&amp;z=17&amp;l=map&amp;pt=30.395594,59.8999", "59.89992//30.395594")</f>
        <v>59.89992//30.395594</v>
      </c>
      <c r="L274" s="5" t="s">
        <v>23</v>
      </c>
      <c r="M274" s="5" t="s">
        <v>150</v>
      </c>
      <c r="N274" s="5" t="s">
        <v>410</v>
      </c>
      <c r="O274" s="5" t="s">
        <v>13</v>
      </c>
      <c r="P274" s="5">
        <v>9</v>
      </c>
      <c r="Q274" s="5">
        <v>91</v>
      </c>
      <c r="R274" s="5">
        <v>0</v>
      </c>
      <c r="S274" s="5">
        <v>43.091000000000001</v>
      </c>
      <c r="T274" s="5" t="s">
        <v>1787</v>
      </c>
      <c r="U274" s="5" t="s">
        <v>4080</v>
      </c>
      <c r="V274" s="5" t="s">
        <v>4081</v>
      </c>
      <c r="W274" s="5">
        <v>1.8</v>
      </c>
      <c r="X274" s="5">
        <v>19.63</v>
      </c>
      <c r="Y274" s="5">
        <v>79</v>
      </c>
      <c r="Z274" s="5" t="s">
        <v>1816</v>
      </c>
      <c r="AA274" s="5" t="s">
        <v>4082</v>
      </c>
      <c r="AB274" s="5" t="s">
        <v>19</v>
      </c>
      <c r="AC274" s="5" t="s">
        <v>19</v>
      </c>
      <c r="AD274" s="5" t="s">
        <v>19</v>
      </c>
      <c r="AE274" s="5" t="s">
        <v>2549</v>
      </c>
      <c r="AF274" s="5" t="s">
        <v>4083</v>
      </c>
      <c r="AG274" s="5">
        <v>22</v>
      </c>
      <c r="AH274" s="5">
        <v>2</v>
      </c>
      <c r="AI274" s="5">
        <v>20</v>
      </c>
      <c r="AJ274" s="5">
        <v>44.9</v>
      </c>
      <c r="AK274" s="5">
        <v>40.82</v>
      </c>
      <c r="AL274" s="5" t="s">
        <v>12</v>
      </c>
      <c r="AM274" s="5" t="s">
        <v>12</v>
      </c>
      <c r="AN274" s="5" t="s">
        <v>12</v>
      </c>
      <c r="AO274" s="5" t="s">
        <v>11</v>
      </c>
      <c r="AP274" s="5" t="s">
        <v>11</v>
      </c>
      <c r="AQ274" s="5" t="s">
        <v>18</v>
      </c>
      <c r="AR274" s="5" t="s">
        <v>17</v>
      </c>
    </row>
    <row r="275" spans="1:44" ht="31.5" x14ac:dyDescent="0.25">
      <c r="A275" s="10">
        <v>46096</v>
      </c>
      <c r="B275" s="5" t="s">
        <v>648</v>
      </c>
      <c r="C275" s="5" t="s">
        <v>1817</v>
      </c>
      <c r="D275" s="5" t="s">
        <v>11</v>
      </c>
      <c r="E275" s="5" t="s">
        <v>164</v>
      </c>
      <c r="F275" s="5" t="s">
        <v>368</v>
      </c>
      <c r="G275" s="5" t="s">
        <v>3103</v>
      </c>
      <c r="H275" s="5" t="s">
        <v>4084</v>
      </c>
      <c r="I275" s="6" t="str">
        <f>HYPERLINK("http://maps.yandex.ru/?ll=39.134144,44.80505&amp;spn=0.011598,0.004531&amp;z=17&amp;l=map&amp;pt=39.134144,44.80505", "44.805058//39.134144")</f>
        <v>44.805058//39.134144</v>
      </c>
      <c r="J275" s="5" t="s">
        <v>88</v>
      </c>
      <c r="K275" s="6" t="str">
        <f>HYPERLINK("http://maps.yandex.ru/?ll=39.235176,44.97688&amp;spn=0.011598,0.004531&amp;z=17&amp;l=map&amp;pt=39.235176,44.97688", "44.976887//39.235176")</f>
        <v>44.976887//39.235176</v>
      </c>
      <c r="L275" s="5" t="s">
        <v>23</v>
      </c>
      <c r="M275" s="5" t="s">
        <v>141</v>
      </c>
      <c r="N275" s="5" t="s">
        <v>1156</v>
      </c>
      <c r="O275" s="5" t="s">
        <v>810</v>
      </c>
      <c r="P275" s="5">
        <v>53</v>
      </c>
      <c r="Q275" s="5">
        <v>19</v>
      </c>
      <c r="R275" s="5">
        <v>29</v>
      </c>
      <c r="S275" s="5">
        <v>1312.933</v>
      </c>
      <c r="T275" s="5" t="s">
        <v>12</v>
      </c>
      <c r="U275" s="5" t="s">
        <v>12</v>
      </c>
      <c r="V275" s="5" t="s">
        <v>12</v>
      </c>
      <c r="W275" s="5">
        <v>54.71</v>
      </c>
      <c r="X275" s="5">
        <v>103.75</v>
      </c>
      <c r="Y275" s="5">
        <v>161</v>
      </c>
      <c r="Z275" s="5" t="s">
        <v>12</v>
      </c>
      <c r="AA275" s="5" t="s">
        <v>12</v>
      </c>
      <c r="AB275" s="5" t="s">
        <v>19</v>
      </c>
      <c r="AC275" s="5" t="s">
        <v>19</v>
      </c>
      <c r="AD275" s="5" t="s">
        <v>19</v>
      </c>
      <c r="AE275" s="5" t="s">
        <v>12</v>
      </c>
      <c r="AF275" s="5" t="s">
        <v>12</v>
      </c>
      <c r="AG275" s="5"/>
      <c r="AH275" s="5">
        <v>0</v>
      </c>
      <c r="AI275" s="5"/>
      <c r="AJ275" s="5"/>
      <c r="AK275" s="5"/>
      <c r="AL275" s="5" t="s">
        <v>12</v>
      </c>
      <c r="AM275" s="5" t="s">
        <v>12</v>
      </c>
      <c r="AN275" s="5" t="s">
        <v>12</v>
      </c>
      <c r="AO275" s="5" t="s">
        <v>11</v>
      </c>
      <c r="AP275" s="5" t="s">
        <v>11</v>
      </c>
      <c r="AQ275" s="5" t="s">
        <v>53</v>
      </c>
      <c r="AR275" s="5" t="s">
        <v>52</v>
      </c>
    </row>
    <row r="276" spans="1:44" ht="31.5" x14ac:dyDescent="0.25">
      <c r="A276" s="10">
        <v>46096</v>
      </c>
      <c r="B276" s="5" t="s">
        <v>645</v>
      </c>
      <c r="C276" s="5" t="s">
        <v>1818</v>
      </c>
      <c r="D276" s="5" t="s">
        <v>11</v>
      </c>
      <c r="E276" s="5" t="s">
        <v>3</v>
      </c>
      <c r="F276" s="5" t="s">
        <v>3</v>
      </c>
      <c r="G276" s="5" t="s">
        <v>4085</v>
      </c>
      <c r="H276" s="5" t="s">
        <v>4086</v>
      </c>
      <c r="I276" s="6" t="str">
        <f>HYPERLINK("http://maps.yandex.ru/?ll=39.853935,47.09412&amp;spn=0.011598,0.004531&amp;z=17&amp;l=map&amp;pt=39.853935,47.09412", "47.094128//39.853935")</f>
        <v>47.094128//39.853935</v>
      </c>
      <c r="J276" s="5" t="s">
        <v>64</v>
      </c>
      <c r="K276" s="6" t="str">
        <f>HYPERLINK("http://maps.yandex.ru/?ll=42.99984,44.29340&amp;spn=0.011598,0.004531&amp;z=17&amp;l=map&amp;pt=42.99984,44.29340", "44.293404//42.99984")</f>
        <v>44.293404//42.99984</v>
      </c>
      <c r="L276" s="5" t="s">
        <v>208</v>
      </c>
      <c r="M276" s="5" t="s">
        <v>476</v>
      </c>
      <c r="N276" s="5" t="s">
        <v>3867</v>
      </c>
      <c r="O276" s="5" t="s">
        <v>837</v>
      </c>
      <c r="P276" s="5">
        <v>21</v>
      </c>
      <c r="Q276" s="5">
        <v>18</v>
      </c>
      <c r="R276" s="5">
        <v>61</v>
      </c>
      <c r="S276" s="5">
        <v>398.83499999999998</v>
      </c>
      <c r="T276" s="5" t="s">
        <v>2481</v>
      </c>
      <c r="U276" s="5" t="s">
        <v>4087</v>
      </c>
      <c r="V276" s="5" t="s">
        <v>4088</v>
      </c>
      <c r="W276" s="5">
        <v>16.62</v>
      </c>
      <c r="X276" s="5">
        <v>80.599999999999994</v>
      </c>
      <c r="Y276" s="5">
        <v>174</v>
      </c>
      <c r="Z276" s="5" t="s">
        <v>1583</v>
      </c>
      <c r="AA276" s="5" t="s">
        <v>2430</v>
      </c>
      <c r="AB276" s="5" t="s">
        <v>19</v>
      </c>
      <c r="AC276" s="5" t="s">
        <v>19</v>
      </c>
      <c r="AD276" s="5" t="s">
        <v>19</v>
      </c>
      <c r="AE276" s="5" t="s">
        <v>1683</v>
      </c>
      <c r="AF276" s="5" t="s">
        <v>4089</v>
      </c>
      <c r="AG276" s="5"/>
      <c r="AH276" s="5">
        <v>0</v>
      </c>
      <c r="AI276" s="5"/>
      <c r="AJ276" s="5">
        <v>0</v>
      </c>
      <c r="AK276" s="5">
        <v>0</v>
      </c>
      <c r="AL276" s="5" t="s">
        <v>12</v>
      </c>
      <c r="AM276" s="5" t="s">
        <v>12</v>
      </c>
      <c r="AN276" s="5" t="s">
        <v>12</v>
      </c>
      <c r="AO276" s="5" t="s">
        <v>11</v>
      </c>
      <c r="AP276" s="5" t="s">
        <v>11</v>
      </c>
      <c r="AQ276" s="5" t="s">
        <v>31</v>
      </c>
      <c r="AR276" s="5" t="s">
        <v>30</v>
      </c>
    </row>
    <row r="277" spans="1:44" ht="31.5" x14ac:dyDescent="0.25">
      <c r="A277" s="10">
        <v>46096</v>
      </c>
      <c r="B277" s="5" t="s">
        <v>644</v>
      </c>
      <c r="C277" s="5" t="s">
        <v>1819</v>
      </c>
      <c r="D277" s="5" t="s">
        <v>11</v>
      </c>
      <c r="E277" s="5" t="s">
        <v>5</v>
      </c>
      <c r="F277" s="5" t="s">
        <v>5</v>
      </c>
      <c r="G277" s="5" t="s">
        <v>4090</v>
      </c>
      <c r="H277" s="5" t="s">
        <v>4091</v>
      </c>
      <c r="I277" s="6" t="str">
        <f>HYPERLINK("http://maps.yandex.ru/?ll=58.821884,54.8832&amp;spn=0.011598,0.004531&amp;z=17&amp;l=map&amp;pt=58.821884,54.8832", "54.88321//58.821884")</f>
        <v>54.88321//58.821884</v>
      </c>
      <c r="J277" s="5" t="s">
        <v>227</v>
      </c>
      <c r="K277" s="6" t="str">
        <f>HYPERLINK("http://maps.yandex.ru/?ll=61.498207,55.13691&amp;spn=0.011598,0.004531&amp;z=17&amp;l=map&amp;pt=61.498207,55.13691", "55.136913//61.498207")</f>
        <v>55.136913//61.498207</v>
      </c>
      <c r="L277" s="5" t="s">
        <v>227</v>
      </c>
      <c r="M277" s="5" t="s">
        <v>4092</v>
      </c>
      <c r="N277" s="5" t="s">
        <v>4093</v>
      </c>
      <c r="O277" s="5" t="s">
        <v>13</v>
      </c>
      <c r="P277" s="5">
        <v>17</v>
      </c>
      <c r="Q277" s="5">
        <v>83</v>
      </c>
      <c r="R277" s="5">
        <v>0</v>
      </c>
      <c r="S277" s="5">
        <v>239.953</v>
      </c>
      <c r="T277" s="5" t="s">
        <v>4094</v>
      </c>
      <c r="U277" s="5" t="s">
        <v>4095</v>
      </c>
      <c r="V277" s="5" t="s">
        <v>4096</v>
      </c>
      <c r="W277" s="5">
        <v>10</v>
      </c>
      <c r="X277" s="5">
        <v>59.18</v>
      </c>
      <c r="Y277" s="5">
        <v>102</v>
      </c>
      <c r="Z277" s="5" t="s">
        <v>1821</v>
      </c>
      <c r="AA277" s="5" t="s">
        <v>1921</v>
      </c>
      <c r="AB277" s="5" t="s">
        <v>19</v>
      </c>
      <c r="AC277" s="5" t="s">
        <v>19</v>
      </c>
      <c r="AD277" s="5" t="s">
        <v>19</v>
      </c>
      <c r="AE277" s="5" t="s">
        <v>1912</v>
      </c>
      <c r="AF277" s="5" t="s">
        <v>4097</v>
      </c>
      <c r="AG277" s="5"/>
      <c r="AH277" s="5">
        <v>0</v>
      </c>
      <c r="AI277" s="5"/>
      <c r="AJ277" s="5">
        <v>0</v>
      </c>
      <c r="AK277" s="5">
        <v>0</v>
      </c>
      <c r="AL277" s="5" t="s">
        <v>12</v>
      </c>
      <c r="AM277" s="5" t="s">
        <v>12</v>
      </c>
      <c r="AN277" s="5" t="s">
        <v>12</v>
      </c>
      <c r="AO277" s="5" t="s">
        <v>11</v>
      </c>
      <c r="AP277" s="5" t="s">
        <v>11</v>
      </c>
      <c r="AQ277" s="5" t="s">
        <v>92</v>
      </c>
      <c r="AR277" s="5" t="s">
        <v>297</v>
      </c>
    </row>
    <row r="278" spans="1:44" ht="31.5" x14ac:dyDescent="0.25">
      <c r="A278" s="10">
        <v>46096</v>
      </c>
      <c r="B278" s="5" t="s">
        <v>643</v>
      </c>
      <c r="C278" s="5" t="s">
        <v>1824</v>
      </c>
      <c r="D278" s="5" t="s">
        <v>11</v>
      </c>
      <c r="E278" s="5" t="s">
        <v>3</v>
      </c>
      <c r="F278" s="5" t="s">
        <v>3</v>
      </c>
      <c r="G278" s="5" t="s">
        <v>4098</v>
      </c>
      <c r="H278" s="5" t="s">
        <v>3121</v>
      </c>
      <c r="I278" s="6" t="str">
        <f>HYPERLINK("http://maps.yandex.ru/?ll=44.141457,56.19159&amp;spn=0.011598,0.004531&amp;z=17&amp;l=map&amp;pt=44.141457,56.19159", "56.191593//44.141457")</f>
        <v>56.191593//44.141457</v>
      </c>
      <c r="J278" s="5" t="s">
        <v>15</v>
      </c>
      <c r="K278" s="6" t="str">
        <f>HYPERLINK("http://maps.yandex.ru/?ll=38.331066,55.83315&amp;spn=0.011598,0.004531&amp;z=17&amp;l=map&amp;pt=38.331066,55.83315", "55.833157//38.331066")</f>
        <v>55.833157//38.331066</v>
      </c>
      <c r="L278" s="5" t="s">
        <v>56</v>
      </c>
      <c r="M278" s="5" t="s">
        <v>1164</v>
      </c>
      <c r="N278" s="5" t="s">
        <v>4099</v>
      </c>
      <c r="O278" s="5" t="s">
        <v>13</v>
      </c>
      <c r="P278" s="5">
        <v>30</v>
      </c>
      <c r="Q278" s="5">
        <v>70</v>
      </c>
      <c r="R278" s="5">
        <v>0</v>
      </c>
      <c r="S278" s="5">
        <v>406.23599999999999</v>
      </c>
      <c r="T278" s="5" t="s">
        <v>2636</v>
      </c>
      <c r="U278" s="5" t="s">
        <v>4100</v>
      </c>
      <c r="V278" s="5" t="s">
        <v>4101</v>
      </c>
      <c r="W278" s="5">
        <v>16.93</v>
      </c>
      <c r="X278" s="5">
        <v>56.92</v>
      </c>
      <c r="Y278" s="5">
        <v>108</v>
      </c>
      <c r="Z278" s="5" t="s">
        <v>1529</v>
      </c>
      <c r="AA278" s="5" t="s">
        <v>1468</v>
      </c>
      <c r="AB278" s="5" t="s">
        <v>2992</v>
      </c>
      <c r="AC278" s="5" t="s">
        <v>1673</v>
      </c>
      <c r="AD278" s="5" t="s">
        <v>19</v>
      </c>
      <c r="AE278" s="5" t="s">
        <v>1796</v>
      </c>
      <c r="AF278" s="5" t="s">
        <v>2269</v>
      </c>
      <c r="AG278" s="5">
        <v>129</v>
      </c>
      <c r="AH278" s="5">
        <v>9</v>
      </c>
      <c r="AI278" s="5">
        <v>120</v>
      </c>
      <c r="AJ278" s="5">
        <v>34.130000000000003</v>
      </c>
      <c r="AK278" s="5">
        <v>31.75</v>
      </c>
      <c r="AL278" s="5" t="s">
        <v>12</v>
      </c>
      <c r="AM278" s="5" t="s">
        <v>12</v>
      </c>
      <c r="AN278" s="5" t="s">
        <v>12</v>
      </c>
      <c r="AO278" s="5" t="s">
        <v>11</v>
      </c>
      <c r="AP278" s="5" t="s">
        <v>11</v>
      </c>
      <c r="AQ278" s="5" t="s">
        <v>53</v>
      </c>
      <c r="AR278" s="5" t="s">
        <v>52</v>
      </c>
    </row>
    <row r="279" spans="1:44" ht="31.5" x14ac:dyDescent="0.25">
      <c r="A279" s="10">
        <v>46096</v>
      </c>
      <c r="B279" s="5" t="s">
        <v>642</v>
      </c>
      <c r="C279" s="5" t="s">
        <v>1826</v>
      </c>
      <c r="D279" s="5" t="s">
        <v>11</v>
      </c>
      <c r="E279" s="5" t="s">
        <v>5</v>
      </c>
      <c r="F279" s="5" t="s">
        <v>5</v>
      </c>
      <c r="G279" s="5" t="s">
        <v>4102</v>
      </c>
      <c r="H279" s="5" t="s">
        <v>4103</v>
      </c>
      <c r="I279" s="6" t="str">
        <f>HYPERLINK("http://maps.yandex.ru/?ll=39.931004,54.50292&amp;spn=0.011598,0.004531&amp;z=17&amp;l=map&amp;pt=39.931004,54.50292", "54.502926//39.931004")</f>
        <v>54.502926//39.931004</v>
      </c>
      <c r="J279" s="5" t="s">
        <v>118</v>
      </c>
      <c r="K279" s="6" t="str">
        <f>HYPERLINK("http://maps.yandex.ru/?ll=50.40029,53.51621&amp;spn=0.011598,0.004531&amp;z=17&amp;l=map&amp;pt=50.40029,53.51621", "53.516216//50.40029")</f>
        <v>53.516216//50.40029</v>
      </c>
      <c r="L279" s="5" t="s">
        <v>76</v>
      </c>
      <c r="M279" s="5" t="s">
        <v>1149</v>
      </c>
      <c r="N279" s="5" t="s">
        <v>646</v>
      </c>
      <c r="O279" s="5" t="s">
        <v>4104</v>
      </c>
      <c r="P279" s="5">
        <v>47</v>
      </c>
      <c r="Q279" s="5">
        <v>41</v>
      </c>
      <c r="R279" s="5">
        <v>11</v>
      </c>
      <c r="S279" s="5">
        <v>704.49400000000003</v>
      </c>
      <c r="T279" s="5" t="s">
        <v>2098</v>
      </c>
      <c r="U279" s="5" t="s">
        <v>4105</v>
      </c>
      <c r="V279" s="5" t="s">
        <v>4106</v>
      </c>
      <c r="W279" s="5">
        <v>29.35</v>
      </c>
      <c r="X279" s="5">
        <v>62.28</v>
      </c>
      <c r="Y279" s="5">
        <v>144</v>
      </c>
      <c r="Z279" s="5" t="s">
        <v>1828</v>
      </c>
      <c r="AA279" s="5" t="s">
        <v>4107</v>
      </c>
      <c r="AB279" s="5" t="s">
        <v>4108</v>
      </c>
      <c r="AC279" s="5" t="s">
        <v>1673</v>
      </c>
      <c r="AD279" s="5" t="s">
        <v>19</v>
      </c>
      <c r="AE279" s="5" t="s">
        <v>2585</v>
      </c>
      <c r="AF279" s="5" t="s">
        <v>4109</v>
      </c>
      <c r="AG279" s="5">
        <v>266</v>
      </c>
      <c r="AH279" s="5">
        <v>2</v>
      </c>
      <c r="AI279" s="5">
        <v>264</v>
      </c>
      <c r="AJ279" s="5">
        <v>30.72</v>
      </c>
      <c r="AK279" s="5">
        <v>30.48</v>
      </c>
      <c r="AL279" s="5" t="s">
        <v>12</v>
      </c>
      <c r="AM279" s="5" t="s">
        <v>12</v>
      </c>
      <c r="AN279" s="5" t="s">
        <v>12</v>
      </c>
      <c r="AO279" s="5" t="s">
        <v>11</v>
      </c>
      <c r="AP279" s="5" t="s">
        <v>11</v>
      </c>
      <c r="AQ279" s="5" t="s">
        <v>18</v>
      </c>
      <c r="AR279" s="5" t="s">
        <v>641</v>
      </c>
    </row>
    <row r="280" spans="1:44" ht="31.5" x14ac:dyDescent="0.25">
      <c r="A280" s="10">
        <v>46096</v>
      </c>
      <c r="B280" s="5" t="s">
        <v>640</v>
      </c>
      <c r="C280" s="5" t="s">
        <v>1829</v>
      </c>
      <c r="D280" s="5" t="s">
        <v>11</v>
      </c>
      <c r="E280" s="5" t="s">
        <v>1</v>
      </c>
      <c r="F280" s="5" t="s">
        <v>1</v>
      </c>
      <c r="G280" s="5" t="s">
        <v>4110</v>
      </c>
      <c r="H280" s="5" t="s">
        <v>4111</v>
      </c>
      <c r="I280" s="6" t="str">
        <f>HYPERLINK("http://maps.yandex.ru/?ll=39.77758,47.12005&amp;spn=0.011598,0.004531&amp;z=17&amp;l=map&amp;pt=39.77758,47.12005", "47.120052//39.77758")</f>
        <v>47.120052//39.77758</v>
      </c>
      <c r="J280" s="5" t="s">
        <v>64</v>
      </c>
      <c r="K280" s="6" t="str">
        <f>HYPERLINK("http://maps.yandex.ru/?ll=43.020878,44.23411&amp;spn=0.011598,0.004531&amp;z=17&amp;l=map&amp;pt=43.020878,44.23411", "44.234116//43.020878")</f>
        <v>44.234116//43.020878</v>
      </c>
      <c r="L280" s="5" t="s">
        <v>208</v>
      </c>
      <c r="M280" s="5" t="s">
        <v>1411</v>
      </c>
      <c r="N280" s="5" t="s">
        <v>983</v>
      </c>
      <c r="O280" s="5" t="s">
        <v>4112</v>
      </c>
      <c r="P280" s="5">
        <v>22</v>
      </c>
      <c r="Q280" s="5">
        <v>53</v>
      </c>
      <c r="R280" s="5">
        <v>26</v>
      </c>
      <c r="S280" s="5">
        <v>355.87400000000002</v>
      </c>
      <c r="T280" s="5" t="s">
        <v>4113</v>
      </c>
      <c r="U280" s="5" t="s">
        <v>4114</v>
      </c>
      <c r="V280" s="5" t="s">
        <v>4115</v>
      </c>
      <c r="W280" s="5">
        <v>14.83</v>
      </c>
      <c r="X280" s="5">
        <v>68.319999999999993</v>
      </c>
      <c r="Y280" s="5">
        <v>116</v>
      </c>
      <c r="Z280" s="5" t="s">
        <v>1830</v>
      </c>
      <c r="AA280" s="5" t="s">
        <v>4116</v>
      </c>
      <c r="AB280" s="5" t="s">
        <v>19</v>
      </c>
      <c r="AC280" s="5" t="s">
        <v>19</v>
      </c>
      <c r="AD280" s="5" t="s">
        <v>19</v>
      </c>
      <c r="AE280" s="5" t="s">
        <v>2467</v>
      </c>
      <c r="AF280" s="5" t="s">
        <v>3676</v>
      </c>
      <c r="AG280" s="5">
        <v>123</v>
      </c>
      <c r="AH280" s="5">
        <v>2</v>
      </c>
      <c r="AI280" s="5">
        <v>121</v>
      </c>
      <c r="AJ280" s="5">
        <v>25.84</v>
      </c>
      <c r="AK280" s="5">
        <v>25.42</v>
      </c>
      <c r="AL280" s="5" t="s">
        <v>12</v>
      </c>
      <c r="AM280" s="5" t="s">
        <v>12</v>
      </c>
      <c r="AN280" s="5" t="s">
        <v>12</v>
      </c>
      <c r="AO280" s="5" t="s">
        <v>11</v>
      </c>
      <c r="AP280" s="5" t="s">
        <v>11</v>
      </c>
      <c r="AQ280" s="5" t="s">
        <v>18</v>
      </c>
      <c r="AR280" s="5" t="s">
        <v>74</v>
      </c>
    </row>
    <row r="281" spans="1:44" ht="31.5" x14ac:dyDescent="0.25">
      <c r="A281" s="10">
        <v>46096</v>
      </c>
      <c r="B281" s="5" t="s">
        <v>639</v>
      </c>
      <c r="C281" s="5" t="s">
        <v>1831</v>
      </c>
      <c r="D281" s="5" t="s">
        <v>11</v>
      </c>
      <c r="E281" s="5" t="s">
        <v>3</v>
      </c>
      <c r="F281" s="5" t="s">
        <v>3</v>
      </c>
      <c r="G281" s="5" t="s">
        <v>4117</v>
      </c>
      <c r="H281" s="5" t="s">
        <v>4118</v>
      </c>
      <c r="I281" s="6" t="str">
        <f>HYPERLINK("http://maps.yandex.ru/?ll=38.07656,45.28999&amp;spn=0.011598,0.004531&amp;z=17&amp;l=map&amp;pt=38.07656,45.28999", "45.289997//38.07656")</f>
        <v>45.289997//38.07656</v>
      </c>
      <c r="J281" s="5" t="s">
        <v>88</v>
      </c>
      <c r="K281" s="6" t="str">
        <f>HYPERLINK("http://maps.yandex.ru/?ll=39.866085,51.0306&amp;spn=0.011598,0.004531&amp;z=17&amp;l=map&amp;pt=39.866085,51.0306", "51.03068//39.866085")</f>
        <v>51.03068//39.866085</v>
      </c>
      <c r="L281" s="5" t="s">
        <v>101</v>
      </c>
      <c r="M281" s="5" t="s">
        <v>3134</v>
      </c>
      <c r="N281" s="5" t="s">
        <v>4119</v>
      </c>
      <c r="O281" s="5" t="s">
        <v>415</v>
      </c>
      <c r="P281" s="5">
        <v>34</v>
      </c>
      <c r="Q281" s="5">
        <v>28</v>
      </c>
      <c r="R281" s="5">
        <v>38</v>
      </c>
      <c r="S281" s="5">
        <v>619.55899999999997</v>
      </c>
      <c r="T281" s="5" t="s">
        <v>3803</v>
      </c>
      <c r="U281" s="5" t="s">
        <v>1833</v>
      </c>
      <c r="V281" s="5" t="s">
        <v>4120</v>
      </c>
      <c r="W281" s="5">
        <v>25.82</v>
      </c>
      <c r="X281" s="5">
        <v>76.95</v>
      </c>
      <c r="Y281" s="5">
        <v>145</v>
      </c>
      <c r="Z281" s="5" t="s">
        <v>3380</v>
      </c>
      <c r="AA281" s="5" t="s">
        <v>3002</v>
      </c>
      <c r="AB281" s="5" t="s">
        <v>19</v>
      </c>
      <c r="AC281" s="5" t="s">
        <v>19</v>
      </c>
      <c r="AD281" s="5" t="s">
        <v>19</v>
      </c>
      <c r="AE281" s="5" t="s">
        <v>1257</v>
      </c>
      <c r="AF281" s="5" t="s">
        <v>4121</v>
      </c>
      <c r="AG281" s="5"/>
      <c r="AH281" s="5">
        <v>0</v>
      </c>
      <c r="AI281" s="5"/>
      <c r="AJ281" s="5">
        <v>0</v>
      </c>
      <c r="AK281" s="5">
        <v>0</v>
      </c>
      <c r="AL281" s="5" t="s">
        <v>12</v>
      </c>
      <c r="AM281" s="5" t="s">
        <v>12</v>
      </c>
      <c r="AN281" s="5" t="s">
        <v>12</v>
      </c>
      <c r="AO281" s="5" t="s">
        <v>11</v>
      </c>
      <c r="AP281" s="5" t="s">
        <v>11</v>
      </c>
      <c r="AQ281" s="5" t="s">
        <v>37</v>
      </c>
      <c r="AR281" s="5" t="s">
        <v>36</v>
      </c>
    </row>
    <row r="282" spans="1:44" ht="31.5" x14ac:dyDescent="0.25">
      <c r="A282" s="10">
        <v>46096</v>
      </c>
      <c r="B282" s="5" t="s">
        <v>636</v>
      </c>
      <c r="C282" s="5" t="s">
        <v>1836</v>
      </c>
      <c r="D282" s="5" t="s">
        <v>11</v>
      </c>
      <c r="E282" s="5" t="s">
        <v>0</v>
      </c>
      <c r="F282" s="5" t="s">
        <v>0</v>
      </c>
      <c r="G282" s="5" t="s">
        <v>4122</v>
      </c>
      <c r="H282" s="5" t="s">
        <v>4123</v>
      </c>
      <c r="I282" s="6" t="str">
        <f>HYPERLINK("http://maps.yandex.ru/?ll=51.994617,54.04484&amp;spn=0.011598,0.004531&amp;z=17&amp;l=map&amp;pt=51.994617,54.04484", "54.044846//51.994617")</f>
        <v>54.044846//51.994617</v>
      </c>
      <c r="J282" s="5" t="s">
        <v>76</v>
      </c>
      <c r="K282" s="6" t="str">
        <f>HYPERLINK("http://maps.yandex.ru/?ll=45.626335,51.0357&amp;spn=0.011598,0.004531&amp;z=17&amp;l=map&amp;pt=45.626335,51.0357", "51.03573//45.626335")</f>
        <v>51.03573//45.626335</v>
      </c>
      <c r="L282" s="5" t="s">
        <v>213</v>
      </c>
      <c r="M282" s="5" t="s">
        <v>804</v>
      </c>
      <c r="N282" s="5" t="s">
        <v>1471</v>
      </c>
      <c r="O282" s="5" t="s">
        <v>198</v>
      </c>
      <c r="P282" s="5">
        <v>35</v>
      </c>
      <c r="Q282" s="5">
        <v>63</v>
      </c>
      <c r="R282" s="5">
        <v>2</v>
      </c>
      <c r="S282" s="5">
        <v>648.38300000000004</v>
      </c>
      <c r="T282" s="5" t="s">
        <v>12</v>
      </c>
      <c r="U282" s="5" t="s">
        <v>12</v>
      </c>
      <c r="V282" s="5" t="s">
        <v>12</v>
      </c>
      <c r="W282" s="5">
        <v>27.02</v>
      </c>
      <c r="X282" s="5">
        <v>76.150000000000006</v>
      </c>
      <c r="Y282" s="5">
        <v>113</v>
      </c>
      <c r="Z282" s="5" t="s">
        <v>12</v>
      </c>
      <c r="AA282" s="5" t="s">
        <v>12</v>
      </c>
      <c r="AB282" s="5" t="s">
        <v>12</v>
      </c>
      <c r="AC282" s="5" t="s">
        <v>12</v>
      </c>
      <c r="AD282" s="5" t="s">
        <v>12</v>
      </c>
      <c r="AE282" s="5" t="s">
        <v>12</v>
      </c>
      <c r="AF282" s="5" t="s">
        <v>12</v>
      </c>
      <c r="AG282" s="5"/>
      <c r="AH282" s="5"/>
      <c r="AI282" s="5"/>
      <c r="AJ282" s="5"/>
      <c r="AK282" s="5"/>
      <c r="AL282" s="5" t="s">
        <v>12</v>
      </c>
      <c r="AM282" s="5" t="s">
        <v>12</v>
      </c>
      <c r="AN282" s="5" t="s">
        <v>12</v>
      </c>
      <c r="AO282" s="5" t="s">
        <v>69</v>
      </c>
      <c r="AP282" s="5" t="s">
        <v>68</v>
      </c>
      <c r="AQ282" s="5" t="s">
        <v>67</v>
      </c>
      <c r="AR282" s="5" t="s">
        <v>66</v>
      </c>
    </row>
    <row r="283" spans="1:44" ht="15.75" x14ac:dyDescent="0.25">
      <c r="A283" s="10">
        <v>46096</v>
      </c>
      <c r="B283" s="5" t="s">
        <v>634</v>
      </c>
      <c r="C283" s="5" t="s">
        <v>1837</v>
      </c>
      <c r="D283" s="5" t="s">
        <v>11</v>
      </c>
      <c r="E283" s="5" t="s">
        <v>3</v>
      </c>
      <c r="F283" s="5" t="s">
        <v>3</v>
      </c>
      <c r="G283" s="5" t="s">
        <v>11</v>
      </c>
      <c r="H283" s="5" t="s">
        <v>11</v>
      </c>
      <c r="I283" s="6" t="str">
        <f>HYPERLINK("http://maps.yandex.ru/?ll=,&amp;spn=0.011598,0.004531&amp;z=17&amp;l=map&amp;pt=,", "")</f>
        <v/>
      </c>
      <c r="J283" s="5" t="s">
        <v>84</v>
      </c>
      <c r="K283" s="6" t="str">
        <f>HYPERLINK("http://maps.yandex.ru/?ll=,&amp;spn=0.011598,0.004531&amp;z=17&amp;l=map&amp;pt=,", "")</f>
        <v/>
      </c>
      <c r="L283" s="5" t="s">
        <v>84</v>
      </c>
      <c r="M283" s="5" t="s">
        <v>13</v>
      </c>
      <c r="N283" s="5" t="s">
        <v>574</v>
      </c>
      <c r="O283" s="5" t="s">
        <v>1340</v>
      </c>
      <c r="P283" s="5">
        <v>0</v>
      </c>
      <c r="Q283" s="5">
        <v>2</v>
      </c>
      <c r="R283" s="5">
        <v>98</v>
      </c>
      <c r="S283" s="5">
        <v>0</v>
      </c>
      <c r="T283" s="5" t="s">
        <v>12</v>
      </c>
      <c r="U283" s="5" t="s">
        <v>12</v>
      </c>
      <c r="V283" s="5" t="s">
        <v>12</v>
      </c>
      <c r="W283" s="5">
        <v>0</v>
      </c>
      <c r="X283" s="5">
        <v>0</v>
      </c>
      <c r="Y283" s="5">
        <v>0</v>
      </c>
      <c r="Z283" s="5" t="s">
        <v>12</v>
      </c>
      <c r="AA283" s="5" t="s">
        <v>12</v>
      </c>
      <c r="AB283" s="5" t="s">
        <v>19</v>
      </c>
      <c r="AC283" s="5" t="s">
        <v>19</v>
      </c>
      <c r="AD283" s="5" t="s">
        <v>19</v>
      </c>
      <c r="AE283" s="5" t="s">
        <v>12</v>
      </c>
      <c r="AF283" s="5" t="s">
        <v>12</v>
      </c>
      <c r="AG283" s="5"/>
      <c r="AH283" s="5">
        <v>0</v>
      </c>
      <c r="AI283" s="5"/>
      <c r="AJ283" s="5"/>
      <c r="AK283" s="5"/>
      <c r="AL283" s="5" t="s">
        <v>12</v>
      </c>
      <c r="AM283" s="5" t="s">
        <v>12</v>
      </c>
      <c r="AN283" s="5" t="s">
        <v>12</v>
      </c>
      <c r="AO283" s="5" t="s">
        <v>11</v>
      </c>
      <c r="AP283" s="5" t="s">
        <v>11</v>
      </c>
      <c r="AQ283" s="5" t="s">
        <v>18</v>
      </c>
      <c r="AR283" s="5" t="s">
        <v>74</v>
      </c>
    </row>
    <row r="284" spans="1:44" ht="15.75" x14ac:dyDescent="0.25">
      <c r="A284" s="10">
        <v>46096</v>
      </c>
      <c r="B284" s="5" t="s">
        <v>632</v>
      </c>
      <c r="C284" s="5" t="s">
        <v>1840</v>
      </c>
      <c r="D284" s="5" t="s">
        <v>11</v>
      </c>
      <c r="E284" s="5" t="s">
        <v>11</v>
      </c>
      <c r="F284" s="5" t="s">
        <v>11</v>
      </c>
      <c r="G284" s="5" t="s">
        <v>11</v>
      </c>
      <c r="H284" s="5" t="s">
        <v>11</v>
      </c>
      <c r="I284" s="6" t="str">
        <f>HYPERLINK("http://maps.yandex.ru/?ll=,&amp;spn=0.011598,0.004531&amp;z=17&amp;l=map&amp;pt=,", "")</f>
        <v/>
      </c>
      <c r="J284" s="5" t="s">
        <v>84</v>
      </c>
      <c r="K284" s="6" t="str">
        <f>HYPERLINK("http://maps.yandex.ru/?ll=,&amp;spn=0.011598,0.004531&amp;z=17&amp;l=map&amp;pt=,", "")</f>
        <v/>
      </c>
      <c r="L284" s="5" t="s">
        <v>84</v>
      </c>
      <c r="M284" s="5" t="s">
        <v>13</v>
      </c>
      <c r="N284" s="5" t="s">
        <v>13</v>
      </c>
      <c r="O284" s="5" t="s">
        <v>58</v>
      </c>
      <c r="P284" s="5">
        <v>0</v>
      </c>
      <c r="Q284" s="5">
        <v>0</v>
      </c>
      <c r="R284" s="5">
        <v>100</v>
      </c>
      <c r="S284" s="5">
        <v>0</v>
      </c>
      <c r="T284" s="5" t="s">
        <v>12</v>
      </c>
      <c r="U284" s="5" t="s">
        <v>12</v>
      </c>
      <c r="V284" s="5" t="s">
        <v>12</v>
      </c>
      <c r="W284" s="5">
        <v>0</v>
      </c>
      <c r="X284" s="5">
        <v>0</v>
      </c>
      <c r="Y284" s="5">
        <v>0</v>
      </c>
      <c r="Z284" s="5" t="s">
        <v>12</v>
      </c>
      <c r="AA284" s="5" t="s">
        <v>12</v>
      </c>
      <c r="AB284" s="5" t="s">
        <v>19</v>
      </c>
      <c r="AC284" s="5" t="s">
        <v>19</v>
      </c>
      <c r="AD284" s="5" t="s">
        <v>19</v>
      </c>
      <c r="AE284" s="5" t="s">
        <v>12</v>
      </c>
      <c r="AF284" s="5" t="s">
        <v>12</v>
      </c>
      <c r="AG284" s="5"/>
      <c r="AH284" s="5">
        <v>0</v>
      </c>
      <c r="AI284" s="5"/>
      <c r="AJ284" s="5"/>
      <c r="AK284" s="5"/>
      <c r="AL284" s="5" t="s">
        <v>12</v>
      </c>
      <c r="AM284" s="5" t="s">
        <v>12</v>
      </c>
      <c r="AN284" s="5" t="s">
        <v>12</v>
      </c>
      <c r="AO284" s="5" t="s">
        <v>11</v>
      </c>
      <c r="AP284" s="5" t="s">
        <v>11</v>
      </c>
      <c r="AQ284" s="5" t="s">
        <v>18</v>
      </c>
      <c r="AR284" s="5" t="s">
        <v>17</v>
      </c>
    </row>
    <row r="285" spans="1:44" ht="15.75" x14ac:dyDescent="0.25">
      <c r="A285" s="10">
        <v>46096</v>
      </c>
      <c r="B285" s="5" t="s">
        <v>630</v>
      </c>
      <c r="C285" s="5" t="s">
        <v>1841</v>
      </c>
      <c r="D285" s="5" t="s">
        <v>11</v>
      </c>
      <c r="E285" s="5" t="s">
        <v>11</v>
      </c>
      <c r="F285" s="5" t="s">
        <v>11</v>
      </c>
      <c r="G285" s="5" t="s">
        <v>11</v>
      </c>
      <c r="H285" s="5" t="s">
        <v>11</v>
      </c>
      <c r="I285" s="6" t="str">
        <f>HYPERLINK("http://maps.yandex.ru/?ll=,&amp;spn=0.011598,0.004531&amp;z=17&amp;l=map&amp;pt=,", "")</f>
        <v/>
      </c>
      <c r="J285" s="5" t="s">
        <v>84</v>
      </c>
      <c r="K285" s="6" t="str">
        <f>HYPERLINK("http://maps.yandex.ru/?ll=,&amp;spn=0.011598,0.004531&amp;z=17&amp;l=map&amp;pt=,", "")</f>
        <v/>
      </c>
      <c r="L285" s="5" t="s">
        <v>84</v>
      </c>
      <c r="M285" s="5" t="s">
        <v>13</v>
      </c>
      <c r="N285" s="5" t="s">
        <v>58</v>
      </c>
      <c r="O285" s="5" t="s">
        <v>13</v>
      </c>
      <c r="P285" s="5">
        <v>0</v>
      </c>
      <c r="Q285" s="5">
        <v>100</v>
      </c>
      <c r="R285" s="5">
        <v>0</v>
      </c>
      <c r="S285" s="5">
        <v>0</v>
      </c>
      <c r="T285" s="5" t="s">
        <v>12</v>
      </c>
      <c r="U285" s="5" t="s">
        <v>12</v>
      </c>
      <c r="V285" s="5" t="s">
        <v>12</v>
      </c>
      <c r="W285" s="5">
        <v>0</v>
      </c>
      <c r="X285" s="5">
        <v>0</v>
      </c>
      <c r="Y285" s="5">
        <v>0</v>
      </c>
      <c r="Z285" s="5" t="s">
        <v>12</v>
      </c>
      <c r="AA285" s="5" t="s">
        <v>12</v>
      </c>
      <c r="AB285" s="5" t="s">
        <v>12</v>
      </c>
      <c r="AC285" s="5" t="s">
        <v>12</v>
      </c>
      <c r="AD285" s="5" t="s">
        <v>12</v>
      </c>
      <c r="AE285" s="5" t="s">
        <v>12</v>
      </c>
      <c r="AF285" s="5" t="s">
        <v>12</v>
      </c>
      <c r="AG285" s="5"/>
      <c r="AH285" s="5">
        <v>0</v>
      </c>
      <c r="AI285" s="5"/>
      <c r="AJ285" s="5"/>
      <c r="AK285" s="5"/>
      <c r="AL285" s="5" t="s">
        <v>12</v>
      </c>
      <c r="AM285" s="5" t="s">
        <v>12</v>
      </c>
      <c r="AN285" s="5" t="s">
        <v>12</v>
      </c>
      <c r="AO285" s="5" t="s">
        <v>11</v>
      </c>
      <c r="AP285" s="5" t="s">
        <v>11</v>
      </c>
      <c r="AQ285" s="5" t="s">
        <v>147</v>
      </c>
      <c r="AR285" s="5" t="s">
        <v>146</v>
      </c>
    </row>
    <row r="286" spans="1:44" ht="31.5" x14ac:dyDescent="0.25">
      <c r="A286" s="10">
        <v>46096</v>
      </c>
      <c r="B286" s="5" t="s">
        <v>627</v>
      </c>
      <c r="C286" s="5" t="s">
        <v>1842</v>
      </c>
      <c r="D286" s="5" t="s">
        <v>11</v>
      </c>
      <c r="E286" s="5" t="s">
        <v>1</v>
      </c>
      <c r="F286" s="5" t="s">
        <v>1</v>
      </c>
      <c r="G286" s="5" t="s">
        <v>4124</v>
      </c>
      <c r="H286" s="5" t="s">
        <v>4125</v>
      </c>
      <c r="I286" s="6" t="str">
        <f>HYPERLINK("http://maps.yandex.ru/?ll=34.243076,57.69925&amp;spn=0.011598,0.004531&amp;z=17&amp;l=map&amp;pt=34.243076,57.69925", "57.699257//34.243076")</f>
        <v>57.699257//34.243076</v>
      </c>
      <c r="J286" s="5" t="s">
        <v>50</v>
      </c>
      <c r="K286" s="6" t="str">
        <f>HYPERLINK("http://maps.yandex.ru/?ll=30.405722,59.79631&amp;spn=0.011598,0.004531&amp;z=17&amp;l=map&amp;pt=30.405722,59.79631", "59.796314//30.405722")</f>
        <v>59.796314//30.405722</v>
      </c>
      <c r="L286" s="5" t="s">
        <v>23</v>
      </c>
      <c r="M286" s="5" t="s">
        <v>4126</v>
      </c>
      <c r="N286" s="5" t="s">
        <v>4127</v>
      </c>
      <c r="O286" s="5" t="s">
        <v>1370</v>
      </c>
      <c r="P286" s="5">
        <v>20</v>
      </c>
      <c r="Q286" s="5">
        <v>72</v>
      </c>
      <c r="R286" s="5">
        <v>7</v>
      </c>
      <c r="S286" s="5">
        <v>352.03800000000001</v>
      </c>
      <c r="T286" s="5" t="s">
        <v>1903</v>
      </c>
      <c r="U286" s="5" t="s">
        <v>4128</v>
      </c>
      <c r="V286" s="5" t="s">
        <v>4129</v>
      </c>
      <c r="W286" s="5">
        <v>14.67</v>
      </c>
      <c r="X286" s="5">
        <v>72.239999999999995</v>
      </c>
      <c r="Y286" s="5">
        <v>102</v>
      </c>
      <c r="Z286" s="5" t="s">
        <v>1844</v>
      </c>
      <c r="AA286" s="5" t="s">
        <v>2461</v>
      </c>
      <c r="AB286" s="5" t="s">
        <v>19</v>
      </c>
      <c r="AC286" s="5" t="s">
        <v>19</v>
      </c>
      <c r="AD286" s="5" t="s">
        <v>4130</v>
      </c>
      <c r="AE286" s="5" t="s">
        <v>2418</v>
      </c>
      <c r="AF286" s="5" t="s">
        <v>4131</v>
      </c>
      <c r="AG286" s="5">
        <v>107</v>
      </c>
      <c r="AH286" s="5">
        <v>3</v>
      </c>
      <c r="AI286" s="5">
        <v>104</v>
      </c>
      <c r="AJ286" s="5">
        <v>28.08</v>
      </c>
      <c r="AK286" s="5">
        <v>27.3</v>
      </c>
      <c r="AL286" s="5" t="s">
        <v>12</v>
      </c>
      <c r="AM286" s="5" t="s">
        <v>12</v>
      </c>
      <c r="AN286" s="5" t="s">
        <v>12</v>
      </c>
      <c r="AO286" s="5" t="s">
        <v>11</v>
      </c>
      <c r="AP286" s="5" t="s">
        <v>11</v>
      </c>
      <c r="AQ286" s="5" t="s">
        <v>18</v>
      </c>
      <c r="AR286" s="5" t="s">
        <v>17</v>
      </c>
    </row>
    <row r="287" spans="1:44" ht="31.5" x14ac:dyDescent="0.25">
      <c r="A287" s="10">
        <v>46096</v>
      </c>
      <c r="B287" s="5" t="s">
        <v>626</v>
      </c>
      <c r="C287" s="5" t="s">
        <v>1846</v>
      </c>
      <c r="D287" s="5" t="s">
        <v>11</v>
      </c>
      <c r="E287" s="5" t="s">
        <v>4</v>
      </c>
      <c r="F287" s="5" t="s">
        <v>4</v>
      </c>
      <c r="G287" s="5" t="s">
        <v>4132</v>
      </c>
      <c r="H287" s="5" t="s">
        <v>4133</v>
      </c>
      <c r="I287" s="6" t="str">
        <f>HYPERLINK("http://maps.yandex.ru/?ll=121.99786,54.00098&amp;spn=0.011598,0.004531&amp;z=17&amp;l=map&amp;pt=121.99786,54.00098", "54.000988//121.99786")</f>
        <v>54.000988//121.99786</v>
      </c>
      <c r="J287" s="5" t="s">
        <v>143</v>
      </c>
      <c r="K287" s="6" t="str">
        <f>HYPERLINK("http://maps.yandex.ru/?ll=113.48137,52.13595&amp;spn=0.011598,0.004531&amp;z=17&amp;l=map&amp;pt=113.48137,52.13595", "52.135956//113.48137")</f>
        <v>52.135956//113.48137</v>
      </c>
      <c r="L287" s="5" t="s">
        <v>155</v>
      </c>
      <c r="M287" s="5" t="s">
        <v>3782</v>
      </c>
      <c r="N287" s="5" t="s">
        <v>1303</v>
      </c>
      <c r="O287" s="5" t="s">
        <v>13</v>
      </c>
      <c r="P287" s="5">
        <v>44</v>
      </c>
      <c r="Q287" s="5">
        <v>56</v>
      </c>
      <c r="R287" s="5">
        <v>0</v>
      </c>
      <c r="S287" s="5">
        <v>762.90499999999997</v>
      </c>
      <c r="T287" s="5" t="s">
        <v>12</v>
      </c>
      <c r="U287" s="5" t="s">
        <v>12</v>
      </c>
      <c r="V287" s="5" t="s">
        <v>12</v>
      </c>
      <c r="W287" s="5">
        <v>31.79</v>
      </c>
      <c r="X287" s="5">
        <v>71.77</v>
      </c>
      <c r="Y287" s="5">
        <v>104</v>
      </c>
      <c r="Z287" s="5" t="s">
        <v>1847</v>
      </c>
      <c r="AA287" s="5" t="s">
        <v>2726</v>
      </c>
      <c r="AB287" s="5" t="s">
        <v>19</v>
      </c>
      <c r="AC287" s="5" t="s">
        <v>19</v>
      </c>
      <c r="AD287" s="5" t="s">
        <v>19</v>
      </c>
      <c r="AE287" s="5" t="s">
        <v>2398</v>
      </c>
      <c r="AF287" s="5" t="s">
        <v>12</v>
      </c>
      <c r="AG287" s="5"/>
      <c r="AH287" s="5"/>
      <c r="AI287" s="5"/>
      <c r="AJ287" s="5"/>
      <c r="AK287" s="5"/>
      <c r="AL287" s="5" t="s">
        <v>4134</v>
      </c>
      <c r="AM287" s="5" t="s">
        <v>4135</v>
      </c>
      <c r="AN287" s="5" t="s">
        <v>1756</v>
      </c>
      <c r="AO287" s="5" t="s">
        <v>69</v>
      </c>
      <c r="AP287" s="5" t="s">
        <v>68</v>
      </c>
      <c r="AQ287" s="5" t="s">
        <v>67</v>
      </c>
      <c r="AR287" s="5" t="s">
        <v>66</v>
      </c>
    </row>
    <row r="288" spans="1:44" ht="15.75" x14ac:dyDescent="0.25">
      <c r="A288" s="10">
        <v>46096</v>
      </c>
      <c r="B288" s="5" t="s">
        <v>625</v>
      </c>
      <c r="C288" s="5" t="s">
        <v>1849</v>
      </c>
      <c r="D288" s="5" t="s">
        <v>11</v>
      </c>
      <c r="E288" s="5" t="s">
        <v>1</v>
      </c>
      <c r="F288" s="5" t="s">
        <v>1</v>
      </c>
      <c r="G288" s="5" t="s">
        <v>11</v>
      </c>
      <c r="H288" s="5" t="s">
        <v>11</v>
      </c>
      <c r="I288" s="6" t="str">
        <f>HYPERLINK("http://maps.yandex.ru/?ll=,&amp;spn=0.011598,0.004531&amp;z=17&amp;l=map&amp;pt=,", "")</f>
        <v/>
      </c>
      <c r="J288" s="5" t="s">
        <v>84</v>
      </c>
      <c r="K288" s="6" t="str">
        <f>HYPERLINK("http://maps.yandex.ru/?ll=,&amp;spn=0.011598,0.004531&amp;z=17&amp;l=map&amp;pt=,", "")</f>
        <v/>
      </c>
      <c r="L288" s="5" t="s">
        <v>84</v>
      </c>
      <c r="M288" s="5" t="s">
        <v>13</v>
      </c>
      <c r="N288" s="5" t="s">
        <v>13</v>
      </c>
      <c r="O288" s="5" t="s">
        <v>58</v>
      </c>
      <c r="P288" s="5">
        <v>0</v>
      </c>
      <c r="Q288" s="5">
        <v>0</v>
      </c>
      <c r="R288" s="5">
        <v>100</v>
      </c>
      <c r="S288" s="5">
        <v>0</v>
      </c>
      <c r="T288" s="5" t="s">
        <v>12</v>
      </c>
      <c r="U288" s="5" t="s">
        <v>12</v>
      </c>
      <c r="V288" s="5" t="s">
        <v>12</v>
      </c>
      <c r="W288" s="5">
        <v>0</v>
      </c>
      <c r="X288" s="5">
        <v>0</v>
      </c>
      <c r="Y288" s="5">
        <v>0</v>
      </c>
      <c r="Z288" s="5" t="s">
        <v>12</v>
      </c>
      <c r="AA288" s="5" t="s">
        <v>12</v>
      </c>
      <c r="AB288" s="5" t="s">
        <v>19</v>
      </c>
      <c r="AC288" s="5" t="s">
        <v>19</v>
      </c>
      <c r="AD288" s="5" t="s">
        <v>19</v>
      </c>
      <c r="AE288" s="5" t="s">
        <v>12</v>
      </c>
      <c r="AF288" s="5" t="s">
        <v>12</v>
      </c>
      <c r="AG288" s="5"/>
      <c r="AH288" s="5">
        <v>0</v>
      </c>
      <c r="AI288" s="5"/>
      <c r="AJ288" s="5"/>
      <c r="AK288" s="5"/>
      <c r="AL288" s="5" t="s">
        <v>12</v>
      </c>
      <c r="AM288" s="5" t="s">
        <v>12</v>
      </c>
      <c r="AN288" s="5" t="s">
        <v>12</v>
      </c>
      <c r="AO288" s="5" t="s">
        <v>11</v>
      </c>
      <c r="AP288" s="5" t="s">
        <v>11</v>
      </c>
      <c r="AQ288" s="5" t="s">
        <v>18</v>
      </c>
      <c r="AR288" s="5" t="s">
        <v>17</v>
      </c>
    </row>
    <row r="289" spans="1:44" ht="15.75" x14ac:dyDescent="0.25">
      <c r="A289" s="10">
        <v>46096</v>
      </c>
      <c r="B289" s="5" t="s">
        <v>624</v>
      </c>
      <c r="C289" s="5" t="s">
        <v>1850</v>
      </c>
      <c r="D289" s="5" t="s">
        <v>11</v>
      </c>
      <c r="E289" s="5" t="s">
        <v>11</v>
      </c>
      <c r="F289" s="5" t="s">
        <v>11</v>
      </c>
      <c r="G289" s="5" t="s">
        <v>11</v>
      </c>
      <c r="H289" s="5" t="s">
        <v>11</v>
      </c>
      <c r="I289" s="6" t="str">
        <f>HYPERLINK("http://maps.yandex.ru/?ll=,&amp;spn=0.011598,0.004531&amp;z=17&amp;l=map&amp;pt=,", "")</f>
        <v/>
      </c>
      <c r="J289" s="5" t="s">
        <v>84</v>
      </c>
      <c r="K289" s="6" t="str">
        <f>HYPERLINK("http://maps.yandex.ru/?ll=,&amp;spn=0.011598,0.004531&amp;z=17&amp;l=map&amp;pt=,", "")</f>
        <v/>
      </c>
      <c r="L289" s="5" t="s">
        <v>84</v>
      </c>
      <c r="M289" s="5" t="s">
        <v>13</v>
      </c>
      <c r="N289" s="5" t="s">
        <v>58</v>
      </c>
      <c r="O289" s="5" t="s">
        <v>13</v>
      </c>
      <c r="P289" s="5">
        <v>0</v>
      </c>
      <c r="Q289" s="5">
        <v>100</v>
      </c>
      <c r="R289" s="5">
        <v>0</v>
      </c>
      <c r="S289" s="5">
        <v>0</v>
      </c>
      <c r="T289" s="5" t="s">
        <v>1673</v>
      </c>
      <c r="U289" s="5" t="s">
        <v>1851</v>
      </c>
      <c r="V289" s="5" t="s">
        <v>1852</v>
      </c>
      <c r="W289" s="5">
        <v>0</v>
      </c>
      <c r="X289" s="5">
        <v>0</v>
      </c>
      <c r="Y289" s="5">
        <v>0</v>
      </c>
      <c r="Z289" s="5" t="s">
        <v>12</v>
      </c>
      <c r="AA289" s="5" t="s">
        <v>12</v>
      </c>
      <c r="AB289" s="5" t="s">
        <v>12</v>
      </c>
      <c r="AC289" s="5" t="s">
        <v>12</v>
      </c>
      <c r="AD289" s="5" t="s">
        <v>12</v>
      </c>
      <c r="AE289" s="5" t="s">
        <v>12</v>
      </c>
      <c r="AF289" s="5" t="s">
        <v>12</v>
      </c>
      <c r="AG289" s="5">
        <v>10</v>
      </c>
      <c r="AH289" s="5">
        <v>10</v>
      </c>
      <c r="AI289" s="5">
        <v>0</v>
      </c>
      <c r="AJ289" s="5">
        <v>1000</v>
      </c>
      <c r="AK289" s="5">
        <v>0</v>
      </c>
      <c r="AL289" s="5" t="s">
        <v>12</v>
      </c>
      <c r="AM289" s="5" t="s">
        <v>12</v>
      </c>
      <c r="AN289" s="5" t="s">
        <v>12</v>
      </c>
      <c r="AO289" s="5" t="s">
        <v>11</v>
      </c>
      <c r="AP289" s="5" t="s">
        <v>11</v>
      </c>
      <c r="AQ289" s="5" t="s">
        <v>37</v>
      </c>
      <c r="AR289" s="5" t="s">
        <v>36</v>
      </c>
    </row>
    <row r="290" spans="1:44" ht="31.5" x14ac:dyDescent="0.25">
      <c r="A290" s="10">
        <v>46096</v>
      </c>
      <c r="B290" s="5" t="s">
        <v>623</v>
      </c>
      <c r="C290" s="5" t="s">
        <v>1853</v>
      </c>
      <c r="D290" s="5" t="s">
        <v>11</v>
      </c>
      <c r="E290" s="5" t="s">
        <v>3</v>
      </c>
      <c r="F290" s="5" t="s">
        <v>3</v>
      </c>
      <c r="G290" s="5" t="s">
        <v>4136</v>
      </c>
      <c r="H290" s="5" t="s">
        <v>4137</v>
      </c>
      <c r="I290" s="6" t="str">
        <f>HYPERLINK("http://maps.yandex.ru/?ll=84.418015,55.646&amp;spn=0.011598,0.004531&amp;z=17&amp;l=map&amp;pt=84.418015,55.646", "55.6465//84.418015")</f>
        <v>55.6465//84.418015</v>
      </c>
      <c r="J290" s="5" t="s">
        <v>39</v>
      </c>
      <c r="K290" s="6" t="str">
        <f>HYPERLINK("http://maps.yandex.ru/?ll=92.34539,56.20887&amp;spn=0.011598,0.004531&amp;z=17&amp;l=map&amp;pt=92.34539,56.20887", "56.208878//92.34539")</f>
        <v>56.208878//92.34539</v>
      </c>
      <c r="L290" s="5" t="s">
        <v>162</v>
      </c>
      <c r="M290" s="5" t="s">
        <v>919</v>
      </c>
      <c r="N290" s="5" t="s">
        <v>397</v>
      </c>
      <c r="O290" s="5" t="s">
        <v>13</v>
      </c>
      <c r="P290" s="5">
        <v>43</v>
      </c>
      <c r="Q290" s="5">
        <v>57</v>
      </c>
      <c r="R290" s="5">
        <v>0</v>
      </c>
      <c r="S290" s="5">
        <v>599.66300000000001</v>
      </c>
      <c r="T290" s="5" t="s">
        <v>12</v>
      </c>
      <c r="U290" s="5" t="s">
        <v>12</v>
      </c>
      <c r="V290" s="5" t="s">
        <v>12</v>
      </c>
      <c r="W290" s="5">
        <v>24.99</v>
      </c>
      <c r="X290" s="5">
        <v>58.3</v>
      </c>
      <c r="Y290" s="5">
        <v>112</v>
      </c>
      <c r="Z290" s="5" t="s">
        <v>1854</v>
      </c>
      <c r="AA290" s="5" t="s">
        <v>1919</v>
      </c>
      <c r="AB290" s="5" t="s">
        <v>19</v>
      </c>
      <c r="AC290" s="5" t="s">
        <v>19</v>
      </c>
      <c r="AD290" s="5" t="s">
        <v>19</v>
      </c>
      <c r="AE290" s="5" t="s">
        <v>2049</v>
      </c>
      <c r="AF290" s="5" t="s">
        <v>12</v>
      </c>
      <c r="AG290" s="5"/>
      <c r="AH290" s="5"/>
      <c r="AI290" s="5"/>
      <c r="AJ290" s="5"/>
      <c r="AK290" s="5"/>
      <c r="AL290" s="5" t="s">
        <v>1855</v>
      </c>
      <c r="AM290" s="5" t="s">
        <v>4138</v>
      </c>
      <c r="AN290" s="5" t="s">
        <v>1807</v>
      </c>
      <c r="AO290" s="5" t="s">
        <v>69</v>
      </c>
      <c r="AP290" s="5" t="s">
        <v>68</v>
      </c>
      <c r="AQ290" s="5" t="s">
        <v>67</v>
      </c>
      <c r="AR290" s="5" t="s">
        <v>66</v>
      </c>
    </row>
    <row r="291" spans="1:44" ht="31.5" x14ac:dyDescent="0.25">
      <c r="A291" s="10">
        <v>46096</v>
      </c>
      <c r="B291" s="5" t="s">
        <v>621</v>
      </c>
      <c r="C291" s="5" t="s">
        <v>1856</v>
      </c>
      <c r="D291" s="5" t="s">
        <v>11</v>
      </c>
      <c r="E291" s="5" t="s">
        <v>0</v>
      </c>
      <c r="F291" s="5" t="s">
        <v>0</v>
      </c>
      <c r="G291" s="5" t="s">
        <v>4139</v>
      </c>
      <c r="H291" s="5" t="s">
        <v>4140</v>
      </c>
      <c r="I291" s="6" t="str">
        <f>HYPERLINK("http://maps.yandex.ru/?ll=55.833454,52.65794&amp;spn=0.011598,0.004531&amp;z=17&amp;l=map&amp;pt=55.833454,52.65794", "52.657944//55.833454")</f>
        <v>52.657944//55.833454</v>
      </c>
      <c r="J291" s="5" t="s">
        <v>34</v>
      </c>
      <c r="K291" s="6" t="str">
        <f>HYPERLINK("http://maps.yandex.ru/?ll=53.034218,55.70351&amp;spn=0.011598,0.004531&amp;z=17&amp;l=map&amp;pt=53.034218,55.70351", "55.703514//53.034218")</f>
        <v>55.703514//53.034218</v>
      </c>
      <c r="L291" s="5" t="s">
        <v>28</v>
      </c>
      <c r="M291" s="5" t="s">
        <v>4141</v>
      </c>
      <c r="N291" s="5" t="s">
        <v>401</v>
      </c>
      <c r="O291" s="5" t="s">
        <v>4142</v>
      </c>
      <c r="P291" s="5">
        <v>50</v>
      </c>
      <c r="Q291" s="5">
        <v>46</v>
      </c>
      <c r="R291" s="5">
        <v>4</v>
      </c>
      <c r="S291" s="5">
        <v>849.62</v>
      </c>
      <c r="T291" s="5" t="s">
        <v>12</v>
      </c>
      <c r="U291" s="5" t="s">
        <v>12</v>
      </c>
      <c r="V291" s="5" t="s">
        <v>12</v>
      </c>
      <c r="W291" s="5">
        <v>35.4</v>
      </c>
      <c r="X291" s="5">
        <v>71.25</v>
      </c>
      <c r="Y291" s="5">
        <v>141</v>
      </c>
      <c r="Z291" s="5" t="s">
        <v>1858</v>
      </c>
      <c r="AA291" s="5" t="s">
        <v>1854</v>
      </c>
      <c r="AB291" s="5" t="s">
        <v>19</v>
      </c>
      <c r="AC291" s="5" t="s">
        <v>19</v>
      </c>
      <c r="AD291" s="5" t="s">
        <v>19</v>
      </c>
      <c r="AE291" s="5" t="s">
        <v>1689</v>
      </c>
      <c r="AF291" s="5" t="s">
        <v>12</v>
      </c>
      <c r="AG291" s="5"/>
      <c r="AH291" s="5"/>
      <c r="AI291" s="5"/>
      <c r="AJ291" s="5"/>
      <c r="AK291" s="5"/>
      <c r="AL291" s="5" t="s">
        <v>12</v>
      </c>
      <c r="AM291" s="5" t="s">
        <v>12</v>
      </c>
      <c r="AN291" s="5" t="s">
        <v>12</v>
      </c>
      <c r="AO291" s="5" t="s">
        <v>69</v>
      </c>
      <c r="AP291" s="5" t="s">
        <v>68</v>
      </c>
      <c r="AQ291" s="5" t="s">
        <v>67</v>
      </c>
      <c r="AR291" s="5" t="s">
        <v>66</v>
      </c>
    </row>
    <row r="292" spans="1:44" ht="31.5" x14ac:dyDescent="0.25">
      <c r="A292" s="10">
        <v>46096</v>
      </c>
      <c r="B292" s="5" t="s">
        <v>620</v>
      </c>
      <c r="C292" s="5" t="s">
        <v>1861</v>
      </c>
      <c r="D292" s="5" t="s">
        <v>11</v>
      </c>
      <c r="E292" s="5" t="s">
        <v>1</v>
      </c>
      <c r="F292" s="5" t="s">
        <v>1</v>
      </c>
      <c r="G292" s="5" t="s">
        <v>4143</v>
      </c>
      <c r="H292" s="5" t="s">
        <v>4144</v>
      </c>
      <c r="I292" s="6" t="str">
        <f>HYPERLINK("http://maps.yandex.ru/?ll=39.8939,47.36166&amp;spn=0.011598,0.004531&amp;z=17&amp;l=map&amp;pt=39.8939,47.36166", "47.361664//39.8939")</f>
        <v>47.361664//39.8939</v>
      </c>
      <c r="J292" s="5" t="s">
        <v>64</v>
      </c>
      <c r="K292" s="6" t="str">
        <f>HYPERLINK("http://maps.yandex.ru/?ll=39.89464,47.36102&amp;spn=0.011598,0.004531&amp;z=17&amp;l=map&amp;pt=39.89464,47.36102", "47.361023//39.89464")</f>
        <v>47.361023//39.89464</v>
      </c>
      <c r="L292" s="5" t="s">
        <v>64</v>
      </c>
      <c r="M292" s="5" t="s">
        <v>310</v>
      </c>
      <c r="N292" s="5" t="s">
        <v>1124</v>
      </c>
      <c r="O292" s="5" t="s">
        <v>3360</v>
      </c>
      <c r="P292" s="5">
        <v>1</v>
      </c>
      <c r="Q292" s="5">
        <v>59</v>
      </c>
      <c r="R292" s="5">
        <v>41</v>
      </c>
      <c r="S292" s="5">
        <v>0.34</v>
      </c>
      <c r="T292" s="5" t="s">
        <v>12</v>
      </c>
      <c r="U292" s="5" t="s">
        <v>12</v>
      </c>
      <c r="V292" s="5" t="s">
        <v>12</v>
      </c>
      <c r="W292" s="5">
        <v>0.01</v>
      </c>
      <c r="X292" s="5">
        <v>1.99</v>
      </c>
      <c r="Y292" s="5">
        <v>11</v>
      </c>
      <c r="Z292" s="5" t="s">
        <v>12</v>
      </c>
      <c r="AA292" s="5" t="s">
        <v>12</v>
      </c>
      <c r="AB292" s="5" t="s">
        <v>12</v>
      </c>
      <c r="AC292" s="5" t="s">
        <v>12</v>
      </c>
      <c r="AD292" s="5" t="s">
        <v>12</v>
      </c>
      <c r="AE292" s="5" t="s">
        <v>12</v>
      </c>
      <c r="AF292" s="5" t="s">
        <v>12</v>
      </c>
      <c r="AG292" s="5"/>
      <c r="AH292" s="5"/>
      <c r="AI292" s="5"/>
      <c r="AJ292" s="5"/>
      <c r="AK292" s="5"/>
      <c r="AL292" s="5" t="s">
        <v>12</v>
      </c>
      <c r="AM292" s="5" t="s">
        <v>12</v>
      </c>
      <c r="AN292" s="5" t="s">
        <v>12</v>
      </c>
      <c r="AO292" s="5" t="s">
        <v>11</v>
      </c>
      <c r="AP292" s="5" t="s">
        <v>11</v>
      </c>
      <c r="AQ292" s="5" t="s">
        <v>67</v>
      </c>
      <c r="AR292" s="5" t="s">
        <v>66</v>
      </c>
    </row>
    <row r="293" spans="1:44" ht="31.5" x14ac:dyDescent="0.25">
      <c r="A293" s="10">
        <v>46096</v>
      </c>
      <c r="B293" s="5" t="s">
        <v>619</v>
      </c>
      <c r="C293" s="5" t="s">
        <v>1862</v>
      </c>
      <c r="D293" s="5" t="s">
        <v>11</v>
      </c>
      <c r="E293" s="5" t="s">
        <v>7</v>
      </c>
      <c r="F293" s="5" t="s">
        <v>7</v>
      </c>
      <c r="G293" s="5" t="s">
        <v>4145</v>
      </c>
      <c r="H293" s="5" t="s">
        <v>4146</v>
      </c>
      <c r="I293" s="6" t="str">
        <f>HYPERLINK("http://maps.yandex.ru/?ll=44.595253,53.4343&amp;spn=0.011598,0.004531&amp;z=17&amp;l=map&amp;pt=44.595253,53.4343", "53.43436//44.595253")</f>
        <v>53.43436//44.595253</v>
      </c>
      <c r="J293" s="5" t="s">
        <v>94</v>
      </c>
      <c r="K293" s="6" t="str">
        <f>HYPERLINK("http://maps.yandex.ru/?ll=37.431557,56.0114&amp;spn=0.011598,0.004531&amp;z=17&amp;l=map&amp;pt=37.431557,56.0114", "56.01149//37.431557")</f>
        <v>56.01149//37.431557</v>
      </c>
      <c r="L293" s="5" t="s">
        <v>56</v>
      </c>
      <c r="M293" s="5" t="s">
        <v>591</v>
      </c>
      <c r="N293" s="5" t="s">
        <v>493</v>
      </c>
      <c r="O293" s="5" t="s">
        <v>883</v>
      </c>
      <c r="P293" s="5">
        <v>39</v>
      </c>
      <c r="Q293" s="5">
        <v>58</v>
      </c>
      <c r="R293" s="5">
        <v>4</v>
      </c>
      <c r="S293" s="5">
        <v>657.60900000000004</v>
      </c>
      <c r="T293" s="5" t="s">
        <v>12</v>
      </c>
      <c r="U293" s="5" t="s">
        <v>12</v>
      </c>
      <c r="V293" s="5" t="s">
        <v>12</v>
      </c>
      <c r="W293" s="5">
        <v>27.4</v>
      </c>
      <c r="X293" s="5">
        <v>70.849999999999994</v>
      </c>
      <c r="Y293" s="5">
        <v>194</v>
      </c>
      <c r="Z293" s="5" t="s">
        <v>1796</v>
      </c>
      <c r="AA293" s="5" t="s">
        <v>1717</v>
      </c>
      <c r="AB293" s="5" t="s">
        <v>19</v>
      </c>
      <c r="AC293" s="5" t="s">
        <v>19</v>
      </c>
      <c r="AD293" s="5" t="s">
        <v>19</v>
      </c>
      <c r="AE293" s="5" t="s">
        <v>1870</v>
      </c>
      <c r="AF293" s="5" t="s">
        <v>12</v>
      </c>
      <c r="AG293" s="5"/>
      <c r="AH293" s="5"/>
      <c r="AI293" s="5"/>
      <c r="AJ293" s="5"/>
      <c r="AK293" s="5"/>
      <c r="AL293" s="5" t="s">
        <v>4147</v>
      </c>
      <c r="AM293" s="5" t="s">
        <v>4148</v>
      </c>
      <c r="AN293" s="5" t="s">
        <v>1807</v>
      </c>
      <c r="AO293" s="5" t="s">
        <v>69</v>
      </c>
      <c r="AP293" s="5" t="s">
        <v>68</v>
      </c>
      <c r="AQ293" s="5" t="s">
        <v>67</v>
      </c>
      <c r="AR293" s="5" t="s">
        <v>66</v>
      </c>
    </row>
    <row r="294" spans="1:44" ht="15.75" x14ac:dyDescent="0.25">
      <c r="A294" s="10">
        <v>46096</v>
      </c>
      <c r="B294" s="5" t="s">
        <v>618</v>
      </c>
      <c r="C294" s="5" t="s">
        <v>1864</v>
      </c>
      <c r="D294" s="5" t="s">
        <v>11</v>
      </c>
      <c r="E294" s="5" t="s">
        <v>1</v>
      </c>
      <c r="F294" s="5" t="s">
        <v>1</v>
      </c>
      <c r="G294" s="5" t="s">
        <v>11</v>
      </c>
      <c r="H294" s="5" t="s">
        <v>11</v>
      </c>
      <c r="I294" s="6" t="str">
        <f>HYPERLINK("http://maps.yandex.ru/?ll=,&amp;spn=0.011598,0.004531&amp;z=17&amp;l=map&amp;pt=,", "")</f>
        <v/>
      </c>
      <c r="J294" s="5" t="s">
        <v>84</v>
      </c>
      <c r="K294" s="6" t="str">
        <f>HYPERLINK("http://maps.yandex.ru/?ll=,&amp;spn=0.011598,0.004531&amp;z=17&amp;l=map&amp;pt=,", "")</f>
        <v/>
      </c>
      <c r="L294" s="5" t="s">
        <v>84</v>
      </c>
      <c r="M294" s="5" t="s">
        <v>13</v>
      </c>
      <c r="N294" s="5" t="s">
        <v>13</v>
      </c>
      <c r="O294" s="5" t="s">
        <v>58</v>
      </c>
      <c r="P294" s="5">
        <v>0</v>
      </c>
      <c r="Q294" s="5">
        <v>0</v>
      </c>
      <c r="R294" s="5">
        <v>100</v>
      </c>
      <c r="S294" s="5">
        <v>0</v>
      </c>
      <c r="T294" s="5" t="s">
        <v>12</v>
      </c>
      <c r="U294" s="5" t="s">
        <v>12</v>
      </c>
      <c r="V294" s="5" t="s">
        <v>12</v>
      </c>
      <c r="W294" s="5">
        <v>0</v>
      </c>
      <c r="X294" s="5">
        <v>0</v>
      </c>
      <c r="Y294" s="5">
        <v>0</v>
      </c>
      <c r="Z294" s="5" t="s">
        <v>12</v>
      </c>
      <c r="AA294" s="5" t="s">
        <v>12</v>
      </c>
      <c r="AB294" s="5" t="s">
        <v>12</v>
      </c>
      <c r="AC294" s="5" t="s">
        <v>12</v>
      </c>
      <c r="AD294" s="5" t="s">
        <v>12</v>
      </c>
      <c r="AE294" s="5" t="s">
        <v>12</v>
      </c>
      <c r="AF294" s="5" t="s">
        <v>12</v>
      </c>
      <c r="AG294" s="5"/>
      <c r="AH294" s="5"/>
      <c r="AI294" s="5"/>
      <c r="AJ294" s="5"/>
      <c r="AK294" s="5"/>
      <c r="AL294" s="5" t="s">
        <v>12</v>
      </c>
      <c r="AM294" s="5" t="s">
        <v>12</v>
      </c>
      <c r="AN294" s="5" t="s">
        <v>12</v>
      </c>
      <c r="AO294" s="5" t="s">
        <v>69</v>
      </c>
      <c r="AP294" s="5" t="s">
        <v>68</v>
      </c>
      <c r="AQ294" s="5" t="s">
        <v>67</v>
      </c>
      <c r="AR294" s="5" t="s">
        <v>66</v>
      </c>
    </row>
    <row r="295" spans="1:44" ht="15.75" x14ac:dyDescent="0.25">
      <c r="A295" s="10">
        <v>46096</v>
      </c>
      <c r="B295" s="5" t="s">
        <v>617</v>
      </c>
      <c r="C295" s="5" t="s">
        <v>1865</v>
      </c>
      <c r="D295" s="5" t="s">
        <v>11</v>
      </c>
      <c r="E295" s="5" t="s">
        <v>1</v>
      </c>
      <c r="F295" s="5" t="s">
        <v>1</v>
      </c>
      <c r="G295" s="5" t="s">
        <v>4149</v>
      </c>
      <c r="H295" s="5" t="s">
        <v>4150</v>
      </c>
      <c r="I295" s="6" t="str">
        <f>HYPERLINK("http://maps.yandex.ru/?ll=39.00023,45.0797&amp;spn=0.011598,0.004531&amp;z=17&amp;l=map&amp;pt=39.00023,45.0797", "45.07977//39.00023")</f>
        <v>45.07977//39.00023</v>
      </c>
      <c r="J295" s="5" t="s">
        <v>88</v>
      </c>
      <c r="K295" s="6" t="str">
        <f>HYPERLINK("http://maps.yandex.ru/?ll=39.00023,45.0797&amp;spn=0.011598,0.004531&amp;z=17&amp;l=map&amp;pt=39.00023,45.0797", "45.07977//39.00023")</f>
        <v>45.07977//39.00023</v>
      </c>
      <c r="L295" s="5" t="s">
        <v>88</v>
      </c>
      <c r="M295" s="5" t="s">
        <v>13</v>
      </c>
      <c r="N295" s="5" t="s">
        <v>1053</v>
      </c>
      <c r="O295" s="5" t="s">
        <v>1465</v>
      </c>
      <c r="P295" s="5">
        <v>0</v>
      </c>
      <c r="Q295" s="5">
        <v>49</v>
      </c>
      <c r="R295" s="5">
        <v>51</v>
      </c>
      <c r="S295" s="5">
        <v>0</v>
      </c>
      <c r="T295" s="5" t="s">
        <v>1673</v>
      </c>
      <c r="U295" s="5" t="s">
        <v>1866</v>
      </c>
      <c r="V295" s="5" t="s">
        <v>1867</v>
      </c>
      <c r="W295" s="5">
        <v>0</v>
      </c>
      <c r="X295" s="5">
        <v>0</v>
      </c>
      <c r="Y295" s="5">
        <v>16</v>
      </c>
      <c r="Z295" s="5" t="s">
        <v>1869</v>
      </c>
      <c r="AA295" s="5" t="s">
        <v>1546</v>
      </c>
      <c r="AB295" s="5" t="s">
        <v>19</v>
      </c>
      <c r="AC295" s="5" t="s">
        <v>19</v>
      </c>
      <c r="AD295" s="5" t="s">
        <v>19</v>
      </c>
      <c r="AE295" s="5" t="s">
        <v>1870</v>
      </c>
      <c r="AF295" s="5" t="s">
        <v>12</v>
      </c>
      <c r="AG295" s="5">
        <v>3</v>
      </c>
      <c r="AH295" s="5">
        <v>3</v>
      </c>
      <c r="AI295" s="5">
        <v>0</v>
      </c>
      <c r="AJ295" s="5">
        <v>300</v>
      </c>
      <c r="AK295" s="5">
        <v>0</v>
      </c>
      <c r="AL295" s="5" t="s">
        <v>12</v>
      </c>
      <c r="AM295" s="5" t="s">
        <v>12</v>
      </c>
      <c r="AN295" s="5" t="s">
        <v>12</v>
      </c>
      <c r="AO295" s="5" t="s">
        <v>11</v>
      </c>
      <c r="AP295" s="5" t="s">
        <v>11</v>
      </c>
      <c r="AQ295" s="5" t="s">
        <v>18</v>
      </c>
      <c r="AR295" s="5" t="s">
        <v>17</v>
      </c>
    </row>
    <row r="296" spans="1:44" ht="31.5" x14ac:dyDescent="0.25">
      <c r="A296" s="10">
        <v>46096</v>
      </c>
      <c r="B296" s="5" t="s">
        <v>616</v>
      </c>
      <c r="C296" s="5" t="s">
        <v>1871</v>
      </c>
      <c r="D296" s="5" t="s">
        <v>11</v>
      </c>
      <c r="E296" s="5" t="s">
        <v>5</v>
      </c>
      <c r="F296" s="5" t="s">
        <v>5</v>
      </c>
      <c r="G296" s="5" t="s">
        <v>4151</v>
      </c>
      <c r="H296" s="5" t="s">
        <v>4152</v>
      </c>
      <c r="I296" s="6" t="str">
        <f>HYPERLINK("http://maps.yandex.ru/?ll=67.427345,55.39072&amp;spn=0.011598,0.004531&amp;z=17&amp;l=map&amp;pt=67.427345,55.39072", "55.390724//67.427345")</f>
        <v>55.390724//67.427345</v>
      </c>
      <c r="J296" s="5" t="s">
        <v>361</v>
      </c>
      <c r="K296" s="6" t="str">
        <f>HYPERLINK("http://maps.yandex.ru/?ll=74.606926,55.00123&amp;spn=0.011598,0.004531&amp;z=17&amp;l=map&amp;pt=74.606926,55.00123", "55.001232//74.606926")</f>
        <v>55.001232//74.606926</v>
      </c>
      <c r="L296" s="5" t="s">
        <v>190</v>
      </c>
      <c r="M296" s="5" t="s">
        <v>1352</v>
      </c>
      <c r="N296" s="5" t="s">
        <v>4153</v>
      </c>
      <c r="O296" s="5" t="s">
        <v>13</v>
      </c>
      <c r="P296" s="5">
        <v>36</v>
      </c>
      <c r="Q296" s="5">
        <v>64</v>
      </c>
      <c r="R296" s="5">
        <v>0</v>
      </c>
      <c r="S296" s="5">
        <v>609.42100000000005</v>
      </c>
      <c r="T296" s="5" t="s">
        <v>2021</v>
      </c>
      <c r="U296" s="5" t="s">
        <v>4154</v>
      </c>
      <c r="V296" s="5" t="s">
        <v>4155</v>
      </c>
      <c r="W296" s="5">
        <v>25.39</v>
      </c>
      <c r="X296" s="5">
        <v>71.06</v>
      </c>
      <c r="Y296" s="5">
        <v>93</v>
      </c>
      <c r="Z296" s="5" t="s">
        <v>1873</v>
      </c>
      <c r="AA296" s="5" t="s">
        <v>2383</v>
      </c>
      <c r="AB296" s="5" t="s">
        <v>2231</v>
      </c>
      <c r="AC296" s="5" t="s">
        <v>1673</v>
      </c>
      <c r="AD296" s="5" t="s">
        <v>19</v>
      </c>
      <c r="AE296" s="5" t="s">
        <v>1731</v>
      </c>
      <c r="AF296" s="5" t="s">
        <v>4156</v>
      </c>
      <c r="AG296" s="5">
        <v>195</v>
      </c>
      <c r="AH296" s="5">
        <v>2</v>
      </c>
      <c r="AI296" s="5">
        <v>193</v>
      </c>
      <c r="AJ296" s="5">
        <v>30.23</v>
      </c>
      <c r="AK296" s="5">
        <v>29.92</v>
      </c>
      <c r="AL296" s="5" t="s">
        <v>12</v>
      </c>
      <c r="AM296" s="5" t="s">
        <v>12</v>
      </c>
      <c r="AN296" s="5" t="s">
        <v>12</v>
      </c>
      <c r="AO296" s="5" t="s">
        <v>11</v>
      </c>
      <c r="AP296" s="5" t="s">
        <v>11</v>
      </c>
      <c r="AQ296" s="5" t="s">
        <v>18</v>
      </c>
      <c r="AR296" s="5" t="s">
        <v>74</v>
      </c>
    </row>
    <row r="297" spans="1:44" ht="31.5" x14ac:dyDescent="0.25">
      <c r="A297" s="10">
        <v>46096</v>
      </c>
      <c r="B297" s="5" t="s">
        <v>614</v>
      </c>
      <c r="C297" s="5" t="s">
        <v>1874</v>
      </c>
      <c r="D297" s="5" t="s">
        <v>11</v>
      </c>
      <c r="E297" s="5" t="s">
        <v>1</v>
      </c>
      <c r="F297" s="5" t="s">
        <v>1</v>
      </c>
      <c r="G297" s="5" t="s">
        <v>3103</v>
      </c>
      <c r="H297" s="5" t="s">
        <v>4157</v>
      </c>
      <c r="I297" s="6" t="str">
        <f>HYPERLINK("http://maps.yandex.ru/?ll=40.490543,49.99894&amp;spn=0.011598,0.004531&amp;z=17&amp;l=map&amp;pt=40.490543,49.99894", "49.998947//40.490543")</f>
        <v>49.998947//40.490543</v>
      </c>
      <c r="J297" s="5" t="s">
        <v>101</v>
      </c>
      <c r="K297" s="6" t="str">
        <f>HYPERLINK("http://maps.yandex.ru/?ll=37.48504,54.80604&amp;spn=0.011598,0.004531&amp;z=17&amp;l=map&amp;pt=37.48504,54.80604", "54.806046//37.48504")</f>
        <v>54.806046//37.48504</v>
      </c>
      <c r="L297" s="5" t="s">
        <v>168</v>
      </c>
      <c r="M297" s="5" t="s">
        <v>430</v>
      </c>
      <c r="N297" s="5" t="s">
        <v>1416</v>
      </c>
      <c r="O297" s="5" t="s">
        <v>550</v>
      </c>
      <c r="P297" s="5">
        <v>38</v>
      </c>
      <c r="Q297" s="5">
        <v>26</v>
      </c>
      <c r="R297" s="5">
        <v>36</v>
      </c>
      <c r="S297" s="5">
        <v>658.82399999999996</v>
      </c>
      <c r="T297" s="5" t="s">
        <v>12</v>
      </c>
      <c r="U297" s="5" t="s">
        <v>12</v>
      </c>
      <c r="V297" s="5" t="s">
        <v>12</v>
      </c>
      <c r="W297" s="5">
        <v>27.45</v>
      </c>
      <c r="X297" s="5">
        <v>72.56</v>
      </c>
      <c r="Y297" s="5">
        <v>103</v>
      </c>
      <c r="Z297" s="5" t="s">
        <v>12</v>
      </c>
      <c r="AA297" s="5" t="s">
        <v>12</v>
      </c>
      <c r="AB297" s="5" t="s">
        <v>12</v>
      </c>
      <c r="AC297" s="5" t="s">
        <v>12</v>
      </c>
      <c r="AD297" s="5" t="s">
        <v>12</v>
      </c>
      <c r="AE297" s="5" t="s">
        <v>12</v>
      </c>
      <c r="AF297" s="5" t="s">
        <v>12</v>
      </c>
      <c r="AG297" s="5"/>
      <c r="AH297" s="5"/>
      <c r="AI297" s="5"/>
      <c r="AJ297" s="5"/>
      <c r="AK297" s="5"/>
      <c r="AL297" s="5" t="s">
        <v>12</v>
      </c>
      <c r="AM297" s="5" t="s">
        <v>12</v>
      </c>
      <c r="AN297" s="5" t="s">
        <v>12</v>
      </c>
      <c r="AO297" s="5" t="s">
        <v>612</v>
      </c>
      <c r="AP297" s="5" t="s">
        <v>611</v>
      </c>
      <c r="AQ297" s="5" t="s">
        <v>106</v>
      </c>
      <c r="AR297" s="5" t="s">
        <v>105</v>
      </c>
    </row>
    <row r="298" spans="1:44" ht="31.5" x14ac:dyDescent="0.25">
      <c r="A298" s="10">
        <v>46096</v>
      </c>
      <c r="B298" s="5" t="s">
        <v>610</v>
      </c>
      <c r="C298" s="5" t="s">
        <v>1875</v>
      </c>
      <c r="D298" s="5" t="s">
        <v>11</v>
      </c>
      <c r="E298" s="5" t="s">
        <v>1</v>
      </c>
      <c r="F298" s="5" t="s">
        <v>1</v>
      </c>
      <c r="G298" s="5" t="s">
        <v>4158</v>
      </c>
      <c r="H298" s="5" t="s">
        <v>4159</v>
      </c>
      <c r="I298" s="6" t="str">
        <f>HYPERLINK("http://maps.yandex.ru/?ll=39.778454,47.11889&amp;spn=0.011598,0.004531&amp;z=17&amp;l=map&amp;pt=39.778454,47.11889", "47.118896//39.778454")</f>
        <v>47.118896//39.778454</v>
      </c>
      <c r="J298" s="5" t="s">
        <v>64</v>
      </c>
      <c r="K298" s="6" t="str">
        <f>HYPERLINK("http://maps.yandex.ru/?ll=43.003292,44.27313&amp;spn=0.011598,0.004531&amp;z=17&amp;l=map&amp;pt=43.003292,44.27313", "44.273132//43.003292")</f>
        <v>44.273132//43.003292</v>
      </c>
      <c r="L298" s="5" t="s">
        <v>208</v>
      </c>
      <c r="M298" s="5" t="s">
        <v>4160</v>
      </c>
      <c r="N298" s="5" t="s">
        <v>1082</v>
      </c>
      <c r="O298" s="5" t="s">
        <v>352</v>
      </c>
      <c r="P298" s="5">
        <v>26</v>
      </c>
      <c r="Q298" s="5">
        <v>60</v>
      </c>
      <c r="R298" s="5">
        <v>14</v>
      </c>
      <c r="S298" s="5">
        <v>456.99099999999999</v>
      </c>
      <c r="T298" s="5" t="s">
        <v>12</v>
      </c>
      <c r="U298" s="5" t="s">
        <v>12</v>
      </c>
      <c r="V298" s="5" t="s">
        <v>12</v>
      </c>
      <c r="W298" s="5">
        <v>19.04</v>
      </c>
      <c r="X298" s="5">
        <v>73.98</v>
      </c>
      <c r="Y298" s="5">
        <v>122</v>
      </c>
      <c r="Z298" s="5" t="s">
        <v>12</v>
      </c>
      <c r="AA298" s="5" t="s">
        <v>12</v>
      </c>
      <c r="AB298" s="5" t="s">
        <v>12</v>
      </c>
      <c r="AC298" s="5" t="s">
        <v>12</v>
      </c>
      <c r="AD298" s="5" t="s">
        <v>12</v>
      </c>
      <c r="AE298" s="5" t="s">
        <v>12</v>
      </c>
      <c r="AF298" s="5" t="s">
        <v>12</v>
      </c>
      <c r="AG298" s="5"/>
      <c r="AH298" s="5"/>
      <c r="AI298" s="5"/>
      <c r="AJ298" s="5"/>
      <c r="AK298" s="5"/>
      <c r="AL298" s="5" t="s">
        <v>12</v>
      </c>
      <c r="AM298" s="5" t="s">
        <v>12</v>
      </c>
      <c r="AN298" s="5" t="s">
        <v>12</v>
      </c>
      <c r="AO298" s="5" t="s">
        <v>83</v>
      </c>
      <c r="AP298" s="5" t="s">
        <v>82</v>
      </c>
      <c r="AQ298" s="5" t="s">
        <v>408</v>
      </c>
      <c r="AR298" s="5" t="s">
        <v>607</v>
      </c>
    </row>
    <row r="299" spans="1:44" ht="31.5" x14ac:dyDescent="0.25">
      <c r="A299" s="10">
        <v>46096</v>
      </c>
      <c r="B299" s="5" t="s">
        <v>606</v>
      </c>
      <c r="C299" s="5" t="s">
        <v>1876</v>
      </c>
      <c r="D299" s="5" t="s">
        <v>11</v>
      </c>
      <c r="E299" s="5" t="s">
        <v>3</v>
      </c>
      <c r="F299" s="5" t="s">
        <v>3</v>
      </c>
      <c r="G299" s="5" t="s">
        <v>4161</v>
      </c>
      <c r="H299" s="5" t="s">
        <v>4162</v>
      </c>
      <c r="I299" s="6" t="str">
        <f>HYPERLINK("http://maps.yandex.ru/?ll=42.087498,56.24056&amp;spn=0.011598,0.004531&amp;z=17&amp;l=map&amp;pt=42.087498,56.24056", "56.240562//42.087498")</f>
        <v>56.240562//42.087498</v>
      </c>
      <c r="J299" s="5" t="s">
        <v>49</v>
      </c>
      <c r="K299" s="6" t="str">
        <f>HYPERLINK("http://maps.yandex.ru/?ll=30.385784,60.0787&amp;spn=0.011598,0.004531&amp;z=17&amp;l=map&amp;pt=30.385784,60.0787", "60.07879//30.385784")</f>
        <v>60.07879//30.385784</v>
      </c>
      <c r="L299" s="5" t="s">
        <v>22</v>
      </c>
      <c r="M299" s="5" t="s">
        <v>4163</v>
      </c>
      <c r="N299" s="5" t="s">
        <v>273</v>
      </c>
      <c r="O299" s="5" t="s">
        <v>655</v>
      </c>
      <c r="P299" s="5">
        <v>47</v>
      </c>
      <c r="Q299" s="5">
        <v>42</v>
      </c>
      <c r="R299" s="5">
        <v>11</v>
      </c>
      <c r="S299" s="5">
        <v>839.17200000000003</v>
      </c>
      <c r="T299" s="5" t="s">
        <v>12</v>
      </c>
      <c r="U299" s="5" t="s">
        <v>12</v>
      </c>
      <c r="V299" s="5" t="s">
        <v>12</v>
      </c>
      <c r="W299" s="5">
        <v>34.97</v>
      </c>
      <c r="X299" s="5">
        <v>74.62</v>
      </c>
      <c r="Y299" s="5">
        <v>104</v>
      </c>
      <c r="Z299" s="5" t="s">
        <v>1877</v>
      </c>
      <c r="AA299" s="5" t="s">
        <v>1710</v>
      </c>
      <c r="AB299" s="5" t="s">
        <v>19</v>
      </c>
      <c r="AC299" s="5" t="s">
        <v>19</v>
      </c>
      <c r="AD299" s="5" t="s">
        <v>19</v>
      </c>
      <c r="AE299" s="5" t="s">
        <v>1673</v>
      </c>
      <c r="AF299" s="5" t="s">
        <v>12</v>
      </c>
      <c r="AG299" s="5"/>
      <c r="AH299" s="5"/>
      <c r="AI299" s="5"/>
      <c r="AJ299" s="5"/>
      <c r="AK299" s="5"/>
      <c r="AL299" s="5" t="s">
        <v>12</v>
      </c>
      <c r="AM299" s="5" t="s">
        <v>12</v>
      </c>
      <c r="AN299" s="5" t="s">
        <v>12</v>
      </c>
      <c r="AO299" s="5" t="s">
        <v>69</v>
      </c>
      <c r="AP299" s="5" t="s">
        <v>68</v>
      </c>
      <c r="AQ299" s="5" t="s">
        <v>67</v>
      </c>
      <c r="AR299" s="5" t="s">
        <v>66</v>
      </c>
    </row>
    <row r="300" spans="1:44" ht="15.75" x14ac:dyDescent="0.25">
      <c r="A300" s="10">
        <v>46096</v>
      </c>
      <c r="B300" s="5" t="s">
        <v>603</v>
      </c>
      <c r="C300" s="5" t="s">
        <v>1878</v>
      </c>
      <c r="D300" s="5" t="s">
        <v>11</v>
      </c>
      <c r="E300" s="5" t="s">
        <v>3</v>
      </c>
      <c r="F300" s="5" t="s">
        <v>3</v>
      </c>
      <c r="G300" s="5" t="s">
        <v>11</v>
      </c>
      <c r="H300" s="5" t="s">
        <v>11</v>
      </c>
      <c r="I300" s="6" t="str">
        <f>HYPERLINK("http://maps.yandex.ru/?ll=,&amp;spn=0.011598,0.004531&amp;z=17&amp;l=map&amp;pt=,", "")</f>
        <v/>
      </c>
      <c r="J300" s="5" t="s">
        <v>84</v>
      </c>
      <c r="K300" s="6" t="str">
        <f>HYPERLINK("http://maps.yandex.ru/?ll=,&amp;spn=0.011598,0.004531&amp;z=17&amp;l=map&amp;pt=,", "")</f>
        <v/>
      </c>
      <c r="L300" s="5" t="s">
        <v>84</v>
      </c>
      <c r="M300" s="5" t="s">
        <v>13</v>
      </c>
      <c r="N300" s="5" t="s">
        <v>13</v>
      </c>
      <c r="O300" s="5" t="s">
        <v>58</v>
      </c>
      <c r="P300" s="5">
        <v>0</v>
      </c>
      <c r="Q300" s="5">
        <v>0</v>
      </c>
      <c r="R300" s="5">
        <v>100</v>
      </c>
      <c r="S300" s="5">
        <v>0</v>
      </c>
      <c r="T300" s="5" t="s">
        <v>12</v>
      </c>
      <c r="U300" s="5" t="s">
        <v>12</v>
      </c>
      <c r="V300" s="5" t="s">
        <v>12</v>
      </c>
      <c r="W300" s="5">
        <v>0</v>
      </c>
      <c r="X300" s="5">
        <v>0</v>
      </c>
      <c r="Y300" s="5">
        <v>0</v>
      </c>
      <c r="Z300" s="5" t="s">
        <v>12</v>
      </c>
      <c r="AA300" s="5" t="s">
        <v>12</v>
      </c>
      <c r="AB300" s="5" t="s">
        <v>12</v>
      </c>
      <c r="AC300" s="5" t="s">
        <v>12</v>
      </c>
      <c r="AD300" s="5" t="s">
        <v>12</v>
      </c>
      <c r="AE300" s="5" t="s">
        <v>12</v>
      </c>
      <c r="AF300" s="5" t="s">
        <v>12</v>
      </c>
      <c r="AG300" s="5"/>
      <c r="AH300" s="5"/>
      <c r="AI300" s="5"/>
      <c r="AJ300" s="5"/>
      <c r="AK300" s="5"/>
      <c r="AL300" s="5" t="s">
        <v>12</v>
      </c>
      <c r="AM300" s="5" t="s">
        <v>12</v>
      </c>
      <c r="AN300" s="5" t="s">
        <v>12</v>
      </c>
      <c r="AO300" s="5" t="s">
        <v>11</v>
      </c>
      <c r="AP300" s="5" t="s">
        <v>11</v>
      </c>
      <c r="AQ300" s="5" t="s">
        <v>106</v>
      </c>
      <c r="AR300" s="5" t="s">
        <v>105</v>
      </c>
    </row>
    <row r="301" spans="1:44" ht="31.5" x14ac:dyDescent="0.25">
      <c r="A301" s="10">
        <v>46096</v>
      </c>
      <c r="B301" s="5" t="s">
        <v>602</v>
      </c>
      <c r="C301" s="5" t="s">
        <v>1879</v>
      </c>
      <c r="D301" s="5" t="s">
        <v>11</v>
      </c>
      <c r="E301" s="5" t="s">
        <v>40</v>
      </c>
      <c r="F301" s="5" t="s">
        <v>11</v>
      </c>
      <c r="G301" s="5" t="s">
        <v>4164</v>
      </c>
      <c r="H301" s="5" t="s">
        <v>4165</v>
      </c>
      <c r="I301" s="6" t="str">
        <f>HYPERLINK("http://maps.yandex.ru/?ll=30.208864,60.11650&amp;spn=0.011598,0.004531&amp;z=17&amp;l=map&amp;pt=30.208864,60.11650", "60.116505//30.208864")</f>
        <v>60.116505//30.208864</v>
      </c>
      <c r="J301" s="5" t="s">
        <v>23</v>
      </c>
      <c r="K301" s="6" t="str">
        <f>HYPERLINK("http://maps.yandex.ru/?ll=30.657816,59.6661&amp;spn=0.011598,0.004531&amp;z=17&amp;l=map&amp;pt=30.657816,59.6661", "59.66615//30.657816")</f>
        <v>59.66615//30.657816</v>
      </c>
      <c r="L301" s="5" t="s">
        <v>22</v>
      </c>
      <c r="M301" s="5" t="s">
        <v>3435</v>
      </c>
      <c r="N301" s="5" t="s">
        <v>4166</v>
      </c>
      <c r="O301" s="5" t="s">
        <v>13</v>
      </c>
      <c r="P301" s="5">
        <v>9</v>
      </c>
      <c r="Q301" s="5">
        <v>91</v>
      </c>
      <c r="R301" s="5">
        <v>0</v>
      </c>
      <c r="S301" s="5">
        <v>93.456999999999994</v>
      </c>
      <c r="T301" s="5" t="s">
        <v>1621</v>
      </c>
      <c r="U301" s="5" t="s">
        <v>4167</v>
      </c>
      <c r="V301" s="5" t="s">
        <v>4168</v>
      </c>
      <c r="W301" s="5">
        <v>3.89</v>
      </c>
      <c r="X301" s="5">
        <v>44.76</v>
      </c>
      <c r="Y301" s="5">
        <v>94</v>
      </c>
      <c r="Z301" s="5" t="s">
        <v>1881</v>
      </c>
      <c r="AA301" s="5" t="s">
        <v>1541</v>
      </c>
      <c r="AB301" s="5" t="s">
        <v>19</v>
      </c>
      <c r="AC301" s="5" t="s">
        <v>19</v>
      </c>
      <c r="AD301" s="5" t="s">
        <v>19</v>
      </c>
      <c r="AE301" s="5" t="s">
        <v>2188</v>
      </c>
      <c r="AF301" s="5" t="s">
        <v>4169</v>
      </c>
      <c r="AG301" s="5">
        <v>45</v>
      </c>
      <c r="AH301" s="5">
        <v>17</v>
      </c>
      <c r="AI301" s="5">
        <v>28</v>
      </c>
      <c r="AJ301" s="5">
        <v>47.37</v>
      </c>
      <c r="AK301" s="5">
        <v>29.47</v>
      </c>
      <c r="AL301" s="5" t="s">
        <v>12</v>
      </c>
      <c r="AM301" s="5" t="s">
        <v>12</v>
      </c>
      <c r="AN301" s="5" t="s">
        <v>12</v>
      </c>
      <c r="AO301" s="5" t="s">
        <v>11</v>
      </c>
      <c r="AP301" s="5" t="s">
        <v>11</v>
      </c>
      <c r="AQ301" s="5" t="s">
        <v>11</v>
      </c>
      <c r="AR301" s="5" t="s">
        <v>11</v>
      </c>
    </row>
    <row r="302" spans="1:44" ht="15.75" x14ac:dyDescent="0.25">
      <c r="A302" s="10">
        <v>46096</v>
      </c>
      <c r="B302" s="5" t="s">
        <v>601</v>
      </c>
      <c r="C302" s="5" t="s">
        <v>1882</v>
      </c>
      <c r="D302" s="5" t="s">
        <v>11</v>
      </c>
      <c r="E302" s="5" t="s">
        <v>11</v>
      </c>
      <c r="F302" s="5" t="s">
        <v>11</v>
      </c>
      <c r="G302" s="5" t="s">
        <v>11</v>
      </c>
      <c r="H302" s="5" t="s">
        <v>11</v>
      </c>
      <c r="I302" s="6" t="str">
        <f>HYPERLINK("http://maps.yandex.ru/?ll=,&amp;spn=0.011598,0.004531&amp;z=17&amp;l=map&amp;pt=,", "")</f>
        <v/>
      </c>
      <c r="J302" s="5" t="s">
        <v>84</v>
      </c>
      <c r="K302" s="6" t="str">
        <f>HYPERLINK("http://maps.yandex.ru/?ll=,&amp;spn=0.011598,0.004531&amp;z=17&amp;l=map&amp;pt=,", "")</f>
        <v/>
      </c>
      <c r="L302" s="5" t="s">
        <v>84</v>
      </c>
      <c r="M302" s="5" t="s">
        <v>13</v>
      </c>
      <c r="N302" s="5" t="s">
        <v>58</v>
      </c>
      <c r="O302" s="5" t="s">
        <v>13</v>
      </c>
      <c r="P302" s="5">
        <v>0</v>
      </c>
      <c r="Q302" s="5">
        <v>100</v>
      </c>
      <c r="R302" s="5">
        <v>0</v>
      </c>
      <c r="S302" s="5">
        <v>0</v>
      </c>
      <c r="T302" s="5" t="s">
        <v>1673</v>
      </c>
      <c r="U302" s="5" t="s">
        <v>4170</v>
      </c>
      <c r="V302" s="5" t="s">
        <v>1883</v>
      </c>
      <c r="W302" s="5">
        <v>0</v>
      </c>
      <c r="X302" s="5">
        <v>0</v>
      </c>
      <c r="Y302" s="5">
        <v>0</v>
      </c>
      <c r="Z302" s="5" t="s">
        <v>1885</v>
      </c>
      <c r="AA302" s="5" t="s">
        <v>1557</v>
      </c>
      <c r="AB302" s="5" t="s">
        <v>19</v>
      </c>
      <c r="AC302" s="5" t="s">
        <v>19</v>
      </c>
      <c r="AD302" s="5" t="s">
        <v>19</v>
      </c>
      <c r="AE302" s="5" t="s">
        <v>1607</v>
      </c>
      <c r="AF302" s="5" t="s">
        <v>12</v>
      </c>
      <c r="AG302" s="5">
        <v>9</v>
      </c>
      <c r="AH302" s="5">
        <v>9</v>
      </c>
      <c r="AI302" s="5">
        <v>0</v>
      </c>
      <c r="AJ302" s="5">
        <v>900</v>
      </c>
      <c r="AK302" s="5">
        <v>0</v>
      </c>
      <c r="AL302" s="5" t="s">
        <v>12</v>
      </c>
      <c r="AM302" s="5" t="s">
        <v>12</v>
      </c>
      <c r="AN302" s="5" t="s">
        <v>12</v>
      </c>
      <c r="AO302" s="5" t="s">
        <v>11</v>
      </c>
      <c r="AP302" s="5" t="s">
        <v>11</v>
      </c>
      <c r="AQ302" s="5" t="s">
        <v>11</v>
      </c>
      <c r="AR302" s="5" t="s">
        <v>11</v>
      </c>
    </row>
    <row r="303" spans="1:44" ht="31.5" x14ac:dyDescent="0.25">
      <c r="A303" s="10">
        <v>46096</v>
      </c>
      <c r="B303" s="5" t="s">
        <v>600</v>
      </c>
      <c r="C303" s="5" t="s">
        <v>1887</v>
      </c>
      <c r="D303" s="5" t="s">
        <v>11</v>
      </c>
      <c r="E303" s="5" t="s">
        <v>3</v>
      </c>
      <c r="F303" s="5" t="s">
        <v>3</v>
      </c>
      <c r="G303" s="5" t="s">
        <v>4171</v>
      </c>
      <c r="H303" s="5" t="s">
        <v>4172</v>
      </c>
      <c r="I303" s="6" t="str">
        <f>HYPERLINK("http://maps.yandex.ru/?ll=35.301044,56.9724&amp;spn=0.011598,0.004531&amp;z=17&amp;l=map&amp;pt=35.301044,56.9724", "56.97243//35.301044")</f>
        <v>56.97243//35.301044</v>
      </c>
      <c r="J303" s="5" t="s">
        <v>50</v>
      </c>
      <c r="K303" s="6" t="str">
        <f>HYPERLINK("http://maps.yandex.ru/?ll=30.459621,59.7723&amp;spn=0.011598,0.004531&amp;z=17&amp;l=map&amp;pt=30.459621,59.7723", "59.77237//30.459621")</f>
        <v>59.77237//30.459621</v>
      </c>
      <c r="L303" s="5" t="s">
        <v>23</v>
      </c>
      <c r="M303" s="5" t="s">
        <v>207</v>
      </c>
      <c r="N303" s="5" t="s">
        <v>1388</v>
      </c>
      <c r="O303" s="5" t="s">
        <v>13</v>
      </c>
      <c r="P303" s="5">
        <v>27</v>
      </c>
      <c r="Q303" s="5">
        <v>73</v>
      </c>
      <c r="R303" s="5">
        <v>0</v>
      </c>
      <c r="S303" s="5">
        <v>471.89400000000001</v>
      </c>
      <c r="T303" s="5" t="s">
        <v>12</v>
      </c>
      <c r="U303" s="5" t="s">
        <v>12</v>
      </c>
      <c r="V303" s="5" t="s">
        <v>12</v>
      </c>
      <c r="W303" s="5">
        <v>19.66</v>
      </c>
      <c r="X303" s="5">
        <v>71.849999999999994</v>
      </c>
      <c r="Y303" s="5">
        <v>100</v>
      </c>
      <c r="Z303" s="5" t="s">
        <v>1429</v>
      </c>
      <c r="AA303" s="5" t="s">
        <v>2330</v>
      </c>
      <c r="AB303" s="5" t="s">
        <v>19</v>
      </c>
      <c r="AC303" s="5" t="s">
        <v>19</v>
      </c>
      <c r="AD303" s="5" t="s">
        <v>19</v>
      </c>
      <c r="AE303" s="5" t="s">
        <v>2549</v>
      </c>
      <c r="AF303" s="5" t="s">
        <v>12</v>
      </c>
      <c r="AG303" s="5"/>
      <c r="AH303" s="5"/>
      <c r="AI303" s="5"/>
      <c r="AJ303" s="5"/>
      <c r="AK303" s="5"/>
      <c r="AL303" s="5" t="s">
        <v>1890</v>
      </c>
      <c r="AM303" s="5" t="s">
        <v>4173</v>
      </c>
      <c r="AN303" s="5" t="s">
        <v>2253</v>
      </c>
      <c r="AO303" s="5" t="s">
        <v>69</v>
      </c>
      <c r="AP303" s="5" t="s">
        <v>68</v>
      </c>
      <c r="AQ303" s="5" t="s">
        <v>67</v>
      </c>
      <c r="AR303" s="5" t="s">
        <v>66</v>
      </c>
    </row>
    <row r="304" spans="1:44" ht="31.5" x14ac:dyDescent="0.25">
      <c r="A304" s="10">
        <v>46096</v>
      </c>
      <c r="B304" s="5" t="s">
        <v>597</v>
      </c>
      <c r="C304" s="5" t="s">
        <v>1891</v>
      </c>
      <c r="D304" s="5" t="s">
        <v>11</v>
      </c>
      <c r="E304" s="5" t="s">
        <v>3</v>
      </c>
      <c r="F304" s="5" t="s">
        <v>3</v>
      </c>
      <c r="G304" s="5" t="s">
        <v>3103</v>
      </c>
      <c r="H304" s="5" t="s">
        <v>4174</v>
      </c>
      <c r="I304" s="6" t="str">
        <f>HYPERLINK("http://maps.yandex.ru/?ll=41.894516,44.6713&amp;spn=0.011598,0.004531&amp;z=17&amp;l=map&amp;pt=41.894516,44.6713", "44.67139//41.894516")</f>
        <v>44.67139//41.894516</v>
      </c>
      <c r="J304" s="5" t="s">
        <v>208</v>
      </c>
      <c r="K304" s="6" t="str">
        <f>HYPERLINK("http://maps.yandex.ru/?ll=39.986706,50.85421&amp;spn=0.011598,0.004531&amp;z=17&amp;l=map&amp;pt=39.986706,50.85421", "50.854218//39.986706")</f>
        <v>50.854218//39.986706</v>
      </c>
      <c r="L304" s="5" t="s">
        <v>101</v>
      </c>
      <c r="M304" s="5" t="s">
        <v>1484</v>
      </c>
      <c r="N304" s="5" t="s">
        <v>4175</v>
      </c>
      <c r="O304" s="5" t="s">
        <v>457</v>
      </c>
      <c r="P304" s="5">
        <v>45</v>
      </c>
      <c r="Q304" s="5">
        <v>21</v>
      </c>
      <c r="R304" s="5">
        <v>35</v>
      </c>
      <c r="S304" s="5">
        <v>794.88699999999994</v>
      </c>
      <c r="T304" s="5" t="s">
        <v>12</v>
      </c>
      <c r="U304" s="5" t="s">
        <v>12</v>
      </c>
      <c r="V304" s="5" t="s">
        <v>12</v>
      </c>
      <c r="W304" s="5">
        <v>33.119999999999997</v>
      </c>
      <c r="X304" s="5">
        <v>74.400000000000006</v>
      </c>
      <c r="Y304" s="5">
        <v>158</v>
      </c>
      <c r="Z304" s="5" t="s">
        <v>12</v>
      </c>
      <c r="AA304" s="5" t="s">
        <v>12</v>
      </c>
      <c r="AB304" s="5" t="s">
        <v>12</v>
      </c>
      <c r="AC304" s="5" t="s">
        <v>12</v>
      </c>
      <c r="AD304" s="5" t="s">
        <v>12</v>
      </c>
      <c r="AE304" s="5" t="s">
        <v>12</v>
      </c>
      <c r="AF304" s="5" t="s">
        <v>12</v>
      </c>
      <c r="AG304" s="5"/>
      <c r="AH304" s="5"/>
      <c r="AI304" s="5"/>
      <c r="AJ304" s="5"/>
      <c r="AK304" s="5"/>
      <c r="AL304" s="5" t="s">
        <v>1892</v>
      </c>
      <c r="AM304" s="5" t="s">
        <v>4176</v>
      </c>
      <c r="AN304" s="5" t="s">
        <v>1673</v>
      </c>
      <c r="AO304" s="5" t="s">
        <v>69</v>
      </c>
      <c r="AP304" s="5" t="s">
        <v>68</v>
      </c>
      <c r="AQ304" s="5" t="s">
        <v>99</v>
      </c>
      <c r="AR304" s="5" t="s">
        <v>98</v>
      </c>
    </row>
    <row r="305" spans="1:44" ht="31.5" x14ac:dyDescent="0.25">
      <c r="A305" s="10">
        <v>46096</v>
      </c>
      <c r="B305" s="5" t="s">
        <v>596</v>
      </c>
      <c r="C305" s="5" t="s">
        <v>1893</v>
      </c>
      <c r="D305" s="5" t="s">
        <v>11</v>
      </c>
      <c r="E305" s="5" t="s">
        <v>11</v>
      </c>
      <c r="F305" s="5" t="s">
        <v>11</v>
      </c>
      <c r="G305" s="5" t="s">
        <v>4177</v>
      </c>
      <c r="H305" s="5" t="s">
        <v>4178</v>
      </c>
      <c r="I305" s="6" t="str">
        <f>HYPERLINK("http://maps.yandex.ru/?ll=37.64075,55.4841&amp;spn=0.011598,0.004531&amp;z=17&amp;l=map&amp;pt=37.64075,55.4841", "55.48417//37.64075")</f>
        <v>55.48417//37.64075</v>
      </c>
      <c r="J305" s="5" t="s">
        <v>56</v>
      </c>
      <c r="K305" s="6" t="str">
        <f>HYPERLINK("http://maps.yandex.ru/?ll=39.250282,51.82474&amp;spn=0.011598,0.004531&amp;z=17&amp;l=map&amp;pt=39.250282,51.82474", "51.824745//39.250282")</f>
        <v>51.824745//39.250282</v>
      </c>
      <c r="L305" s="5" t="s">
        <v>101</v>
      </c>
      <c r="M305" s="5" t="s">
        <v>308</v>
      </c>
      <c r="N305" s="5" t="s">
        <v>3587</v>
      </c>
      <c r="O305" s="5" t="s">
        <v>4179</v>
      </c>
      <c r="P305" s="5">
        <v>36</v>
      </c>
      <c r="Q305" s="5">
        <v>56</v>
      </c>
      <c r="R305" s="5">
        <v>8</v>
      </c>
      <c r="S305" s="5">
        <v>514.78899999999999</v>
      </c>
      <c r="T305" s="5" t="s">
        <v>12</v>
      </c>
      <c r="U305" s="5" t="s">
        <v>12</v>
      </c>
      <c r="V305" s="5" t="s">
        <v>12</v>
      </c>
      <c r="W305" s="5">
        <v>21.45</v>
      </c>
      <c r="X305" s="5">
        <v>60.18</v>
      </c>
      <c r="Y305" s="5">
        <v>129</v>
      </c>
      <c r="Z305" s="5" t="s">
        <v>1894</v>
      </c>
      <c r="AA305" s="5" t="s">
        <v>1948</v>
      </c>
      <c r="AB305" s="5" t="s">
        <v>19</v>
      </c>
      <c r="AC305" s="5" t="s">
        <v>19</v>
      </c>
      <c r="AD305" s="5" t="s">
        <v>19</v>
      </c>
      <c r="AE305" s="5" t="s">
        <v>1671</v>
      </c>
      <c r="AF305" s="5" t="s">
        <v>12</v>
      </c>
      <c r="AG305" s="5"/>
      <c r="AH305" s="5"/>
      <c r="AI305" s="5"/>
      <c r="AJ305" s="5"/>
      <c r="AK305" s="5"/>
      <c r="AL305" s="5" t="s">
        <v>4180</v>
      </c>
      <c r="AM305" s="5" t="s">
        <v>4181</v>
      </c>
      <c r="AN305" s="5" t="s">
        <v>1673</v>
      </c>
      <c r="AO305" s="5" t="s">
        <v>69</v>
      </c>
      <c r="AP305" s="5" t="s">
        <v>68</v>
      </c>
      <c r="AQ305" s="5" t="s">
        <v>99</v>
      </c>
      <c r="AR305" s="5" t="s">
        <v>407</v>
      </c>
    </row>
    <row r="306" spans="1:44" ht="31.5" x14ac:dyDescent="0.25">
      <c r="A306" s="10">
        <v>46096</v>
      </c>
      <c r="B306" s="5" t="s">
        <v>594</v>
      </c>
      <c r="C306" s="5" t="s">
        <v>1895</v>
      </c>
      <c r="D306" s="5" t="s">
        <v>11</v>
      </c>
      <c r="E306" s="5" t="s">
        <v>11</v>
      </c>
      <c r="F306" s="5" t="s">
        <v>11</v>
      </c>
      <c r="G306" s="5" t="s">
        <v>4182</v>
      </c>
      <c r="H306" s="5" t="s">
        <v>4183</v>
      </c>
      <c r="I306" s="6" t="str">
        <f>HYPERLINK("http://maps.yandex.ru/?ll=37.562363,55.48492&amp;spn=0.011598,0.004531&amp;z=17&amp;l=map&amp;pt=37.562363,55.48492", "55.484924//37.562363")</f>
        <v>55.484924//37.562363</v>
      </c>
      <c r="J306" s="5" t="s">
        <v>23</v>
      </c>
      <c r="K306" s="6" t="str">
        <f>HYPERLINK("http://maps.yandex.ru/?ll=37.879936,55.9797&amp;spn=0.011598,0.004531&amp;z=17&amp;l=map&amp;pt=37.879936,55.9797", "55.97971//37.879936")</f>
        <v>55.97971//37.879936</v>
      </c>
      <c r="L306" s="5" t="s">
        <v>56</v>
      </c>
      <c r="M306" s="5" t="s">
        <v>1433</v>
      </c>
      <c r="N306" s="5" t="s">
        <v>4184</v>
      </c>
      <c r="O306" s="5" t="s">
        <v>181</v>
      </c>
      <c r="P306" s="5">
        <v>11</v>
      </c>
      <c r="Q306" s="5">
        <v>87</v>
      </c>
      <c r="R306" s="5">
        <v>2</v>
      </c>
      <c r="S306" s="5">
        <v>148.29499999999999</v>
      </c>
      <c r="T306" s="5" t="s">
        <v>12</v>
      </c>
      <c r="U306" s="5" t="s">
        <v>12</v>
      </c>
      <c r="V306" s="5" t="s">
        <v>12</v>
      </c>
      <c r="W306" s="5">
        <v>6.18</v>
      </c>
      <c r="X306" s="5">
        <v>57.24</v>
      </c>
      <c r="Y306" s="5">
        <v>126</v>
      </c>
      <c r="Z306" s="5" t="s">
        <v>2029</v>
      </c>
      <c r="AA306" s="5" t="s">
        <v>1620</v>
      </c>
      <c r="AB306" s="5" t="s">
        <v>19</v>
      </c>
      <c r="AC306" s="5" t="s">
        <v>19</v>
      </c>
      <c r="AD306" s="5" t="s">
        <v>19</v>
      </c>
      <c r="AE306" s="5" t="s">
        <v>2337</v>
      </c>
      <c r="AF306" s="5" t="s">
        <v>12</v>
      </c>
      <c r="AG306" s="5"/>
      <c r="AH306" s="5"/>
      <c r="AI306" s="5"/>
      <c r="AJ306" s="5"/>
      <c r="AK306" s="5"/>
      <c r="AL306" s="5" t="s">
        <v>4185</v>
      </c>
      <c r="AM306" s="5" t="s">
        <v>4186</v>
      </c>
      <c r="AN306" s="5" t="s">
        <v>1718</v>
      </c>
      <c r="AO306" s="5" t="s">
        <v>69</v>
      </c>
      <c r="AP306" s="5" t="s">
        <v>68</v>
      </c>
      <c r="AQ306" s="5" t="s">
        <v>99</v>
      </c>
      <c r="AR306" s="5" t="s">
        <v>98</v>
      </c>
    </row>
    <row r="307" spans="1:44" ht="15.75" x14ac:dyDescent="0.25">
      <c r="A307" s="10">
        <v>46096</v>
      </c>
      <c r="B307" s="5" t="s">
        <v>592</v>
      </c>
      <c r="C307" s="5" t="s">
        <v>2074</v>
      </c>
      <c r="D307" s="5" t="s">
        <v>11</v>
      </c>
      <c r="E307" s="5" t="s">
        <v>6</v>
      </c>
      <c r="F307" s="5" t="s">
        <v>6</v>
      </c>
      <c r="G307" s="5" t="s">
        <v>3103</v>
      </c>
      <c r="H307" s="5" t="s">
        <v>4187</v>
      </c>
      <c r="I307" s="6" t="str">
        <f>HYPERLINK("http://maps.yandex.ru/?ll=46.01866,52.0953&amp;spn=0.011598,0.004531&amp;z=17&amp;l=map&amp;pt=46.01866,52.0953", "52.09536//46.01866")</f>
        <v>52.09536//46.01866</v>
      </c>
      <c r="J307" s="5" t="s">
        <v>213</v>
      </c>
      <c r="K307" s="6" t="str">
        <f>HYPERLINK("http://maps.yandex.ru/?ll=50.15584,53.082&amp;spn=0.011598,0.004531&amp;z=17&amp;l=map&amp;pt=50.15584,53.082", "53.0821//50.15584")</f>
        <v>53.0821//50.15584</v>
      </c>
      <c r="L307" s="5" t="s">
        <v>76</v>
      </c>
      <c r="M307" s="5" t="s">
        <v>1428</v>
      </c>
      <c r="N307" s="5" t="s">
        <v>20</v>
      </c>
      <c r="O307" s="5" t="s">
        <v>279</v>
      </c>
      <c r="P307" s="5">
        <v>21</v>
      </c>
      <c r="Q307" s="5">
        <v>47</v>
      </c>
      <c r="R307" s="5">
        <v>31</v>
      </c>
      <c r="S307" s="5">
        <v>321.70400000000001</v>
      </c>
      <c r="T307" s="5" t="s">
        <v>12</v>
      </c>
      <c r="U307" s="5" t="s">
        <v>12</v>
      </c>
      <c r="V307" s="5" t="s">
        <v>12</v>
      </c>
      <c r="W307" s="5">
        <v>13.4</v>
      </c>
      <c r="X307" s="5">
        <v>62.99</v>
      </c>
      <c r="Y307" s="5">
        <v>123</v>
      </c>
      <c r="Z307" s="5" t="s">
        <v>1736</v>
      </c>
      <c r="AA307" s="5" t="s">
        <v>2015</v>
      </c>
      <c r="AB307" s="5" t="s">
        <v>19</v>
      </c>
      <c r="AC307" s="5" t="s">
        <v>19</v>
      </c>
      <c r="AD307" s="5" t="s">
        <v>19</v>
      </c>
      <c r="AE307" s="5" t="s">
        <v>1720</v>
      </c>
      <c r="AF307" s="5" t="s">
        <v>12</v>
      </c>
      <c r="AG307" s="5"/>
      <c r="AH307" s="5"/>
      <c r="AI307" s="5"/>
      <c r="AJ307" s="5"/>
      <c r="AK307" s="5"/>
      <c r="AL307" s="5" t="s">
        <v>19</v>
      </c>
      <c r="AM307" s="5" t="s">
        <v>19</v>
      </c>
      <c r="AN307" s="5" t="s">
        <v>19</v>
      </c>
      <c r="AO307" s="5" t="s">
        <v>69</v>
      </c>
      <c r="AP307" s="5" t="s">
        <v>68</v>
      </c>
      <c r="AQ307" s="5" t="s">
        <v>99</v>
      </c>
      <c r="AR307" s="5" t="s">
        <v>98</v>
      </c>
    </row>
    <row r="308" spans="1:44" ht="31.5" x14ac:dyDescent="0.25">
      <c r="A308" s="10">
        <v>46096</v>
      </c>
      <c r="B308" s="5" t="s">
        <v>590</v>
      </c>
      <c r="C308" s="5" t="s">
        <v>2076</v>
      </c>
      <c r="D308" s="5" t="s">
        <v>11</v>
      </c>
      <c r="E308" s="5" t="s">
        <v>0</v>
      </c>
      <c r="F308" s="5" t="s">
        <v>0</v>
      </c>
      <c r="G308" s="5" t="s">
        <v>4188</v>
      </c>
      <c r="H308" s="5" t="s">
        <v>4189</v>
      </c>
      <c r="I308" s="6" t="str">
        <f>HYPERLINK("http://maps.yandex.ru/?ll=60.78286,56.75736&amp;spn=0.011598,0.004531&amp;z=17&amp;l=map&amp;pt=60.78286,56.75736", "56.757362//60.78286")</f>
        <v>56.757362//60.78286</v>
      </c>
      <c r="J308" s="5" t="s">
        <v>77</v>
      </c>
      <c r="K308" s="6" t="str">
        <f>HYPERLINK("http://maps.yandex.ru/?ll=61.124428,55.16921&amp;spn=0.011598,0.004531&amp;z=17&amp;l=map&amp;pt=61.124428,55.16921", "55.169212//61.124428")</f>
        <v>55.169212//61.124428</v>
      </c>
      <c r="L308" s="5" t="s">
        <v>227</v>
      </c>
      <c r="M308" s="5" t="s">
        <v>4190</v>
      </c>
      <c r="N308" s="5" t="s">
        <v>4191</v>
      </c>
      <c r="O308" s="5" t="s">
        <v>13</v>
      </c>
      <c r="P308" s="5">
        <v>28</v>
      </c>
      <c r="Q308" s="5">
        <v>72</v>
      </c>
      <c r="R308" s="5">
        <v>0</v>
      </c>
      <c r="S308" s="5">
        <v>446.613</v>
      </c>
      <c r="T308" s="5" t="s">
        <v>12</v>
      </c>
      <c r="U308" s="5" t="s">
        <v>12</v>
      </c>
      <c r="V308" s="5" t="s">
        <v>12</v>
      </c>
      <c r="W308" s="5">
        <v>18.61</v>
      </c>
      <c r="X308" s="5">
        <v>65.95</v>
      </c>
      <c r="Y308" s="5">
        <v>115</v>
      </c>
      <c r="Z308" s="5" t="s">
        <v>1912</v>
      </c>
      <c r="AA308" s="5" t="s">
        <v>2307</v>
      </c>
      <c r="AB308" s="5" t="s">
        <v>19</v>
      </c>
      <c r="AC308" s="5" t="s">
        <v>19</v>
      </c>
      <c r="AD308" s="5" t="s">
        <v>19</v>
      </c>
      <c r="AE308" s="5" t="s">
        <v>1698</v>
      </c>
      <c r="AF308" s="5" t="s">
        <v>12</v>
      </c>
      <c r="AG308" s="5"/>
      <c r="AH308" s="5"/>
      <c r="AI308" s="5"/>
      <c r="AJ308" s="5"/>
      <c r="AK308" s="5"/>
      <c r="AL308" s="5" t="s">
        <v>19</v>
      </c>
      <c r="AM308" s="5" t="s">
        <v>19</v>
      </c>
      <c r="AN308" s="5" t="s">
        <v>19</v>
      </c>
      <c r="AO308" s="5" t="s">
        <v>69</v>
      </c>
      <c r="AP308" s="5" t="s">
        <v>68</v>
      </c>
      <c r="AQ308" s="5" t="s">
        <v>99</v>
      </c>
      <c r="AR308" s="5" t="s">
        <v>98</v>
      </c>
    </row>
    <row r="309" spans="1:44" ht="31.5" x14ac:dyDescent="0.25">
      <c r="A309" s="10">
        <v>46096</v>
      </c>
      <c r="B309" s="5" t="s">
        <v>589</v>
      </c>
      <c r="C309" s="5" t="s">
        <v>2077</v>
      </c>
      <c r="D309" s="5" t="s">
        <v>11</v>
      </c>
      <c r="E309" s="5" t="s">
        <v>6</v>
      </c>
      <c r="F309" s="5" t="s">
        <v>6</v>
      </c>
      <c r="G309" s="5" t="s">
        <v>4192</v>
      </c>
      <c r="H309" s="5" t="s">
        <v>3121</v>
      </c>
      <c r="I309" s="6" t="str">
        <f>HYPERLINK("http://maps.yandex.ru/?ll=48.41432,53.0752&amp;spn=0.011598,0.004531&amp;z=17&amp;l=map&amp;pt=48.41432,53.0752", "53.07526//48.41432")</f>
        <v>53.07526//48.41432</v>
      </c>
      <c r="J309" s="5" t="s">
        <v>76</v>
      </c>
      <c r="K309" s="6" t="str">
        <f>HYPERLINK("http://maps.yandex.ru/?ll=44.51443,48.78381&amp;spn=0.011598,0.004531&amp;z=17&amp;l=map&amp;pt=44.51443,48.78381", "48.783813//44.51443")</f>
        <v>48.783813//44.51443</v>
      </c>
      <c r="L309" s="5" t="s">
        <v>95</v>
      </c>
      <c r="M309" s="5" t="s">
        <v>415</v>
      </c>
      <c r="N309" s="5" t="s">
        <v>919</v>
      </c>
      <c r="O309" s="5" t="s">
        <v>696</v>
      </c>
      <c r="P309" s="5">
        <v>38</v>
      </c>
      <c r="Q309" s="5">
        <v>43</v>
      </c>
      <c r="R309" s="5">
        <v>19</v>
      </c>
      <c r="S309" s="5">
        <v>620.89200000000005</v>
      </c>
      <c r="T309" s="5" t="s">
        <v>12</v>
      </c>
      <c r="U309" s="5" t="s">
        <v>12</v>
      </c>
      <c r="V309" s="5" t="s">
        <v>12</v>
      </c>
      <c r="W309" s="5">
        <v>25.87</v>
      </c>
      <c r="X309" s="5">
        <v>67.569999999999993</v>
      </c>
      <c r="Y309" s="5">
        <v>118</v>
      </c>
      <c r="Z309" s="5" t="s">
        <v>1540</v>
      </c>
      <c r="AA309" s="5" t="s">
        <v>1540</v>
      </c>
      <c r="AB309" s="5" t="s">
        <v>19</v>
      </c>
      <c r="AC309" s="5" t="s">
        <v>19</v>
      </c>
      <c r="AD309" s="5" t="s">
        <v>19</v>
      </c>
      <c r="AE309" s="5" t="s">
        <v>19</v>
      </c>
      <c r="AF309" s="5" t="s">
        <v>12</v>
      </c>
      <c r="AG309" s="5"/>
      <c r="AH309" s="5"/>
      <c r="AI309" s="5"/>
      <c r="AJ309" s="5"/>
      <c r="AK309" s="5"/>
      <c r="AL309" s="5" t="s">
        <v>12</v>
      </c>
      <c r="AM309" s="5" t="s">
        <v>12</v>
      </c>
      <c r="AN309" s="5" t="s">
        <v>12</v>
      </c>
      <c r="AO309" s="5" t="s">
        <v>69</v>
      </c>
      <c r="AP309" s="5" t="s">
        <v>68</v>
      </c>
      <c r="AQ309" s="5" t="s">
        <v>99</v>
      </c>
      <c r="AR309" s="5" t="s">
        <v>98</v>
      </c>
    </row>
    <row r="310" spans="1:44" ht="31.5" x14ac:dyDescent="0.25">
      <c r="A310" s="10">
        <v>46096</v>
      </c>
      <c r="B310" s="5" t="s">
        <v>587</v>
      </c>
      <c r="C310" s="5" t="s">
        <v>2078</v>
      </c>
      <c r="D310" s="5" t="s">
        <v>11</v>
      </c>
      <c r="E310" s="5" t="s">
        <v>7</v>
      </c>
      <c r="F310" s="5" t="s">
        <v>7</v>
      </c>
      <c r="G310" s="5" t="s">
        <v>3103</v>
      </c>
      <c r="H310" s="5" t="s">
        <v>3121</v>
      </c>
      <c r="I310" s="6" t="str">
        <f>HYPERLINK("http://maps.yandex.ru/?ll=34.312145,53.23911&amp;spn=0.011598,0.004531&amp;z=17&amp;l=map&amp;pt=34.312145,53.23911", "53.239117//34.312145")</f>
        <v>53.239117//34.312145</v>
      </c>
      <c r="J310" s="5" t="s">
        <v>3143</v>
      </c>
      <c r="K310" s="6" t="str">
        <f>HYPERLINK("http://maps.yandex.ru/?ll=34.316162,53.2409&amp;spn=0.011598,0.004531&amp;z=17&amp;l=map&amp;pt=34.316162,53.2409", "53.24098//34.316162")</f>
        <v>53.24098//34.316162</v>
      </c>
      <c r="L310" s="5" t="s">
        <v>3143</v>
      </c>
      <c r="M310" s="5" t="s">
        <v>3915</v>
      </c>
      <c r="N310" s="5" t="s">
        <v>13</v>
      </c>
      <c r="O310" s="5" t="s">
        <v>4193</v>
      </c>
      <c r="P310" s="5">
        <v>45</v>
      </c>
      <c r="Q310" s="5">
        <v>0</v>
      </c>
      <c r="R310" s="5">
        <v>55</v>
      </c>
      <c r="S310" s="5">
        <v>2549.5039999999999</v>
      </c>
      <c r="T310" s="5" t="s">
        <v>12</v>
      </c>
      <c r="U310" s="5" t="s">
        <v>12</v>
      </c>
      <c r="V310" s="5" t="s">
        <v>12</v>
      </c>
      <c r="W310" s="5">
        <v>106.23</v>
      </c>
      <c r="X310" s="5">
        <v>234.34</v>
      </c>
      <c r="Y310" s="5">
        <v>105</v>
      </c>
      <c r="Z310" s="5" t="s">
        <v>1715</v>
      </c>
      <c r="AA310" s="5" t="s">
        <v>2307</v>
      </c>
      <c r="AB310" s="5" t="s">
        <v>19</v>
      </c>
      <c r="AC310" s="5" t="s">
        <v>19</v>
      </c>
      <c r="AD310" s="5" t="s">
        <v>19</v>
      </c>
      <c r="AE310" s="5" t="s">
        <v>1720</v>
      </c>
      <c r="AF310" s="5" t="s">
        <v>12</v>
      </c>
      <c r="AG310" s="5"/>
      <c r="AH310" s="5"/>
      <c r="AI310" s="5"/>
      <c r="AJ310" s="5"/>
      <c r="AK310" s="5"/>
      <c r="AL310" s="5" t="s">
        <v>2079</v>
      </c>
      <c r="AM310" s="5" t="s">
        <v>4194</v>
      </c>
      <c r="AN310" s="5" t="s">
        <v>1671</v>
      </c>
      <c r="AO310" s="5" t="s">
        <v>115</v>
      </c>
      <c r="AP310" s="5" t="s">
        <v>114</v>
      </c>
      <c r="AQ310" s="5" t="s">
        <v>99</v>
      </c>
      <c r="AR310" s="5" t="s">
        <v>98</v>
      </c>
    </row>
    <row r="311" spans="1:44" ht="31.5" x14ac:dyDescent="0.25">
      <c r="A311" s="10">
        <v>46096</v>
      </c>
      <c r="B311" s="5" t="s">
        <v>586</v>
      </c>
      <c r="C311" s="5" t="s">
        <v>2080</v>
      </c>
      <c r="D311" s="5" t="s">
        <v>11</v>
      </c>
      <c r="E311" s="5" t="s">
        <v>6</v>
      </c>
      <c r="F311" s="5" t="s">
        <v>6</v>
      </c>
      <c r="G311" s="5" t="s">
        <v>3103</v>
      </c>
      <c r="H311" s="5" t="s">
        <v>4195</v>
      </c>
      <c r="I311" s="6" t="str">
        <f>HYPERLINK("http://maps.yandex.ru/?ll=35.836617,52.20391&amp;spn=0.011598,0.004531&amp;z=17&amp;l=map&amp;pt=35.836617,52.20391", "52.203915//35.836617")</f>
        <v>52.203915//35.836617</v>
      </c>
      <c r="J311" s="5" t="s">
        <v>176</v>
      </c>
      <c r="K311" s="6" t="str">
        <f>HYPERLINK("http://maps.yandex.ru/?ll=34.039413,53.1418&amp;spn=0.011598,0.004531&amp;z=17&amp;l=map&amp;pt=34.039413,53.1418", "53.14184//34.039413")</f>
        <v>53.14184//34.039413</v>
      </c>
      <c r="L311" s="5" t="s">
        <v>3143</v>
      </c>
      <c r="M311" s="5" t="s">
        <v>352</v>
      </c>
      <c r="N311" s="5" t="s">
        <v>1403</v>
      </c>
      <c r="O311" s="5" t="s">
        <v>3866</v>
      </c>
      <c r="P311" s="5">
        <v>14</v>
      </c>
      <c r="Q311" s="5">
        <v>25</v>
      </c>
      <c r="R311" s="5">
        <v>61</v>
      </c>
      <c r="S311" s="5">
        <v>226.53399999999999</v>
      </c>
      <c r="T311" s="5" t="s">
        <v>12</v>
      </c>
      <c r="U311" s="5" t="s">
        <v>12</v>
      </c>
      <c r="V311" s="5" t="s">
        <v>12</v>
      </c>
      <c r="W311" s="5">
        <v>9.44</v>
      </c>
      <c r="X311" s="5">
        <v>67.17</v>
      </c>
      <c r="Y311" s="5">
        <v>200</v>
      </c>
      <c r="Z311" s="5" t="s">
        <v>2865</v>
      </c>
      <c r="AA311" s="5" t="s">
        <v>1669</v>
      </c>
      <c r="AB311" s="5" t="s">
        <v>1621</v>
      </c>
      <c r="AC311" s="5" t="s">
        <v>1673</v>
      </c>
      <c r="AD311" s="5" t="s">
        <v>19</v>
      </c>
      <c r="AE311" s="5" t="s">
        <v>1788</v>
      </c>
      <c r="AF311" s="5" t="s">
        <v>12</v>
      </c>
      <c r="AG311" s="5"/>
      <c r="AH311" s="5"/>
      <c r="AI311" s="5"/>
      <c r="AJ311" s="5"/>
      <c r="AK311" s="5"/>
      <c r="AL311" s="5" t="s">
        <v>2083</v>
      </c>
      <c r="AM311" s="5" t="s">
        <v>4196</v>
      </c>
      <c r="AN311" s="5" t="s">
        <v>2195</v>
      </c>
      <c r="AO311" s="5" t="s">
        <v>115</v>
      </c>
      <c r="AP311" s="5" t="s">
        <v>114</v>
      </c>
      <c r="AQ311" s="5" t="s">
        <v>99</v>
      </c>
      <c r="AR311" s="5" t="s">
        <v>98</v>
      </c>
    </row>
    <row r="312" spans="1:44" ht="15.75" x14ac:dyDescent="0.25">
      <c r="A312" s="10">
        <v>46096</v>
      </c>
      <c r="B312" s="5" t="s">
        <v>583</v>
      </c>
      <c r="C312" s="5" t="s">
        <v>2084</v>
      </c>
      <c r="D312" s="5" t="s">
        <v>11</v>
      </c>
      <c r="E312" s="5" t="s">
        <v>6</v>
      </c>
      <c r="F312" s="5" t="s">
        <v>6</v>
      </c>
      <c r="G312" s="5" t="s">
        <v>11</v>
      </c>
      <c r="H312" s="5" t="s">
        <v>11</v>
      </c>
      <c r="I312" s="6" t="str">
        <f>HYPERLINK("http://maps.yandex.ru/?ll=,&amp;spn=0.011598,0.004531&amp;z=17&amp;l=map&amp;pt=,", "")</f>
        <v/>
      </c>
      <c r="J312" s="5" t="s">
        <v>84</v>
      </c>
      <c r="K312" s="6" t="str">
        <f>HYPERLINK("http://maps.yandex.ru/?ll=,&amp;spn=0.011598,0.004531&amp;z=17&amp;l=map&amp;pt=,", "")</f>
        <v/>
      </c>
      <c r="L312" s="5" t="s">
        <v>84</v>
      </c>
      <c r="M312" s="5" t="s">
        <v>13</v>
      </c>
      <c r="N312" s="5" t="s">
        <v>58</v>
      </c>
      <c r="O312" s="5" t="s">
        <v>13</v>
      </c>
      <c r="P312" s="5">
        <v>0</v>
      </c>
      <c r="Q312" s="5">
        <v>100</v>
      </c>
      <c r="R312" s="5">
        <v>0</v>
      </c>
      <c r="S312" s="5">
        <v>0</v>
      </c>
      <c r="T312" s="5" t="s">
        <v>1673</v>
      </c>
      <c r="U312" s="5" t="s">
        <v>4197</v>
      </c>
      <c r="V312" s="5" t="s">
        <v>4198</v>
      </c>
      <c r="W312" s="5">
        <v>0</v>
      </c>
      <c r="X312" s="5">
        <v>0</v>
      </c>
      <c r="Y312" s="5">
        <v>0</v>
      </c>
      <c r="Z312" s="5" t="s">
        <v>1603</v>
      </c>
      <c r="AA312" s="5" t="s">
        <v>3017</v>
      </c>
      <c r="AB312" s="5" t="s">
        <v>19</v>
      </c>
      <c r="AC312" s="5" t="s">
        <v>19</v>
      </c>
      <c r="AD312" s="5" t="s">
        <v>19</v>
      </c>
      <c r="AE312" s="5" t="s">
        <v>1695</v>
      </c>
      <c r="AF312" s="5" t="s">
        <v>12</v>
      </c>
      <c r="AG312" s="5">
        <v>6</v>
      </c>
      <c r="AH312" s="5">
        <v>6</v>
      </c>
      <c r="AI312" s="5">
        <v>0</v>
      </c>
      <c r="AJ312" s="5">
        <v>600</v>
      </c>
      <c r="AK312" s="5">
        <v>0</v>
      </c>
      <c r="AL312" s="5" t="s">
        <v>12</v>
      </c>
      <c r="AM312" s="5" t="s">
        <v>12</v>
      </c>
      <c r="AN312" s="5" t="s">
        <v>12</v>
      </c>
      <c r="AO312" s="5" t="s">
        <v>11</v>
      </c>
      <c r="AP312" s="5" t="s">
        <v>11</v>
      </c>
      <c r="AQ312" s="5" t="s">
        <v>18</v>
      </c>
      <c r="AR312" s="5" t="s">
        <v>17</v>
      </c>
    </row>
    <row r="313" spans="1:44" ht="15.75" x14ac:dyDescent="0.25">
      <c r="A313" s="10">
        <v>46096</v>
      </c>
      <c r="B313" s="5" t="s">
        <v>580</v>
      </c>
      <c r="C313" s="5" t="s">
        <v>2087</v>
      </c>
      <c r="D313" s="5" t="s">
        <v>11</v>
      </c>
      <c r="E313" s="5" t="s">
        <v>5</v>
      </c>
      <c r="F313" s="5" t="s">
        <v>5</v>
      </c>
      <c r="G313" s="5" t="s">
        <v>11</v>
      </c>
      <c r="H313" s="5" t="s">
        <v>11</v>
      </c>
      <c r="I313" s="6" t="str">
        <f>HYPERLINK("http://maps.yandex.ru/?ll=,&amp;spn=0.011598,0.004531&amp;z=17&amp;l=map&amp;pt=,", "")</f>
        <v/>
      </c>
      <c r="J313" s="5" t="s">
        <v>84</v>
      </c>
      <c r="K313" s="6" t="str">
        <f>HYPERLINK("http://maps.yandex.ru/?ll=,&amp;spn=0.011598,0.004531&amp;z=17&amp;l=map&amp;pt=,", "")</f>
        <v/>
      </c>
      <c r="L313" s="5" t="s">
        <v>84</v>
      </c>
      <c r="M313" s="5" t="s">
        <v>13</v>
      </c>
      <c r="N313" s="5" t="s">
        <v>58</v>
      </c>
      <c r="O313" s="5" t="s">
        <v>13</v>
      </c>
      <c r="P313" s="5">
        <v>0</v>
      </c>
      <c r="Q313" s="5">
        <v>100</v>
      </c>
      <c r="R313" s="5">
        <v>0</v>
      </c>
      <c r="S313" s="5">
        <v>0</v>
      </c>
      <c r="T313" s="5" t="s">
        <v>1673</v>
      </c>
      <c r="U313" s="5" t="s">
        <v>4199</v>
      </c>
      <c r="V313" s="5" t="s">
        <v>2088</v>
      </c>
      <c r="W313" s="5">
        <v>0</v>
      </c>
      <c r="X313" s="5">
        <v>0</v>
      </c>
      <c r="Y313" s="5">
        <v>0</v>
      </c>
      <c r="Z313" s="5" t="s">
        <v>2090</v>
      </c>
      <c r="AA313" s="5" t="s">
        <v>2598</v>
      </c>
      <c r="AB313" s="5" t="s">
        <v>19</v>
      </c>
      <c r="AC313" s="5" t="s">
        <v>19</v>
      </c>
      <c r="AD313" s="5" t="s">
        <v>19</v>
      </c>
      <c r="AE313" s="5" t="s">
        <v>1698</v>
      </c>
      <c r="AF313" s="5" t="s">
        <v>12</v>
      </c>
      <c r="AG313" s="5">
        <v>9</v>
      </c>
      <c r="AH313" s="5">
        <v>9</v>
      </c>
      <c r="AI313" s="5">
        <v>0</v>
      </c>
      <c r="AJ313" s="5">
        <v>900</v>
      </c>
      <c r="AK313" s="5">
        <v>0</v>
      </c>
      <c r="AL313" s="5" t="s">
        <v>12</v>
      </c>
      <c r="AM313" s="5" t="s">
        <v>12</v>
      </c>
      <c r="AN313" s="5" t="s">
        <v>12</v>
      </c>
      <c r="AO313" s="5" t="s">
        <v>11</v>
      </c>
      <c r="AP313" s="5" t="s">
        <v>11</v>
      </c>
      <c r="AQ313" s="5" t="s">
        <v>384</v>
      </c>
      <c r="AR313" s="5" t="s">
        <v>383</v>
      </c>
    </row>
    <row r="314" spans="1:44" ht="31.5" x14ac:dyDescent="0.25">
      <c r="A314" s="10">
        <v>46096</v>
      </c>
      <c r="B314" s="5" t="s">
        <v>577</v>
      </c>
      <c r="C314" s="5" t="s">
        <v>2091</v>
      </c>
      <c r="D314" s="5" t="s">
        <v>11</v>
      </c>
      <c r="E314" s="5" t="s">
        <v>40</v>
      </c>
      <c r="F314" s="5" t="s">
        <v>11</v>
      </c>
      <c r="G314" s="5" t="s">
        <v>4200</v>
      </c>
      <c r="H314" s="5" t="s">
        <v>4201</v>
      </c>
      <c r="I314" s="6" t="str">
        <f>HYPERLINK("http://maps.yandex.ru/?ll=40.237473,56.0721&amp;spn=0.011598,0.004531&amp;z=17&amp;l=map&amp;pt=40.237473,56.0721", "56.07212//40.237473")</f>
        <v>56.07212//40.237473</v>
      </c>
      <c r="J314" s="5" t="s">
        <v>49</v>
      </c>
      <c r="K314" s="6" t="str">
        <f>HYPERLINK("http://maps.yandex.ru/?ll=37.3417,56.09532&amp;spn=0.011598,0.004531&amp;z=17&amp;l=map&amp;pt=37.3417,56.09532", "56.095325//37.3417")</f>
        <v>56.095325//37.3417</v>
      </c>
      <c r="L314" s="5" t="s">
        <v>56</v>
      </c>
      <c r="M314" s="5" t="s">
        <v>1393</v>
      </c>
      <c r="N314" s="5" t="s">
        <v>4202</v>
      </c>
      <c r="O314" s="5" t="s">
        <v>775</v>
      </c>
      <c r="P314" s="5">
        <v>13</v>
      </c>
      <c r="Q314" s="5">
        <v>85</v>
      </c>
      <c r="R314" s="5">
        <v>2</v>
      </c>
      <c r="S314" s="5">
        <v>215.114</v>
      </c>
      <c r="T314" s="5" t="s">
        <v>1858</v>
      </c>
      <c r="U314" s="5" t="s">
        <v>4203</v>
      </c>
      <c r="V314" s="5" t="s">
        <v>4204</v>
      </c>
      <c r="W314" s="5">
        <v>8.9600000000000009</v>
      </c>
      <c r="X314" s="5">
        <v>68.040000000000006</v>
      </c>
      <c r="Y314" s="5">
        <v>97</v>
      </c>
      <c r="Z314" s="5" t="s">
        <v>12</v>
      </c>
      <c r="AA314" s="5" t="s">
        <v>12</v>
      </c>
      <c r="AB314" s="5" t="s">
        <v>19</v>
      </c>
      <c r="AC314" s="5" t="s">
        <v>19</v>
      </c>
      <c r="AD314" s="5" t="s">
        <v>19</v>
      </c>
      <c r="AE314" s="5" t="s">
        <v>12</v>
      </c>
      <c r="AF314" s="5" t="s">
        <v>12</v>
      </c>
      <c r="AG314" s="5">
        <v>74</v>
      </c>
      <c r="AH314" s="5">
        <v>1</v>
      </c>
      <c r="AI314" s="5">
        <v>73</v>
      </c>
      <c r="AJ314" s="5">
        <v>33.479999999999997</v>
      </c>
      <c r="AK314" s="5">
        <v>33.03</v>
      </c>
      <c r="AL314" s="5" t="s">
        <v>12</v>
      </c>
      <c r="AM314" s="5" t="s">
        <v>12</v>
      </c>
      <c r="AN314" s="5" t="s">
        <v>12</v>
      </c>
      <c r="AO314" s="5" t="s">
        <v>11</v>
      </c>
      <c r="AP314" s="5" t="s">
        <v>11</v>
      </c>
      <c r="AQ314" s="5" t="s">
        <v>384</v>
      </c>
      <c r="AR314" s="5" t="s">
        <v>383</v>
      </c>
    </row>
    <row r="315" spans="1:44" ht="15.75" x14ac:dyDescent="0.25">
      <c r="A315" s="10">
        <v>46096</v>
      </c>
      <c r="B315" s="5" t="s">
        <v>576</v>
      </c>
      <c r="C315" s="5" t="s">
        <v>2092</v>
      </c>
      <c r="D315" s="5" t="s">
        <v>11</v>
      </c>
      <c r="E315" s="5" t="s">
        <v>7</v>
      </c>
      <c r="F315" s="5" t="s">
        <v>7</v>
      </c>
      <c r="G315" s="5" t="s">
        <v>4205</v>
      </c>
      <c r="H315" s="5" t="s">
        <v>4206</v>
      </c>
      <c r="I315" s="6" t="str">
        <f>HYPERLINK("http://maps.yandex.ru/?ll=44.51572,48.7848&amp;spn=0.011598,0.004531&amp;z=17&amp;l=map&amp;pt=44.51572,48.7848", "48.78484//44.51572")</f>
        <v>48.78484//44.51572</v>
      </c>
      <c r="J315" s="5" t="s">
        <v>95</v>
      </c>
      <c r="K315" s="6" t="str">
        <f>HYPERLINK("http://maps.yandex.ru/?ll=42.05625,51.2925&amp;spn=0.011598,0.004531&amp;z=17&amp;l=map&amp;pt=42.05625,51.2925", "51.29256//42.05625")</f>
        <v>51.29256//42.05625</v>
      </c>
      <c r="L315" s="5" t="s">
        <v>101</v>
      </c>
      <c r="M315" s="5" t="s">
        <v>3335</v>
      </c>
      <c r="N315" s="5" t="s">
        <v>4207</v>
      </c>
      <c r="O315" s="5" t="s">
        <v>13</v>
      </c>
      <c r="P315" s="5">
        <v>24</v>
      </c>
      <c r="Q315" s="5">
        <v>76</v>
      </c>
      <c r="R315" s="5">
        <v>0</v>
      </c>
      <c r="S315" s="5">
        <v>372.19</v>
      </c>
      <c r="T315" s="5" t="s">
        <v>12</v>
      </c>
      <c r="U315" s="5" t="s">
        <v>12</v>
      </c>
      <c r="V315" s="5" t="s">
        <v>12</v>
      </c>
      <c r="W315" s="5">
        <v>15.51</v>
      </c>
      <c r="X315" s="5">
        <v>64.180000000000007</v>
      </c>
      <c r="Y315" s="5">
        <v>126</v>
      </c>
      <c r="Z315" s="5" t="s">
        <v>2093</v>
      </c>
      <c r="AA315" s="5" t="s">
        <v>2026</v>
      </c>
      <c r="AB315" s="5" t="s">
        <v>19</v>
      </c>
      <c r="AC315" s="5" t="s">
        <v>19</v>
      </c>
      <c r="AD315" s="5" t="s">
        <v>19</v>
      </c>
      <c r="AE315" s="5" t="s">
        <v>1607</v>
      </c>
      <c r="AF315" s="5" t="s">
        <v>12</v>
      </c>
      <c r="AG315" s="5"/>
      <c r="AH315" s="5"/>
      <c r="AI315" s="5"/>
      <c r="AJ315" s="5"/>
      <c r="AK315" s="5"/>
      <c r="AL315" s="5" t="s">
        <v>2095</v>
      </c>
      <c r="AM315" s="5" t="s">
        <v>4208</v>
      </c>
      <c r="AN315" s="5" t="s">
        <v>1870</v>
      </c>
      <c r="AO315" s="5" t="s">
        <v>115</v>
      </c>
      <c r="AP315" s="5" t="s">
        <v>114</v>
      </c>
      <c r="AQ315" s="5" t="s">
        <v>99</v>
      </c>
      <c r="AR315" s="5" t="s">
        <v>98</v>
      </c>
    </row>
    <row r="316" spans="1:44" ht="31.5" x14ac:dyDescent="0.25">
      <c r="A316" s="10">
        <v>46096</v>
      </c>
      <c r="B316" s="5" t="s">
        <v>510</v>
      </c>
      <c r="C316" s="5" t="s">
        <v>2254</v>
      </c>
      <c r="D316" s="5" t="s">
        <v>11</v>
      </c>
      <c r="E316" s="5" t="s">
        <v>0</v>
      </c>
      <c r="F316" s="5" t="s">
        <v>0</v>
      </c>
      <c r="G316" s="5" t="s">
        <v>4209</v>
      </c>
      <c r="H316" s="5" t="s">
        <v>4210</v>
      </c>
      <c r="I316" s="6" t="str">
        <f>HYPERLINK("http://maps.yandex.ru/?ll=60.782673,56.75729&amp;spn=0.011598,0.004531&amp;z=17&amp;l=map&amp;pt=60.782673,56.75729", "56.757298//60.782673")</f>
        <v>56.757298//60.782673</v>
      </c>
      <c r="J316" s="5" t="s">
        <v>77</v>
      </c>
      <c r="K316" s="6" t="str">
        <f>HYPERLINK("http://maps.yandex.ru/?ll=61.12412,55.16922&amp;spn=0.011598,0.004531&amp;z=17&amp;l=map&amp;pt=61.12412,55.16922", "55.169228//61.12412")</f>
        <v>55.169228//61.12412</v>
      </c>
      <c r="L316" s="5" t="s">
        <v>227</v>
      </c>
      <c r="M316" s="5" t="s">
        <v>3951</v>
      </c>
      <c r="N316" s="5" t="s">
        <v>4211</v>
      </c>
      <c r="O316" s="5" t="s">
        <v>13</v>
      </c>
      <c r="P316" s="5">
        <v>28</v>
      </c>
      <c r="Q316" s="5">
        <v>72</v>
      </c>
      <c r="R316" s="5">
        <v>0</v>
      </c>
      <c r="S316" s="5">
        <v>447.95499999999998</v>
      </c>
      <c r="T316" s="5" t="s">
        <v>2591</v>
      </c>
      <c r="U316" s="5" t="s">
        <v>4212</v>
      </c>
      <c r="V316" s="5" t="s">
        <v>4213</v>
      </c>
      <c r="W316" s="5">
        <v>18.670000000000002</v>
      </c>
      <c r="X316" s="5">
        <v>65.599999999999994</v>
      </c>
      <c r="Y316" s="5">
        <v>116</v>
      </c>
      <c r="Z316" s="5" t="s">
        <v>2255</v>
      </c>
      <c r="AA316" s="5" t="s">
        <v>2493</v>
      </c>
      <c r="AB316" s="5" t="s">
        <v>19</v>
      </c>
      <c r="AC316" s="5" t="s">
        <v>19</v>
      </c>
      <c r="AD316" s="5" t="s">
        <v>19</v>
      </c>
      <c r="AE316" s="5" t="s">
        <v>1823</v>
      </c>
      <c r="AF316" s="5" t="s">
        <v>4214</v>
      </c>
      <c r="AG316" s="5">
        <v>128</v>
      </c>
      <c r="AH316" s="5">
        <v>5</v>
      </c>
      <c r="AI316" s="5">
        <v>123</v>
      </c>
      <c r="AJ316" s="5">
        <v>28.32</v>
      </c>
      <c r="AK316" s="5">
        <v>27.21</v>
      </c>
      <c r="AL316" s="5" t="s">
        <v>12</v>
      </c>
      <c r="AM316" s="5" t="s">
        <v>12</v>
      </c>
      <c r="AN316" s="5" t="s">
        <v>12</v>
      </c>
      <c r="AO316" s="5" t="s">
        <v>11</v>
      </c>
      <c r="AP316" s="5" t="s">
        <v>11</v>
      </c>
      <c r="AQ316" s="5" t="s">
        <v>18</v>
      </c>
      <c r="AR316" s="5" t="s">
        <v>17</v>
      </c>
    </row>
    <row r="317" spans="1:44" ht="31.5" x14ac:dyDescent="0.25">
      <c r="A317" s="10">
        <v>46096</v>
      </c>
      <c r="B317" s="5" t="s">
        <v>508</v>
      </c>
      <c r="C317" s="5" t="s">
        <v>2256</v>
      </c>
      <c r="D317" s="5" t="s">
        <v>11</v>
      </c>
      <c r="E317" s="5" t="s">
        <v>6</v>
      </c>
      <c r="F317" s="5" t="s">
        <v>6</v>
      </c>
      <c r="G317" s="5" t="s">
        <v>4215</v>
      </c>
      <c r="H317" s="5" t="s">
        <v>4216</v>
      </c>
      <c r="I317" s="6" t="str">
        <f>HYPERLINK("http://maps.yandex.ru/?ll=37.955902,55.0116&amp;spn=0.011598,0.004531&amp;z=17&amp;l=map&amp;pt=37.955902,55.0116", "55.01169//37.955902")</f>
        <v>55.01169//37.955902</v>
      </c>
      <c r="J317" s="5" t="s">
        <v>56</v>
      </c>
      <c r="K317" s="6" t="str">
        <f>HYPERLINK("http://maps.yandex.ru/?ll=39.525192,52.61435&amp;spn=0.011598,0.004531&amp;z=17&amp;l=map&amp;pt=39.525192,52.61435", "52.614353//39.525192")</f>
        <v>52.614353//39.525192</v>
      </c>
      <c r="L317" s="5" t="s">
        <v>151</v>
      </c>
      <c r="M317" s="5" t="s">
        <v>4217</v>
      </c>
      <c r="N317" s="5" t="s">
        <v>4218</v>
      </c>
      <c r="O317" s="5" t="s">
        <v>1384</v>
      </c>
      <c r="P317" s="5">
        <v>15</v>
      </c>
      <c r="Q317" s="5">
        <v>75</v>
      </c>
      <c r="R317" s="5">
        <v>11</v>
      </c>
      <c r="S317" s="5">
        <v>291.68099999999998</v>
      </c>
      <c r="T317" s="5" t="s">
        <v>12</v>
      </c>
      <c r="U317" s="5" t="s">
        <v>12</v>
      </c>
      <c r="V317" s="5" t="s">
        <v>12</v>
      </c>
      <c r="W317" s="5">
        <v>12.15</v>
      </c>
      <c r="X317" s="5">
        <v>83.62</v>
      </c>
      <c r="Y317" s="5">
        <v>108</v>
      </c>
      <c r="Z317" s="5" t="s">
        <v>2006</v>
      </c>
      <c r="AA317" s="5" t="s">
        <v>1736</v>
      </c>
      <c r="AB317" s="5" t="s">
        <v>19</v>
      </c>
      <c r="AC317" s="5" t="s">
        <v>19</v>
      </c>
      <c r="AD317" s="5" t="s">
        <v>19</v>
      </c>
      <c r="AE317" s="5" t="s">
        <v>1615</v>
      </c>
      <c r="AF317" s="5" t="s">
        <v>12</v>
      </c>
      <c r="AG317" s="5"/>
      <c r="AH317" s="5"/>
      <c r="AI317" s="5"/>
      <c r="AJ317" s="5"/>
      <c r="AK317" s="5"/>
      <c r="AL317" s="5" t="s">
        <v>12</v>
      </c>
      <c r="AM317" s="5" t="s">
        <v>12</v>
      </c>
      <c r="AN317" s="5" t="s">
        <v>12</v>
      </c>
      <c r="AO317" s="5" t="s">
        <v>69</v>
      </c>
      <c r="AP317" s="5" t="s">
        <v>68</v>
      </c>
      <c r="AQ317" s="5" t="s">
        <v>99</v>
      </c>
      <c r="AR317" s="5" t="s">
        <v>98</v>
      </c>
    </row>
    <row r="318" spans="1:44" ht="15.75" x14ac:dyDescent="0.25">
      <c r="A318" s="10">
        <v>46096</v>
      </c>
      <c r="B318" s="5" t="s">
        <v>506</v>
      </c>
      <c r="C318" s="5" t="s">
        <v>2258</v>
      </c>
      <c r="D318" s="5" t="s">
        <v>11</v>
      </c>
      <c r="E318" s="5" t="s">
        <v>8</v>
      </c>
      <c r="F318" s="5" t="s">
        <v>8</v>
      </c>
      <c r="G318" s="5" t="s">
        <v>4219</v>
      </c>
      <c r="H318" s="5" t="s">
        <v>4220</v>
      </c>
      <c r="I318" s="6" t="str">
        <f>HYPERLINK("http://maps.yandex.ru/?ll=91.40063,56.1848&amp;spn=0.011598,0.004531&amp;z=17&amp;l=map&amp;pt=91.40063,56.1848", "56.18488//91.40063")</f>
        <v>56.18488//91.40063</v>
      </c>
      <c r="J318" s="5" t="s">
        <v>162</v>
      </c>
      <c r="K318" s="6" t="str">
        <f>HYPERLINK("http://maps.yandex.ru/?ll=92.97714,56.1992&amp;spn=0.011598,0.004531&amp;z=17&amp;l=map&amp;pt=92.97714,56.1992", "56.19924//92.97714")</f>
        <v>56.19924//92.97714</v>
      </c>
      <c r="L318" s="5" t="s">
        <v>162</v>
      </c>
      <c r="M318" s="5" t="s">
        <v>4221</v>
      </c>
      <c r="N318" s="5" t="s">
        <v>4222</v>
      </c>
      <c r="O318" s="5" t="s">
        <v>13</v>
      </c>
      <c r="P318" s="5">
        <v>10</v>
      </c>
      <c r="Q318" s="5">
        <v>90</v>
      </c>
      <c r="R318" s="5">
        <v>0</v>
      </c>
      <c r="S318" s="5">
        <v>116.29300000000001</v>
      </c>
      <c r="T318" s="5" t="s">
        <v>2444</v>
      </c>
      <c r="U318" s="5" t="s">
        <v>4223</v>
      </c>
      <c r="V318" s="5" t="s">
        <v>4224</v>
      </c>
      <c r="W318" s="5">
        <v>4.8499999999999996</v>
      </c>
      <c r="X318" s="5">
        <v>48.04</v>
      </c>
      <c r="Y318" s="5">
        <v>86</v>
      </c>
      <c r="Z318" s="5" t="s">
        <v>2260</v>
      </c>
      <c r="AA318" s="5" t="s">
        <v>4225</v>
      </c>
      <c r="AB318" s="5" t="s">
        <v>4226</v>
      </c>
      <c r="AC318" s="5" t="s">
        <v>1673</v>
      </c>
      <c r="AD318" s="5" t="s">
        <v>19</v>
      </c>
      <c r="AE318" s="5" t="s">
        <v>2188</v>
      </c>
      <c r="AF318" s="5" t="s">
        <v>4227</v>
      </c>
      <c r="AG318" s="5">
        <v>44</v>
      </c>
      <c r="AH318" s="5">
        <v>10</v>
      </c>
      <c r="AI318" s="5">
        <v>34</v>
      </c>
      <c r="AJ318" s="5">
        <v>36.07</v>
      </c>
      <c r="AK318" s="5">
        <v>27.87</v>
      </c>
      <c r="AL318" s="5" t="s">
        <v>12</v>
      </c>
      <c r="AM318" s="5" t="s">
        <v>12</v>
      </c>
      <c r="AN318" s="5" t="s">
        <v>12</v>
      </c>
      <c r="AO318" s="5" t="s">
        <v>11</v>
      </c>
      <c r="AP318" s="5" t="s">
        <v>11</v>
      </c>
      <c r="AQ318" s="5" t="s">
        <v>18</v>
      </c>
      <c r="AR318" s="5" t="s">
        <v>17</v>
      </c>
    </row>
    <row r="319" spans="1:44" ht="31.5" x14ac:dyDescent="0.25">
      <c r="A319" s="10">
        <v>46096</v>
      </c>
      <c r="B319" s="5" t="s">
        <v>504</v>
      </c>
      <c r="C319" s="5" t="s">
        <v>2261</v>
      </c>
      <c r="D319" s="5" t="s">
        <v>11</v>
      </c>
      <c r="E319" s="5" t="s">
        <v>4</v>
      </c>
      <c r="F319" s="5" t="s">
        <v>4</v>
      </c>
      <c r="G319" s="5" t="s">
        <v>4228</v>
      </c>
      <c r="H319" s="5" t="s">
        <v>4229</v>
      </c>
      <c r="I319" s="6" t="str">
        <f>HYPERLINK("http://maps.yandex.ru/?ll=82.67986,54.98715&amp;spn=0.011598,0.004531&amp;z=17&amp;l=map&amp;pt=82.67986,54.98715", "54.987156//82.67986")</f>
        <v>54.987156//82.67986</v>
      </c>
      <c r="J319" s="5" t="s">
        <v>39</v>
      </c>
      <c r="K319" s="6" t="str">
        <f>HYPERLINK("http://maps.yandex.ru/?ll=82.67987,54.9871&amp;spn=0.011598,0.004531&amp;z=17&amp;l=map&amp;pt=82.67987,54.9871", "54.98716//82.67987")</f>
        <v>54.98716//82.67987</v>
      </c>
      <c r="L319" s="5" t="s">
        <v>39</v>
      </c>
      <c r="M319" s="5" t="s">
        <v>13</v>
      </c>
      <c r="N319" s="5" t="s">
        <v>58</v>
      </c>
      <c r="O319" s="5" t="s">
        <v>13</v>
      </c>
      <c r="P319" s="5">
        <v>0</v>
      </c>
      <c r="Q319" s="5">
        <v>100</v>
      </c>
      <c r="R319" s="5">
        <v>0</v>
      </c>
      <c r="S319" s="5">
        <v>0</v>
      </c>
      <c r="T319" s="5" t="s">
        <v>1673</v>
      </c>
      <c r="U319" s="5" t="s">
        <v>4230</v>
      </c>
      <c r="V319" s="5" t="s">
        <v>2262</v>
      </c>
      <c r="W319" s="5">
        <v>0</v>
      </c>
      <c r="X319" s="5">
        <v>0</v>
      </c>
      <c r="Y319" s="5">
        <v>6</v>
      </c>
      <c r="Z319" s="5" t="s">
        <v>2263</v>
      </c>
      <c r="AA319" s="5" t="s">
        <v>2214</v>
      </c>
      <c r="AB319" s="5" t="s">
        <v>19</v>
      </c>
      <c r="AC319" s="5" t="s">
        <v>19</v>
      </c>
      <c r="AD319" s="5" t="s">
        <v>19</v>
      </c>
      <c r="AE319" s="5" t="s">
        <v>1889</v>
      </c>
      <c r="AF319" s="5" t="s">
        <v>12</v>
      </c>
      <c r="AG319" s="5"/>
      <c r="AH319" s="5">
        <v>0</v>
      </c>
      <c r="AI319" s="5"/>
      <c r="AJ319" s="5">
        <v>0</v>
      </c>
      <c r="AK319" s="5">
        <v>0</v>
      </c>
      <c r="AL319" s="5" t="s">
        <v>12</v>
      </c>
      <c r="AM319" s="5" t="s">
        <v>12</v>
      </c>
      <c r="AN319" s="5" t="s">
        <v>12</v>
      </c>
      <c r="AO319" s="5" t="s">
        <v>11</v>
      </c>
      <c r="AP319" s="5" t="s">
        <v>11</v>
      </c>
      <c r="AQ319" s="5" t="s">
        <v>92</v>
      </c>
      <c r="AR319" s="5" t="s">
        <v>91</v>
      </c>
    </row>
    <row r="320" spans="1:44" ht="31.5" x14ac:dyDescent="0.25">
      <c r="A320" s="10">
        <v>46096</v>
      </c>
      <c r="B320" s="5" t="s">
        <v>502</v>
      </c>
      <c r="C320" s="5" t="s">
        <v>2265</v>
      </c>
      <c r="D320" s="5" t="s">
        <v>11</v>
      </c>
      <c r="E320" s="5" t="s">
        <v>0</v>
      </c>
      <c r="F320" s="5" t="s">
        <v>0</v>
      </c>
      <c r="G320" s="5" t="s">
        <v>3103</v>
      </c>
      <c r="H320" s="5" t="s">
        <v>4231</v>
      </c>
      <c r="I320" s="6" t="str">
        <f>HYPERLINK("http://maps.yandex.ru/?ll=45.96399,51.6051&amp;spn=0.011598,0.004531&amp;z=17&amp;l=map&amp;pt=45.96399,51.6051", "51.60515//45.96399")</f>
        <v>51.60515//45.96399</v>
      </c>
      <c r="J320" s="5" t="s">
        <v>213</v>
      </c>
      <c r="K320" s="6" t="str">
        <f>HYPERLINK("http://maps.yandex.ru/?ll=43.459892,53.65521&amp;spn=0.011598,0.004531&amp;z=17&amp;l=map&amp;pt=43.459892,53.65521", "53.655212//43.459892")</f>
        <v>53.655212//43.459892</v>
      </c>
      <c r="L320" s="5" t="s">
        <v>94</v>
      </c>
      <c r="M320" s="5" t="s">
        <v>3789</v>
      </c>
      <c r="N320" s="5" t="s">
        <v>465</v>
      </c>
      <c r="O320" s="5" t="s">
        <v>1416</v>
      </c>
      <c r="P320" s="5">
        <v>22</v>
      </c>
      <c r="Q320" s="5">
        <v>52</v>
      </c>
      <c r="R320" s="5">
        <v>26</v>
      </c>
      <c r="S320" s="5">
        <v>345.03899999999999</v>
      </c>
      <c r="T320" s="5" t="s">
        <v>1820</v>
      </c>
      <c r="U320" s="5" t="s">
        <v>4232</v>
      </c>
      <c r="V320" s="5" t="s">
        <v>4233</v>
      </c>
      <c r="W320" s="5">
        <v>14.38</v>
      </c>
      <c r="X320" s="5">
        <v>65.75</v>
      </c>
      <c r="Y320" s="5">
        <v>113</v>
      </c>
      <c r="Z320" s="5" t="s">
        <v>2266</v>
      </c>
      <c r="AA320" s="5" t="s">
        <v>4234</v>
      </c>
      <c r="AB320" s="5" t="s">
        <v>19</v>
      </c>
      <c r="AC320" s="5" t="s">
        <v>19</v>
      </c>
      <c r="AD320" s="5" t="s">
        <v>19</v>
      </c>
      <c r="AE320" s="5" t="s">
        <v>1555</v>
      </c>
      <c r="AF320" s="5" t="s">
        <v>4235</v>
      </c>
      <c r="AG320" s="5"/>
      <c r="AH320" s="5">
        <v>0</v>
      </c>
      <c r="AI320" s="5"/>
      <c r="AJ320" s="5">
        <v>0</v>
      </c>
      <c r="AK320" s="5">
        <v>0</v>
      </c>
      <c r="AL320" s="5" t="s">
        <v>12</v>
      </c>
      <c r="AM320" s="5" t="s">
        <v>12</v>
      </c>
      <c r="AN320" s="5" t="s">
        <v>12</v>
      </c>
      <c r="AO320" s="5" t="s">
        <v>11</v>
      </c>
      <c r="AP320" s="5" t="s">
        <v>11</v>
      </c>
      <c r="AQ320" s="5" t="s">
        <v>92</v>
      </c>
      <c r="AR320" s="5" t="s">
        <v>91</v>
      </c>
    </row>
    <row r="321" spans="1:44" ht="31.5" x14ac:dyDescent="0.25">
      <c r="A321" s="10">
        <v>46096</v>
      </c>
      <c r="B321" s="5" t="s">
        <v>501</v>
      </c>
      <c r="C321" s="5" t="s">
        <v>2267</v>
      </c>
      <c r="D321" s="5" t="s">
        <v>11</v>
      </c>
      <c r="E321" s="5" t="s">
        <v>4</v>
      </c>
      <c r="F321" s="5" t="s">
        <v>4</v>
      </c>
      <c r="G321" s="5" t="s">
        <v>4236</v>
      </c>
      <c r="H321" s="5" t="s">
        <v>4237</v>
      </c>
      <c r="I321" s="6" t="str">
        <f>HYPERLINK("http://maps.yandex.ru/?ll=70.43624,56.2806&amp;spn=0.011598,0.004531&amp;z=17&amp;l=map&amp;pt=70.43624,56.2806", "56.28067//70.43624")</f>
        <v>56.28067//70.43624</v>
      </c>
      <c r="J321" s="5" t="s">
        <v>503</v>
      </c>
      <c r="K321" s="6" t="str">
        <f>HYPERLINK("http://maps.yandex.ru/?ll=73.20575,55.00107&amp;spn=0.011598,0.004531&amp;z=17&amp;l=map&amp;pt=73.20575,55.00107", "55.001072//73.20575")</f>
        <v>55.001072//73.20575</v>
      </c>
      <c r="L321" s="5" t="s">
        <v>190</v>
      </c>
      <c r="M321" s="5" t="s">
        <v>735</v>
      </c>
      <c r="N321" s="5" t="s">
        <v>1550</v>
      </c>
      <c r="O321" s="5" t="s">
        <v>13</v>
      </c>
      <c r="P321" s="5">
        <v>14</v>
      </c>
      <c r="Q321" s="5">
        <v>86</v>
      </c>
      <c r="R321" s="5">
        <v>0</v>
      </c>
      <c r="S321" s="5">
        <v>258.46800000000002</v>
      </c>
      <c r="T321" s="5" t="s">
        <v>1611</v>
      </c>
      <c r="U321" s="5" t="s">
        <v>4238</v>
      </c>
      <c r="V321" s="5" t="s">
        <v>4239</v>
      </c>
      <c r="W321" s="5">
        <v>10.77</v>
      </c>
      <c r="X321" s="5">
        <v>74.459999999999994</v>
      </c>
      <c r="Y321" s="5">
        <v>92</v>
      </c>
      <c r="Z321" s="5" t="s">
        <v>2268</v>
      </c>
      <c r="AA321" s="5" t="s">
        <v>3860</v>
      </c>
      <c r="AB321" s="5" t="s">
        <v>3180</v>
      </c>
      <c r="AC321" s="5" t="s">
        <v>1673</v>
      </c>
      <c r="AD321" s="5" t="s">
        <v>19</v>
      </c>
      <c r="AE321" s="5" t="s">
        <v>2769</v>
      </c>
      <c r="AF321" s="5" t="s">
        <v>4240</v>
      </c>
      <c r="AG321" s="5"/>
      <c r="AH321" s="5">
        <v>0</v>
      </c>
      <c r="AI321" s="5"/>
      <c r="AJ321" s="5">
        <v>0</v>
      </c>
      <c r="AK321" s="5">
        <v>0</v>
      </c>
      <c r="AL321" s="5" t="s">
        <v>12</v>
      </c>
      <c r="AM321" s="5" t="s">
        <v>12</v>
      </c>
      <c r="AN321" s="5" t="s">
        <v>12</v>
      </c>
      <c r="AO321" s="5" t="s">
        <v>11</v>
      </c>
      <c r="AP321" s="5" t="s">
        <v>11</v>
      </c>
      <c r="AQ321" s="5" t="s">
        <v>92</v>
      </c>
      <c r="AR321" s="5" t="s">
        <v>91</v>
      </c>
    </row>
    <row r="322" spans="1:44" ht="15.75" x14ac:dyDescent="0.25">
      <c r="A322" s="10">
        <v>46096</v>
      </c>
      <c r="B322" s="5" t="s">
        <v>498</v>
      </c>
      <c r="C322" s="5" t="s">
        <v>2270</v>
      </c>
      <c r="D322" s="5" t="s">
        <v>11</v>
      </c>
      <c r="E322" s="5" t="s">
        <v>4</v>
      </c>
      <c r="F322" s="5" t="s">
        <v>4</v>
      </c>
      <c r="G322" s="5" t="s">
        <v>11</v>
      </c>
      <c r="H322" s="5" t="s">
        <v>11</v>
      </c>
      <c r="I322" s="6" t="str">
        <f>HYPERLINK("http://maps.yandex.ru/?ll=,&amp;spn=0.011598,0.004531&amp;z=17&amp;l=map&amp;pt=,", "")</f>
        <v/>
      </c>
      <c r="J322" s="5" t="s">
        <v>84</v>
      </c>
      <c r="K322" s="6" t="str">
        <f>HYPERLINK("http://maps.yandex.ru/?ll=,&amp;spn=0.011598,0.004531&amp;z=17&amp;l=map&amp;pt=,", "")</f>
        <v/>
      </c>
      <c r="L322" s="5" t="s">
        <v>84</v>
      </c>
      <c r="M322" s="5" t="s">
        <v>13</v>
      </c>
      <c r="N322" s="5" t="s">
        <v>58</v>
      </c>
      <c r="O322" s="5" t="s">
        <v>13</v>
      </c>
      <c r="P322" s="5">
        <v>0</v>
      </c>
      <c r="Q322" s="5">
        <v>100</v>
      </c>
      <c r="R322" s="5">
        <v>0</v>
      </c>
      <c r="S322" s="5">
        <v>0</v>
      </c>
      <c r="T322" s="5" t="s">
        <v>12</v>
      </c>
      <c r="U322" s="5" t="s">
        <v>12</v>
      </c>
      <c r="V322" s="5" t="s">
        <v>12</v>
      </c>
      <c r="W322" s="5">
        <v>0</v>
      </c>
      <c r="X322" s="5">
        <v>0</v>
      </c>
      <c r="Y322" s="5">
        <v>0</v>
      </c>
      <c r="Z322" s="5" t="s">
        <v>1828</v>
      </c>
      <c r="AA322" s="5" t="s">
        <v>2384</v>
      </c>
      <c r="AB322" s="5" t="s">
        <v>19</v>
      </c>
      <c r="AC322" s="5" t="s">
        <v>19</v>
      </c>
      <c r="AD322" s="5" t="s">
        <v>19</v>
      </c>
      <c r="AE322" s="5" t="s">
        <v>1777</v>
      </c>
      <c r="AF322" s="5" t="s">
        <v>12</v>
      </c>
      <c r="AG322" s="5"/>
      <c r="AH322" s="5">
        <v>0</v>
      </c>
      <c r="AI322" s="5"/>
      <c r="AJ322" s="5"/>
      <c r="AK322" s="5"/>
      <c r="AL322" s="5" t="s">
        <v>12</v>
      </c>
      <c r="AM322" s="5" t="s">
        <v>12</v>
      </c>
      <c r="AN322" s="5" t="s">
        <v>12</v>
      </c>
      <c r="AO322" s="5" t="s">
        <v>11</v>
      </c>
      <c r="AP322" s="5" t="s">
        <v>11</v>
      </c>
      <c r="AQ322" s="5" t="s">
        <v>92</v>
      </c>
      <c r="AR322" s="5" t="s">
        <v>91</v>
      </c>
    </row>
    <row r="323" spans="1:44" ht="31.5" x14ac:dyDescent="0.25">
      <c r="A323" s="10">
        <v>46096</v>
      </c>
      <c r="B323" s="5" t="s">
        <v>494</v>
      </c>
      <c r="C323" s="5" t="s">
        <v>2273</v>
      </c>
      <c r="D323" s="5" t="s">
        <v>11</v>
      </c>
      <c r="E323" s="5" t="s">
        <v>4</v>
      </c>
      <c r="F323" s="5" t="s">
        <v>4</v>
      </c>
      <c r="G323" s="5" t="s">
        <v>4241</v>
      </c>
      <c r="H323" s="5" t="s">
        <v>4242</v>
      </c>
      <c r="I323" s="6" t="str">
        <f>HYPERLINK("http://maps.yandex.ru/?ll=76.662895,55.23822&amp;spn=0.011598,0.004531&amp;z=17&amp;l=map&amp;pt=76.662895,55.23822", "55.238224//76.662895")</f>
        <v>55.238224//76.662895</v>
      </c>
      <c r="J323" s="5" t="s">
        <v>39</v>
      </c>
      <c r="K323" s="6" t="str">
        <f>HYPERLINK("http://maps.yandex.ru/?ll=85.606705,55.32665&amp;spn=0.011598,0.004531&amp;z=17&amp;l=map&amp;pt=85.606705,55.32665", "55.326656//85.606705")</f>
        <v>55.326656//85.606705</v>
      </c>
      <c r="L323" s="5" t="s">
        <v>497</v>
      </c>
      <c r="M323" s="5" t="s">
        <v>324</v>
      </c>
      <c r="N323" s="5" t="s">
        <v>1377</v>
      </c>
      <c r="O323" s="5" t="s">
        <v>13</v>
      </c>
      <c r="P323" s="5">
        <v>41</v>
      </c>
      <c r="Q323" s="5">
        <v>59</v>
      </c>
      <c r="R323" s="5">
        <v>0</v>
      </c>
      <c r="S323" s="5">
        <v>639.36900000000003</v>
      </c>
      <c r="T323" s="5" t="s">
        <v>2021</v>
      </c>
      <c r="U323" s="5" t="s">
        <v>4243</v>
      </c>
      <c r="V323" s="5" t="s">
        <v>4244</v>
      </c>
      <c r="W323" s="5">
        <v>26.64</v>
      </c>
      <c r="X323" s="5">
        <v>65.650000000000006</v>
      </c>
      <c r="Y323" s="5">
        <v>99</v>
      </c>
      <c r="Z323" s="5" t="s">
        <v>2276</v>
      </c>
      <c r="AA323" s="5" t="s">
        <v>2160</v>
      </c>
      <c r="AB323" s="5" t="s">
        <v>19</v>
      </c>
      <c r="AC323" s="5" t="s">
        <v>19</v>
      </c>
      <c r="AD323" s="5" t="s">
        <v>19</v>
      </c>
      <c r="AE323" s="5" t="s">
        <v>1901</v>
      </c>
      <c r="AF323" s="5" t="s">
        <v>4245</v>
      </c>
      <c r="AG323" s="5"/>
      <c r="AH323" s="5">
        <v>0</v>
      </c>
      <c r="AI323" s="5"/>
      <c r="AJ323" s="5">
        <v>0</v>
      </c>
      <c r="AK323" s="5">
        <v>0</v>
      </c>
      <c r="AL323" s="5" t="s">
        <v>12</v>
      </c>
      <c r="AM323" s="5" t="s">
        <v>12</v>
      </c>
      <c r="AN323" s="5" t="s">
        <v>12</v>
      </c>
      <c r="AO323" s="5" t="s">
        <v>11</v>
      </c>
      <c r="AP323" s="5" t="s">
        <v>11</v>
      </c>
      <c r="AQ323" s="5" t="s">
        <v>92</v>
      </c>
      <c r="AR323" s="5" t="s">
        <v>91</v>
      </c>
    </row>
    <row r="324" spans="1:44" ht="31.5" x14ac:dyDescent="0.25">
      <c r="A324" s="10">
        <v>46096</v>
      </c>
      <c r="B324" s="5" t="s">
        <v>491</v>
      </c>
      <c r="C324" s="5" t="s">
        <v>2277</v>
      </c>
      <c r="D324" s="5" t="s">
        <v>11</v>
      </c>
      <c r="E324" s="5" t="s">
        <v>7</v>
      </c>
      <c r="F324" s="5" t="s">
        <v>7</v>
      </c>
      <c r="G324" s="5" t="s">
        <v>4246</v>
      </c>
      <c r="H324" s="5" t="s">
        <v>4247</v>
      </c>
      <c r="I324" s="6" t="str">
        <f>HYPERLINK("http://maps.yandex.ru/?ll=36.3153,56.7147&amp;spn=0.011598,0.004531&amp;z=17&amp;l=map&amp;pt=36.3153,56.7147", "56.71479//36.3153")</f>
        <v>56.71479//36.3153</v>
      </c>
      <c r="J324" s="5" t="s">
        <v>50</v>
      </c>
      <c r="K324" s="6" t="str">
        <f>HYPERLINK("http://maps.yandex.ru/?ll=30.46228,59.77625&amp;spn=0.011598,0.004531&amp;z=17&amp;l=map&amp;pt=30.46228,59.77625", "59.776257//30.46228")</f>
        <v>59.776257//30.46228</v>
      </c>
      <c r="L324" s="5" t="s">
        <v>23</v>
      </c>
      <c r="M324" s="5" t="s">
        <v>585</v>
      </c>
      <c r="N324" s="5" t="s">
        <v>234</v>
      </c>
      <c r="O324" s="5" t="s">
        <v>439</v>
      </c>
      <c r="P324" s="5">
        <v>32</v>
      </c>
      <c r="Q324" s="5">
        <v>64</v>
      </c>
      <c r="R324" s="5">
        <v>3</v>
      </c>
      <c r="S324" s="5">
        <v>546.86</v>
      </c>
      <c r="T324" s="5" t="s">
        <v>2268</v>
      </c>
      <c r="U324" s="5" t="s">
        <v>4248</v>
      </c>
      <c r="V324" s="5" t="s">
        <v>4249</v>
      </c>
      <c r="W324" s="5">
        <v>22.79</v>
      </c>
      <c r="X324" s="5">
        <v>70.2</v>
      </c>
      <c r="Y324" s="5">
        <v>106</v>
      </c>
      <c r="Z324" s="5" t="s">
        <v>12</v>
      </c>
      <c r="AA324" s="5" t="s">
        <v>12</v>
      </c>
      <c r="AB324" s="5" t="s">
        <v>157</v>
      </c>
      <c r="AC324" s="5" t="s">
        <v>1673</v>
      </c>
      <c r="AD324" s="5" t="s">
        <v>19</v>
      </c>
      <c r="AE324" s="5" t="s">
        <v>12</v>
      </c>
      <c r="AF324" s="5" t="s">
        <v>12</v>
      </c>
      <c r="AG324" s="5"/>
      <c r="AH324" s="5">
        <v>0</v>
      </c>
      <c r="AI324" s="5"/>
      <c r="AJ324" s="5">
        <v>0</v>
      </c>
      <c r="AK324" s="5">
        <v>0</v>
      </c>
      <c r="AL324" s="5" t="s">
        <v>12</v>
      </c>
      <c r="AM324" s="5" t="s">
        <v>12</v>
      </c>
      <c r="AN324" s="5" t="s">
        <v>12</v>
      </c>
      <c r="AO324" s="5" t="s">
        <v>11</v>
      </c>
      <c r="AP324" s="5" t="s">
        <v>11</v>
      </c>
      <c r="AQ324" s="5" t="s">
        <v>92</v>
      </c>
      <c r="AR324" s="5" t="s">
        <v>91</v>
      </c>
    </row>
    <row r="325" spans="1:44" ht="31.5" x14ac:dyDescent="0.25">
      <c r="A325" s="10">
        <v>46096</v>
      </c>
      <c r="B325" s="5" t="s">
        <v>490</v>
      </c>
      <c r="C325" s="5" t="s">
        <v>2278</v>
      </c>
      <c r="D325" s="5" t="s">
        <v>11</v>
      </c>
      <c r="E325" s="5" t="s">
        <v>7</v>
      </c>
      <c r="F325" s="5" t="s">
        <v>7</v>
      </c>
      <c r="G325" s="5" t="s">
        <v>4250</v>
      </c>
      <c r="H325" s="5" t="s">
        <v>4251</v>
      </c>
      <c r="I325" s="6" t="str">
        <f>HYPERLINK("http://maps.yandex.ru/?ll=47.990856,54.3113&amp;spn=0.011598,0.004531&amp;z=17&amp;l=map&amp;pt=47.990856,54.3113", "54.31133//47.990856")</f>
        <v>54.31133//47.990856</v>
      </c>
      <c r="J325" s="5" t="s">
        <v>61</v>
      </c>
      <c r="K325" s="6" t="str">
        <f>HYPERLINK("http://maps.yandex.ru/?ll=41.819126,52.6789&amp;spn=0.011598,0.004531&amp;z=17&amp;l=map&amp;pt=41.819126,52.6789", "52.67896//41.819126")</f>
        <v>52.67896//41.819126</v>
      </c>
      <c r="L325" s="5" t="s">
        <v>284</v>
      </c>
      <c r="M325" s="5" t="s">
        <v>1417</v>
      </c>
      <c r="N325" s="5" t="s">
        <v>1435</v>
      </c>
      <c r="O325" s="5" t="s">
        <v>322</v>
      </c>
      <c r="P325" s="5">
        <v>31</v>
      </c>
      <c r="Q325" s="5">
        <v>68</v>
      </c>
      <c r="R325" s="5">
        <v>1</v>
      </c>
      <c r="S325" s="5">
        <v>570.45000000000005</v>
      </c>
      <c r="T325" s="5" t="s">
        <v>1469</v>
      </c>
      <c r="U325" s="5" t="s">
        <v>4252</v>
      </c>
      <c r="V325" s="5" t="s">
        <v>4253</v>
      </c>
      <c r="W325" s="5">
        <v>23.77</v>
      </c>
      <c r="X325" s="5">
        <v>76.400000000000006</v>
      </c>
      <c r="Y325" s="5">
        <v>110</v>
      </c>
      <c r="Z325" s="5" t="s">
        <v>1554</v>
      </c>
      <c r="AA325" s="5" t="s">
        <v>1905</v>
      </c>
      <c r="AB325" s="5" t="s">
        <v>19</v>
      </c>
      <c r="AC325" s="5" t="s">
        <v>19</v>
      </c>
      <c r="AD325" s="5" t="s">
        <v>19</v>
      </c>
      <c r="AE325" s="5" t="s">
        <v>2015</v>
      </c>
      <c r="AF325" s="5" t="s">
        <v>4254</v>
      </c>
      <c r="AG325" s="5">
        <v>174</v>
      </c>
      <c r="AH325" s="5">
        <v>1</v>
      </c>
      <c r="AI325" s="5">
        <v>173</v>
      </c>
      <c r="AJ325" s="5">
        <v>28.29</v>
      </c>
      <c r="AK325" s="5">
        <v>28.13</v>
      </c>
      <c r="AL325" s="5" t="s">
        <v>12</v>
      </c>
      <c r="AM325" s="5" t="s">
        <v>12</v>
      </c>
      <c r="AN325" s="5" t="s">
        <v>12</v>
      </c>
      <c r="AO325" s="5" t="s">
        <v>11</v>
      </c>
      <c r="AP325" s="5" t="s">
        <v>11</v>
      </c>
      <c r="AQ325" s="5" t="s">
        <v>18</v>
      </c>
      <c r="AR325" s="5" t="s">
        <v>17</v>
      </c>
    </row>
    <row r="326" spans="1:44" ht="31.5" x14ac:dyDescent="0.25">
      <c r="A326" s="10">
        <v>46096</v>
      </c>
      <c r="B326" s="5" t="s">
        <v>488</v>
      </c>
      <c r="C326" s="5" t="s">
        <v>2280</v>
      </c>
      <c r="D326" s="5" t="s">
        <v>11</v>
      </c>
      <c r="E326" s="5" t="s">
        <v>3</v>
      </c>
      <c r="F326" s="5" t="s">
        <v>3</v>
      </c>
      <c r="G326" s="5" t="s">
        <v>4255</v>
      </c>
      <c r="H326" s="5" t="s">
        <v>3121</v>
      </c>
      <c r="I326" s="6" t="str">
        <f>HYPERLINK("http://maps.yandex.ru/?ll=47.26777,56.11142&amp;spn=0.011598,0.004531&amp;z=17&amp;l=map&amp;pt=47.26777,56.11142", "56.111427//47.26777")</f>
        <v>56.111427//47.26777</v>
      </c>
      <c r="J326" s="5" t="s">
        <v>46</v>
      </c>
      <c r="K326" s="6" t="str">
        <f>HYPERLINK("http://maps.yandex.ru/?ll=49.821205,52.99378&amp;spn=0.011598,0.004531&amp;z=17&amp;l=map&amp;pt=49.821205,52.99378", "52.993786//49.821205")</f>
        <v>52.993786//49.821205</v>
      </c>
      <c r="L326" s="5" t="s">
        <v>76</v>
      </c>
      <c r="M326" s="5" t="s">
        <v>182</v>
      </c>
      <c r="N326" s="5" t="s">
        <v>1124</v>
      </c>
      <c r="O326" s="5" t="s">
        <v>1475</v>
      </c>
      <c r="P326" s="5">
        <v>10</v>
      </c>
      <c r="Q326" s="5">
        <v>59</v>
      </c>
      <c r="R326" s="5">
        <v>32</v>
      </c>
      <c r="S326" s="5">
        <v>118.38800000000001</v>
      </c>
      <c r="T326" s="5" t="s">
        <v>1796</v>
      </c>
      <c r="U326" s="5" t="s">
        <v>4256</v>
      </c>
      <c r="V326" s="5" t="s">
        <v>4257</v>
      </c>
      <c r="W326" s="5">
        <v>4.93</v>
      </c>
      <c r="X326" s="5">
        <v>51.04</v>
      </c>
      <c r="Y326" s="5">
        <v>99</v>
      </c>
      <c r="Z326" s="5" t="s">
        <v>2281</v>
      </c>
      <c r="AA326" s="5" t="s">
        <v>2823</v>
      </c>
      <c r="AB326" s="5" t="s">
        <v>19</v>
      </c>
      <c r="AC326" s="5" t="s">
        <v>19</v>
      </c>
      <c r="AD326" s="5" t="s">
        <v>19</v>
      </c>
      <c r="AE326" s="5" t="s">
        <v>2225</v>
      </c>
      <c r="AF326" s="5" t="s">
        <v>4258</v>
      </c>
      <c r="AG326" s="5">
        <v>40</v>
      </c>
      <c r="AH326" s="5">
        <v>1</v>
      </c>
      <c r="AI326" s="5">
        <v>39</v>
      </c>
      <c r="AJ326" s="5">
        <v>32.520000000000003</v>
      </c>
      <c r="AK326" s="5">
        <v>31.71</v>
      </c>
      <c r="AL326" s="5" t="s">
        <v>12</v>
      </c>
      <c r="AM326" s="5" t="s">
        <v>12</v>
      </c>
      <c r="AN326" s="5" t="s">
        <v>12</v>
      </c>
      <c r="AO326" s="5" t="s">
        <v>11</v>
      </c>
      <c r="AP326" s="5" t="s">
        <v>11</v>
      </c>
      <c r="AQ326" s="5" t="s">
        <v>18</v>
      </c>
      <c r="AR326" s="5" t="s">
        <v>17</v>
      </c>
    </row>
    <row r="327" spans="1:44" ht="31.5" x14ac:dyDescent="0.25">
      <c r="A327" s="10">
        <v>46096</v>
      </c>
      <c r="B327" s="5" t="s">
        <v>486</v>
      </c>
      <c r="C327" s="5" t="s">
        <v>2282</v>
      </c>
      <c r="D327" s="5" t="s">
        <v>11</v>
      </c>
      <c r="E327" s="5" t="s">
        <v>7</v>
      </c>
      <c r="F327" s="5" t="s">
        <v>7</v>
      </c>
      <c r="G327" s="5" t="s">
        <v>3103</v>
      </c>
      <c r="H327" s="5" t="s">
        <v>4259</v>
      </c>
      <c r="I327" s="6" t="str">
        <f>HYPERLINK("http://maps.yandex.ru/?ll=41.651535,57.15371&amp;spn=0.011598,0.004531&amp;z=17&amp;l=map&amp;pt=41.651535,57.15371", "57.153713//41.651535")</f>
        <v>57.153713//41.651535</v>
      </c>
      <c r="J327" s="5" t="s">
        <v>582</v>
      </c>
      <c r="K327" s="6" t="str">
        <f>HYPERLINK("http://maps.yandex.ru/?ll=40.624535,56.58988&amp;spn=0.011598,0.004531&amp;z=17&amp;l=map&amp;pt=40.624535,56.58988", "56.589886//40.624535")</f>
        <v>56.589886//40.624535</v>
      </c>
      <c r="L327" s="5" t="s">
        <v>582</v>
      </c>
      <c r="M327" s="5" t="s">
        <v>280</v>
      </c>
      <c r="N327" s="5" t="s">
        <v>13</v>
      </c>
      <c r="O327" s="5" t="s">
        <v>4260</v>
      </c>
      <c r="P327" s="5">
        <v>47</v>
      </c>
      <c r="Q327" s="5">
        <v>0</v>
      </c>
      <c r="R327" s="5">
        <v>53</v>
      </c>
      <c r="S327" s="5">
        <v>2463.4470000000001</v>
      </c>
      <c r="T327" s="5" t="s">
        <v>12</v>
      </c>
      <c r="U327" s="5" t="s">
        <v>12</v>
      </c>
      <c r="V327" s="5" t="s">
        <v>12</v>
      </c>
      <c r="W327" s="5">
        <v>102.64</v>
      </c>
      <c r="X327" s="5">
        <v>220.21</v>
      </c>
      <c r="Y327" s="5">
        <v>101</v>
      </c>
      <c r="Z327" s="5" t="s">
        <v>1793</v>
      </c>
      <c r="AA327" s="5" t="s">
        <v>2111</v>
      </c>
      <c r="AB327" s="5" t="s">
        <v>19</v>
      </c>
      <c r="AC327" s="5" t="s">
        <v>19</v>
      </c>
      <c r="AD327" s="5" t="s">
        <v>19</v>
      </c>
      <c r="AE327" s="5" t="s">
        <v>1746</v>
      </c>
      <c r="AF327" s="5" t="s">
        <v>12</v>
      </c>
      <c r="AG327" s="5"/>
      <c r="AH327" s="5"/>
      <c r="AI327" s="5"/>
      <c r="AJ327" s="5"/>
      <c r="AK327" s="5"/>
      <c r="AL327" s="5" t="s">
        <v>12</v>
      </c>
      <c r="AM327" s="5" t="s">
        <v>12</v>
      </c>
      <c r="AN327" s="5" t="s">
        <v>12</v>
      </c>
      <c r="AO327" s="5" t="s">
        <v>69</v>
      </c>
      <c r="AP327" s="5" t="s">
        <v>442</v>
      </c>
      <c r="AQ327" s="5" t="s">
        <v>67</v>
      </c>
      <c r="AR327" s="5" t="s">
        <v>66</v>
      </c>
    </row>
    <row r="328" spans="1:44" ht="31.5" x14ac:dyDescent="0.25">
      <c r="A328" s="10">
        <v>46096</v>
      </c>
      <c r="B328" s="5" t="s">
        <v>485</v>
      </c>
      <c r="C328" s="5" t="s">
        <v>2283</v>
      </c>
      <c r="D328" s="5" t="s">
        <v>11</v>
      </c>
      <c r="E328" s="5" t="s">
        <v>3</v>
      </c>
      <c r="F328" s="5" t="s">
        <v>3</v>
      </c>
      <c r="G328" s="5" t="s">
        <v>4261</v>
      </c>
      <c r="H328" s="5" t="s">
        <v>4262</v>
      </c>
      <c r="I328" s="6" t="str">
        <f>HYPERLINK("http://maps.yandex.ru/?ll=47.274284,56.11297&amp;spn=0.011598,0.004531&amp;z=17&amp;l=map&amp;pt=47.274284,56.11297", "56.112972//47.274284")</f>
        <v>56.112972//47.274284</v>
      </c>
      <c r="J328" s="5" t="s">
        <v>46</v>
      </c>
      <c r="K328" s="6" t="str">
        <f>HYPERLINK("http://maps.yandex.ru/?ll=50.15681,53.08440&amp;spn=0.011598,0.004531&amp;z=17&amp;l=map&amp;pt=50.15681,53.08440", "53.084404//50.15681")</f>
        <v>53.084404//50.15681</v>
      </c>
      <c r="L328" s="5" t="s">
        <v>76</v>
      </c>
      <c r="M328" s="5" t="s">
        <v>473</v>
      </c>
      <c r="N328" s="5" t="s">
        <v>3527</v>
      </c>
      <c r="O328" s="5" t="s">
        <v>324</v>
      </c>
      <c r="P328" s="5">
        <v>3</v>
      </c>
      <c r="Q328" s="5">
        <v>56</v>
      </c>
      <c r="R328" s="5">
        <v>41</v>
      </c>
      <c r="S328" s="5">
        <v>15.305</v>
      </c>
      <c r="T328" s="5" t="s">
        <v>1671</v>
      </c>
      <c r="U328" s="5" t="s">
        <v>2284</v>
      </c>
      <c r="V328" s="5" t="s">
        <v>4263</v>
      </c>
      <c r="W328" s="5">
        <v>0.64</v>
      </c>
      <c r="X328" s="5">
        <v>21.04</v>
      </c>
      <c r="Y328" s="5">
        <v>147</v>
      </c>
      <c r="Z328" s="5" t="s">
        <v>1561</v>
      </c>
      <c r="AA328" s="5" t="s">
        <v>4264</v>
      </c>
      <c r="AB328" s="5" t="s">
        <v>19</v>
      </c>
      <c r="AC328" s="5" t="s">
        <v>19</v>
      </c>
      <c r="AD328" s="5" t="s">
        <v>19</v>
      </c>
      <c r="AE328" s="5" t="s">
        <v>1929</v>
      </c>
      <c r="AF328" s="5" t="s">
        <v>4265</v>
      </c>
      <c r="AG328" s="5">
        <v>9</v>
      </c>
      <c r="AH328" s="5">
        <v>2</v>
      </c>
      <c r="AI328" s="5">
        <v>7</v>
      </c>
      <c r="AJ328" s="5">
        <v>450</v>
      </c>
      <c r="AK328" s="5">
        <v>350</v>
      </c>
      <c r="AL328" s="5" t="s">
        <v>12</v>
      </c>
      <c r="AM328" s="5" t="s">
        <v>12</v>
      </c>
      <c r="AN328" s="5" t="s">
        <v>12</v>
      </c>
      <c r="AO328" s="5" t="s">
        <v>11</v>
      </c>
      <c r="AP328" s="5" t="s">
        <v>11</v>
      </c>
      <c r="AQ328" s="5" t="s">
        <v>18</v>
      </c>
      <c r="AR328" s="5" t="s">
        <v>74</v>
      </c>
    </row>
    <row r="329" spans="1:44" ht="31.5" x14ac:dyDescent="0.25">
      <c r="A329" s="10">
        <v>46096</v>
      </c>
      <c r="B329" s="5" t="s">
        <v>482</v>
      </c>
      <c r="C329" s="5" t="s">
        <v>2285</v>
      </c>
      <c r="D329" s="5" t="s">
        <v>11</v>
      </c>
      <c r="E329" s="5" t="s">
        <v>3</v>
      </c>
      <c r="F329" s="5" t="s">
        <v>3</v>
      </c>
      <c r="G329" s="5" t="s">
        <v>4266</v>
      </c>
      <c r="H329" s="5" t="s">
        <v>4267</v>
      </c>
      <c r="I329" s="6" t="str">
        <f>HYPERLINK("http://maps.yandex.ru/?ll=50.152645,53.08540&amp;spn=0.011598,0.004531&amp;z=17&amp;l=map&amp;pt=50.152645,53.08540", "53.085407//50.152645")</f>
        <v>53.085407//50.152645</v>
      </c>
      <c r="J329" s="5" t="s">
        <v>76</v>
      </c>
      <c r="K329" s="6" t="str">
        <f>HYPERLINK("http://maps.yandex.ru/?ll=50.156097,53.08481&amp;spn=0.011598,0.004531&amp;z=17&amp;l=map&amp;pt=50.156097,53.08481", "53.084812//50.156097")</f>
        <v>53.084812//50.156097</v>
      </c>
      <c r="L329" s="5" t="s">
        <v>76</v>
      </c>
      <c r="M329" s="5" t="s">
        <v>1463</v>
      </c>
      <c r="N329" s="5" t="s">
        <v>683</v>
      </c>
      <c r="O329" s="5" t="s">
        <v>4268</v>
      </c>
      <c r="P329" s="5">
        <v>1</v>
      </c>
      <c r="Q329" s="5">
        <v>61</v>
      </c>
      <c r="R329" s="5">
        <v>39</v>
      </c>
      <c r="S329" s="5">
        <v>0.51600000000000001</v>
      </c>
      <c r="T329" s="5" t="s">
        <v>12</v>
      </c>
      <c r="U329" s="5" t="s">
        <v>12</v>
      </c>
      <c r="V329" s="5" t="s">
        <v>12</v>
      </c>
      <c r="W329" s="5">
        <v>0.02</v>
      </c>
      <c r="X329" s="5">
        <v>3.57</v>
      </c>
      <c r="Y329" s="5">
        <v>17</v>
      </c>
      <c r="Z329" s="5" t="s">
        <v>12</v>
      </c>
      <c r="AA329" s="5" t="s">
        <v>12</v>
      </c>
      <c r="AB329" s="5" t="s">
        <v>12</v>
      </c>
      <c r="AC329" s="5" t="s">
        <v>12</v>
      </c>
      <c r="AD329" s="5" t="s">
        <v>12</v>
      </c>
      <c r="AE329" s="5" t="s">
        <v>12</v>
      </c>
      <c r="AF329" s="5" t="s">
        <v>12</v>
      </c>
      <c r="AG329" s="5"/>
      <c r="AH329" s="5"/>
      <c r="AI329" s="5"/>
      <c r="AJ329" s="5"/>
      <c r="AK329" s="5"/>
      <c r="AL329" s="5" t="s">
        <v>2286</v>
      </c>
      <c r="AM329" s="5" t="s">
        <v>4269</v>
      </c>
      <c r="AN329" s="5" t="s">
        <v>2049</v>
      </c>
      <c r="AO329" s="5" t="s">
        <v>83</v>
      </c>
      <c r="AP329" s="5" t="s">
        <v>82</v>
      </c>
      <c r="AQ329" s="5" t="s">
        <v>67</v>
      </c>
      <c r="AR329" s="5" t="s">
        <v>66</v>
      </c>
    </row>
    <row r="330" spans="1:44" ht="31.5" x14ac:dyDescent="0.25">
      <c r="A330" s="10">
        <v>46096</v>
      </c>
      <c r="B330" s="5" t="s">
        <v>480</v>
      </c>
      <c r="C330" s="5" t="s">
        <v>2287</v>
      </c>
      <c r="D330" s="5" t="s">
        <v>11</v>
      </c>
      <c r="E330" s="5" t="s">
        <v>5</v>
      </c>
      <c r="F330" s="5" t="s">
        <v>5</v>
      </c>
      <c r="G330" s="5" t="s">
        <v>4270</v>
      </c>
      <c r="H330" s="5" t="s">
        <v>4271</v>
      </c>
      <c r="I330" s="6" t="str">
        <f>HYPERLINK("http://maps.yandex.ru/?ll=50.27181,53.52236&amp;spn=0.011598,0.004531&amp;z=17&amp;l=map&amp;pt=50.27181,53.52236", "53.522366//50.27181")</f>
        <v>53.522366//50.27181</v>
      </c>
      <c r="J330" s="5" t="s">
        <v>76</v>
      </c>
      <c r="K330" s="6" t="str">
        <f>HYPERLINK("http://maps.yandex.ru/?ll=50.26528,53.53434&amp;spn=0.011598,0.004531&amp;z=17&amp;l=map&amp;pt=50.26528,53.53434", "53.534344//50.26528")</f>
        <v>53.534344//50.26528</v>
      </c>
      <c r="L330" s="5" t="s">
        <v>76</v>
      </c>
      <c r="M330" s="5" t="s">
        <v>775</v>
      </c>
      <c r="N330" s="5" t="s">
        <v>4272</v>
      </c>
      <c r="O330" s="5" t="s">
        <v>872</v>
      </c>
      <c r="P330" s="5">
        <v>2</v>
      </c>
      <c r="Q330" s="5">
        <v>74</v>
      </c>
      <c r="R330" s="5">
        <v>23</v>
      </c>
      <c r="S330" s="5">
        <v>33.47</v>
      </c>
      <c r="T330" s="5" t="s">
        <v>1673</v>
      </c>
      <c r="U330" s="5" t="s">
        <v>4273</v>
      </c>
      <c r="V330" s="5" t="s">
        <v>2288</v>
      </c>
      <c r="W330" s="5">
        <v>1.39</v>
      </c>
      <c r="X330" s="5">
        <v>61.04</v>
      </c>
      <c r="Y330" s="5">
        <v>133</v>
      </c>
      <c r="Z330" s="5" t="s">
        <v>2290</v>
      </c>
      <c r="AA330" s="5" t="s">
        <v>3032</v>
      </c>
      <c r="AB330" s="5" t="s">
        <v>19</v>
      </c>
      <c r="AC330" s="5" t="s">
        <v>19</v>
      </c>
      <c r="AD330" s="5" t="s">
        <v>19</v>
      </c>
      <c r="AE330" s="5" t="s">
        <v>1698</v>
      </c>
      <c r="AF330" s="5" t="s">
        <v>4274</v>
      </c>
      <c r="AG330" s="5">
        <v>11</v>
      </c>
      <c r="AH330" s="5">
        <v>8</v>
      </c>
      <c r="AI330" s="5">
        <v>3</v>
      </c>
      <c r="AJ330" s="5">
        <v>1100</v>
      </c>
      <c r="AK330" s="5">
        <v>300</v>
      </c>
      <c r="AL330" s="5" t="s">
        <v>12</v>
      </c>
      <c r="AM330" s="5" t="s">
        <v>12</v>
      </c>
      <c r="AN330" s="5" t="s">
        <v>12</v>
      </c>
      <c r="AO330" s="5" t="s">
        <v>11</v>
      </c>
      <c r="AP330" s="5" t="s">
        <v>11</v>
      </c>
      <c r="AQ330" s="5" t="s">
        <v>18</v>
      </c>
      <c r="AR330" s="5" t="s">
        <v>17</v>
      </c>
    </row>
    <row r="331" spans="1:44" ht="31.5" x14ac:dyDescent="0.25">
      <c r="A331" s="10">
        <v>46096</v>
      </c>
      <c r="B331" s="5" t="s">
        <v>477</v>
      </c>
      <c r="C331" s="5" t="s">
        <v>2291</v>
      </c>
      <c r="D331" s="5" t="s">
        <v>11</v>
      </c>
      <c r="E331" s="5" t="s">
        <v>3</v>
      </c>
      <c r="F331" s="5" t="s">
        <v>3</v>
      </c>
      <c r="G331" s="5" t="s">
        <v>4275</v>
      </c>
      <c r="H331" s="5" t="s">
        <v>4276</v>
      </c>
      <c r="I331" s="6" t="str">
        <f>HYPERLINK("http://maps.yandex.ru/?ll=38.402405,55.0962&amp;spn=0.011598,0.004531&amp;z=17&amp;l=map&amp;pt=38.402405,55.0962", "55.09628//38.402405")</f>
        <v>55.09628//38.402405</v>
      </c>
      <c r="J331" s="5" t="s">
        <v>56</v>
      </c>
      <c r="K331" s="6" t="str">
        <f>HYPERLINK("http://maps.yandex.ru/?ll=36.31516,56.7143&amp;spn=0.011598,0.004531&amp;z=17&amp;l=map&amp;pt=36.31516,56.7143", "56.71434//36.31516")</f>
        <v>56.71434//36.31516</v>
      </c>
      <c r="L331" s="5" t="s">
        <v>50</v>
      </c>
      <c r="M331" s="5" t="s">
        <v>870</v>
      </c>
      <c r="N331" s="5" t="s">
        <v>171</v>
      </c>
      <c r="O331" s="5" t="s">
        <v>358</v>
      </c>
      <c r="P331" s="5">
        <v>24</v>
      </c>
      <c r="Q331" s="5">
        <v>64</v>
      </c>
      <c r="R331" s="5">
        <v>12</v>
      </c>
      <c r="S331" s="5">
        <v>253.29</v>
      </c>
      <c r="T331" s="5" t="s">
        <v>4277</v>
      </c>
      <c r="U331" s="5" t="s">
        <v>4278</v>
      </c>
      <c r="V331" s="5" t="s">
        <v>4279</v>
      </c>
      <c r="W331" s="5">
        <v>10.55</v>
      </c>
      <c r="X331" s="5">
        <v>44.05</v>
      </c>
      <c r="Y331" s="5">
        <v>219</v>
      </c>
      <c r="Z331" s="5" t="s">
        <v>2292</v>
      </c>
      <c r="AA331" s="5" t="s">
        <v>4280</v>
      </c>
      <c r="AB331" s="5" t="s">
        <v>1578</v>
      </c>
      <c r="AC331" s="5" t="s">
        <v>1673</v>
      </c>
      <c r="AD331" s="5" t="s">
        <v>19</v>
      </c>
      <c r="AE331" s="5" t="s">
        <v>2336</v>
      </c>
      <c r="AF331" s="5" t="s">
        <v>4281</v>
      </c>
      <c r="AG331" s="5"/>
      <c r="AH331" s="5">
        <v>0</v>
      </c>
      <c r="AI331" s="5"/>
      <c r="AJ331" s="5">
        <v>0</v>
      </c>
      <c r="AK331" s="5">
        <v>0</v>
      </c>
      <c r="AL331" s="5" t="s">
        <v>12</v>
      </c>
      <c r="AM331" s="5" t="s">
        <v>12</v>
      </c>
      <c r="AN331" s="5" t="s">
        <v>12</v>
      </c>
      <c r="AO331" s="5" t="s">
        <v>11</v>
      </c>
      <c r="AP331" s="5" t="s">
        <v>11</v>
      </c>
      <c r="AQ331" s="5" t="s">
        <v>92</v>
      </c>
      <c r="AR331" s="5" t="s">
        <v>297</v>
      </c>
    </row>
    <row r="332" spans="1:44" ht="31.5" x14ac:dyDescent="0.25">
      <c r="A332" s="10">
        <v>46096</v>
      </c>
      <c r="B332" s="5" t="s">
        <v>475</v>
      </c>
      <c r="C332" s="5" t="s">
        <v>2293</v>
      </c>
      <c r="D332" s="5" t="s">
        <v>11</v>
      </c>
      <c r="E332" s="5" t="s">
        <v>5</v>
      </c>
      <c r="F332" s="5" t="s">
        <v>5</v>
      </c>
      <c r="G332" s="5" t="s">
        <v>3103</v>
      </c>
      <c r="H332" s="5" t="s">
        <v>4282</v>
      </c>
      <c r="I332" s="6" t="str">
        <f>HYPERLINK("http://maps.yandex.ru/?ll=50.387367,53.454&amp;spn=0.011598,0.004531&amp;z=17&amp;l=map&amp;pt=50.387367,53.454", "53.4544//50.387367")</f>
        <v>53.4544//50.387367</v>
      </c>
      <c r="J332" s="5" t="s">
        <v>76</v>
      </c>
      <c r="K332" s="6" t="str">
        <f>HYPERLINK("http://maps.yandex.ru/?ll=50.679867,53.43414&amp;spn=0.011598,0.004531&amp;z=17&amp;l=map&amp;pt=50.679867,53.43414", "53.434147//50.679867")</f>
        <v>53.434147//50.679867</v>
      </c>
      <c r="L332" s="5" t="s">
        <v>76</v>
      </c>
      <c r="M332" s="5" t="s">
        <v>372</v>
      </c>
      <c r="N332" s="5" t="s">
        <v>1435</v>
      </c>
      <c r="O332" s="5" t="s">
        <v>505</v>
      </c>
      <c r="P332" s="5">
        <v>2</v>
      </c>
      <c r="Q332" s="5">
        <v>68</v>
      </c>
      <c r="R332" s="5">
        <v>30</v>
      </c>
      <c r="S332" s="5">
        <v>16.128</v>
      </c>
      <c r="T332" s="5" t="s">
        <v>1695</v>
      </c>
      <c r="U332" s="5" t="s">
        <v>2294</v>
      </c>
      <c r="V332" s="5" t="s">
        <v>4283</v>
      </c>
      <c r="W332" s="5">
        <v>0.67</v>
      </c>
      <c r="X332" s="5">
        <v>28.93</v>
      </c>
      <c r="Y332" s="5">
        <v>243</v>
      </c>
      <c r="Z332" s="5" t="s">
        <v>2011</v>
      </c>
      <c r="AA332" s="5" t="s">
        <v>1906</v>
      </c>
      <c r="AB332" s="5" t="s">
        <v>19</v>
      </c>
      <c r="AC332" s="5" t="s">
        <v>19</v>
      </c>
      <c r="AD332" s="5" t="s">
        <v>19</v>
      </c>
      <c r="AE332" s="5" t="s">
        <v>2049</v>
      </c>
      <c r="AF332" s="5" t="s">
        <v>4284</v>
      </c>
      <c r="AG332" s="5">
        <v>4</v>
      </c>
      <c r="AH332" s="5">
        <v>1</v>
      </c>
      <c r="AI332" s="5">
        <v>3</v>
      </c>
      <c r="AJ332" s="5">
        <v>44.44</v>
      </c>
      <c r="AK332" s="5">
        <v>33.33</v>
      </c>
      <c r="AL332" s="5" t="s">
        <v>12</v>
      </c>
      <c r="AM332" s="5" t="s">
        <v>12</v>
      </c>
      <c r="AN332" s="5" t="s">
        <v>12</v>
      </c>
      <c r="AO332" s="5" t="s">
        <v>11</v>
      </c>
      <c r="AP332" s="5" t="s">
        <v>11</v>
      </c>
      <c r="AQ332" s="5" t="s">
        <v>53</v>
      </c>
      <c r="AR332" s="5" t="s">
        <v>52</v>
      </c>
    </row>
    <row r="333" spans="1:44" ht="15.75" x14ac:dyDescent="0.25">
      <c r="A333" s="10">
        <v>46096</v>
      </c>
      <c r="B333" s="5" t="s">
        <v>472</v>
      </c>
      <c r="C333" s="5" t="s">
        <v>2295</v>
      </c>
      <c r="D333" s="5" t="s">
        <v>11</v>
      </c>
      <c r="E333" s="5" t="s">
        <v>4</v>
      </c>
      <c r="F333" s="5" t="s">
        <v>4</v>
      </c>
      <c r="G333" s="5" t="s">
        <v>11</v>
      </c>
      <c r="H333" s="5" t="s">
        <v>11</v>
      </c>
      <c r="I333" s="6" t="str">
        <f>HYPERLINK("http://maps.yandex.ru/?ll=,&amp;spn=0.011598,0.004531&amp;z=17&amp;l=map&amp;pt=,", "")</f>
        <v/>
      </c>
      <c r="J333" s="5" t="s">
        <v>84</v>
      </c>
      <c r="K333" s="6" t="str">
        <f>HYPERLINK("http://maps.yandex.ru/?ll=,&amp;spn=0.011598,0.004531&amp;z=17&amp;l=map&amp;pt=,", "")</f>
        <v/>
      </c>
      <c r="L333" s="5" t="s">
        <v>84</v>
      </c>
      <c r="M333" s="5" t="s">
        <v>13</v>
      </c>
      <c r="N333" s="5" t="s">
        <v>13</v>
      </c>
      <c r="O333" s="5" t="s">
        <v>58</v>
      </c>
      <c r="P333" s="5">
        <v>0</v>
      </c>
      <c r="Q333" s="5">
        <v>0</v>
      </c>
      <c r="R333" s="5">
        <v>100</v>
      </c>
      <c r="S333" s="5">
        <v>0</v>
      </c>
      <c r="T333" s="5" t="s">
        <v>12</v>
      </c>
      <c r="U333" s="5" t="s">
        <v>12</v>
      </c>
      <c r="V333" s="5" t="s">
        <v>12</v>
      </c>
      <c r="W333" s="5">
        <v>0</v>
      </c>
      <c r="X333" s="5">
        <v>0</v>
      </c>
      <c r="Y333" s="5">
        <v>0</v>
      </c>
      <c r="Z333" s="5" t="s">
        <v>12</v>
      </c>
      <c r="AA333" s="5" t="s">
        <v>12</v>
      </c>
      <c r="AB333" s="5" t="s">
        <v>19</v>
      </c>
      <c r="AC333" s="5" t="s">
        <v>19</v>
      </c>
      <c r="AD333" s="5" t="s">
        <v>19</v>
      </c>
      <c r="AE333" s="5" t="s">
        <v>12</v>
      </c>
      <c r="AF333" s="5" t="s">
        <v>12</v>
      </c>
      <c r="AG333" s="5"/>
      <c r="AH333" s="5"/>
      <c r="AI333" s="5"/>
      <c r="AJ333" s="5"/>
      <c r="AK333" s="5"/>
      <c r="AL333" s="5" t="s">
        <v>12</v>
      </c>
      <c r="AM333" s="5" t="s">
        <v>12</v>
      </c>
      <c r="AN333" s="5" t="s">
        <v>12</v>
      </c>
      <c r="AO333" s="5" t="s">
        <v>83</v>
      </c>
      <c r="AP333" s="5" t="s">
        <v>82</v>
      </c>
      <c r="AQ333" s="5" t="s">
        <v>67</v>
      </c>
      <c r="AR333" s="5" t="s">
        <v>66</v>
      </c>
    </row>
    <row r="334" spans="1:44" ht="31.5" x14ac:dyDescent="0.25">
      <c r="A334" s="10">
        <v>46096</v>
      </c>
      <c r="B334" s="5" t="s">
        <v>471</v>
      </c>
      <c r="C334" s="5" t="s">
        <v>2296</v>
      </c>
      <c r="D334" s="5" t="s">
        <v>11</v>
      </c>
      <c r="E334" s="5" t="s">
        <v>1</v>
      </c>
      <c r="F334" s="5" t="s">
        <v>1</v>
      </c>
      <c r="G334" s="5" t="s">
        <v>3103</v>
      </c>
      <c r="H334" s="5" t="s">
        <v>3121</v>
      </c>
      <c r="I334" s="6" t="str">
        <f>HYPERLINK("http://maps.yandex.ru/?ll=37.561035,53.6496&amp;spn=0.011598,0.004531&amp;z=17&amp;l=map&amp;pt=37.561035,53.6496", "53.64962//37.561035")</f>
        <v>53.64962//37.561035</v>
      </c>
      <c r="J334" s="5" t="s">
        <v>168</v>
      </c>
      <c r="K334" s="6" t="str">
        <f>HYPERLINK("http://maps.yandex.ru/?ll=39.72235,55.6160&amp;spn=0.011598,0.004531&amp;z=17&amp;l=map&amp;pt=39.72235,55.6160", "55.61609//39.72235")</f>
        <v>55.61609//39.72235</v>
      </c>
      <c r="L334" s="5" t="s">
        <v>56</v>
      </c>
      <c r="M334" s="5" t="s">
        <v>1308</v>
      </c>
      <c r="N334" s="5" t="s">
        <v>763</v>
      </c>
      <c r="O334" s="5" t="s">
        <v>558</v>
      </c>
      <c r="P334" s="5">
        <v>23</v>
      </c>
      <c r="Q334" s="5">
        <v>4</v>
      </c>
      <c r="R334" s="5">
        <v>73</v>
      </c>
      <c r="S334" s="5">
        <v>383.32600000000002</v>
      </c>
      <c r="T334" s="5" t="s">
        <v>4285</v>
      </c>
      <c r="U334" s="5" t="s">
        <v>4286</v>
      </c>
      <c r="V334" s="5" t="s">
        <v>4287</v>
      </c>
      <c r="W334" s="5">
        <v>15.97</v>
      </c>
      <c r="X334" s="5">
        <v>68.13</v>
      </c>
      <c r="Y334" s="5">
        <v>108</v>
      </c>
      <c r="Z334" s="5" t="s">
        <v>2914</v>
      </c>
      <c r="AA334" s="5" t="s">
        <v>2862</v>
      </c>
      <c r="AB334" s="5" t="s">
        <v>19</v>
      </c>
      <c r="AC334" s="5" t="s">
        <v>19</v>
      </c>
      <c r="AD334" s="5" t="s">
        <v>19</v>
      </c>
      <c r="AE334" s="5" t="s">
        <v>1567</v>
      </c>
      <c r="AF334" s="5" t="s">
        <v>4288</v>
      </c>
      <c r="AG334" s="5">
        <v>82</v>
      </c>
      <c r="AH334" s="5">
        <v>1</v>
      </c>
      <c r="AI334" s="5">
        <v>81</v>
      </c>
      <c r="AJ334" s="5">
        <v>23.84</v>
      </c>
      <c r="AK334" s="5">
        <v>23.55</v>
      </c>
      <c r="AL334" s="5" t="s">
        <v>12</v>
      </c>
      <c r="AM334" s="5" t="s">
        <v>12</v>
      </c>
      <c r="AN334" s="5" t="s">
        <v>12</v>
      </c>
      <c r="AO334" s="5" t="s">
        <v>11</v>
      </c>
      <c r="AP334" s="5" t="s">
        <v>11</v>
      </c>
      <c r="AQ334" s="5" t="s">
        <v>18</v>
      </c>
      <c r="AR334" s="5" t="s">
        <v>17</v>
      </c>
    </row>
    <row r="335" spans="1:44" ht="31.5" x14ac:dyDescent="0.25">
      <c r="A335" s="10">
        <v>46096</v>
      </c>
      <c r="B335" s="5" t="s">
        <v>469</v>
      </c>
      <c r="C335" s="5" t="s">
        <v>2298</v>
      </c>
      <c r="D335" s="5" t="s">
        <v>11</v>
      </c>
      <c r="E335" s="5" t="s">
        <v>3</v>
      </c>
      <c r="F335" s="5" t="s">
        <v>3</v>
      </c>
      <c r="G335" s="5" t="s">
        <v>4289</v>
      </c>
      <c r="H335" s="5" t="s">
        <v>4290</v>
      </c>
      <c r="I335" s="6" t="str">
        <f>HYPERLINK("http://maps.yandex.ru/?ll=40.436428,50.13744&amp;spn=0.011598,0.004531&amp;z=17&amp;l=map&amp;pt=40.436428,50.13744", "50.137444//40.436428")</f>
        <v>50.137444//40.436428</v>
      </c>
      <c r="J335" s="5" t="s">
        <v>101</v>
      </c>
      <c r="K335" s="6" t="str">
        <f>HYPERLINK("http://maps.yandex.ru/?ll=37.05064,56.02556&amp;spn=0.011598,0.004531&amp;z=17&amp;l=map&amp;pt=37.05064,56.02556", "56.025562//37.05064")</f>
        <v>56.025562//37.05064</v>
      </c>
      <c r="L335" s="5" t="s">
        <v>56</v>
      </c>
      <c r="M335" s="5" t="s">
        <v>1314</v>
      </c>
      <c r="N335" s="5" t="s">
        <v>1121</v>
      </c>
      <c r="O335" s="5" t="s">
        <v>1354</v>
      </c>
      <c r="P335" s="5">
        <v>37</v>
      </c>
      <c r="Q335" s="5">
        <v>51</v>
      </c>
      <c r="R335" s="5">
        <v>12</v>
      </c>
      <c r="S335" s="5">
        <v>676.41300000000001</v>
      </c>
      <c r="T335" s="5" t="s">
        <v>2098</v>
      </c>
      <c r="U335" s="5" t="s">
        <v>4291</v>
      </c>
      <c r="V335" s="5" t="s">
        <v>4292</v>
      </c>
      <c r="W335" s="5">
        <v>28.18</v>
      </c>
      <c r="X335" s="5">
        <v>76.22</v>
      </c>
      <c r="Y335" s="5">
        <v>115</v>
      </c>
      <c r="Z335" s="5" t="s">
        <v>1604</v>
      </c>
      <c r="AA335" s="5" t="s">
        <v>2493</v>
      </c>
      <c r="AB335" s="5" t="s">
        <v>2274</v>
      </c>
      <c r="AC335" s="5" t="s">
        <v>1673</v>
      </c>
      <c r="AD335" s="5" t="s">
        <v>19</v>
      </c>
      <c r="AE335" s="5" t="s">
        <v>1970</v>
      </c>
      <c r="AF335" s="5" t="s">
        <v>4293</v>
      </c>
      <c r="AG335" s="5">
        <v>266</v>
      </c>
      <c r="AH335" s="5">
        <v>3</v>
      </c>
      <c r="AI335" s="5">
        <v>263</v>
      </c>
      <c r="AJ335" s="5">
        <v>30.72</v>
      </c>
      <c r="AK335" s="5">
        <v>30.37</v>
      </c>
      <c r="AL335" s="5" t="s">
        <v>12</v>
      </c>
      <c r="AM335" s="5" t="s">
        <v>12</v>
      </c>
      <c r="AN335" s="5" t="s">
        <v>12</v>
      </c>
      <c r="AO335" s="5" t="s">
        <v>11</v>
      </c>
      <c r="AP335" s="5" t="s">
        <v>11</v>
      </c>
      <c r="AQ335" s="5" t="s">
        <v>18</v>
      </c>
      <c r="AR335" s="5" t="s">
        <v>17</v>
      </c>
    </row>
    <row r="336" spans="1:44" ht="31.5" x14ac:dyDescent="0.25">
      <c r="A336" s="10">
        <v>46096</v>
      </c>
      <c r="B336" s="5" t="s">
        <v>468</v>
      </c>
      <c r="C336" s="5" t="s">
        <v>2299</v>
      </c>
      <c r="D336" s="5" t="s">
        <v>11</v>
      </c>
      <c r="E336" s="5" t="s">
        <v>6</v>
      </c>
      <c r="F336" s="5" t="s">
        <v>6</v>
      </c>
      <c r="G336" s="5" t="s">
        <v>4294</v>
      </c>
      <c r="H336" s="5" t="s">
        <v>4295</v>
      </c>
      <c r="I336" s="6" t="str">
        <f>HYPERLINK("http://maps.yandex.ru/?ll=39.218323,51.80359&amp;spn=0.011598,0.004531&amp;z=17&amp;l=map&amp;pt=39.218323,51.80359", "51.803596//39.218323")</f>
        <v>51.803596//39.218323</v>
      </c>
      <c r="J336" s="5" t="s">
        <v>101</v>
      </c>
      <c r="K336" s="6" t="str">
        <f>HYPERLINK("http://maps.yandex.ru/?ll=39.213657,51.8037&amp;spn=0.011598,0.004531&amp;z=17&amp;l=map&amp;pt=39.213657,51.8037", "51.80379//39.213657")</f>
        <v>51.80379//39.213657</v>
      </c>
      <c r="L336" s="5" t="s">
        <v>101</v>
      </c>
      <c r="M336" s="5" t="s">
        <v>63</v>
      </c>
      <c r="N336" s="5" t="s">
        <v>3765</v>
      </c>
      <c r="O336" s="5" t="s">
        <v>4296</v>
      </c>
      <c r="P336" s="5">
        <v>1</v>
      </c>
      <c r="Q336" s="5">
        <v>27</v>
      </c>
      <c r="R336" s="5">
        <v>73</v>
      </c>
      <c r="S336" s="5">
        <v>1.212</v>
      </c>
      <c r="T336" s="5" t="s">
        <v>2203</v>
      </c>
      <c r="U336" s="5" t="s">
        <v>4297</v>
      </c>
      <c r="V336" s="5" t="s">
        <v>4298</v>
      </c>
      <c r="W336" s="5">
        <v>0.05</v>
      </c>
      <c r="X336" s="5">
        <v>9.59</v>
      </c>
      <c r="Y336" s="5">
        <v>27</v>
      </c>
      <c r="Z336" s="5" t="s">
        <v>12</v>
      </c>
      <c r="AA336" s="5" t="s">
        <v>12</v>
      </c>
      <c r="AB336" s="5" t="s">
        <v>12</v>
      </c>
      <c r="AC336" s="5" t="s">
        <v>12</v>
      </c>
      <c r="AD336" s="5" t="s">
        <v>12</v>
      </c>
      <c r="AE336" s="5" t="s">
        <v>12</v>
      </c>
      <c r="AF336" s="5" t="s">
        <v>12</v>
      </c>
      <c r="AG336" s="5">
        <v>15</v>
      </c>
      <c r="AH336" s="5">
        <v>0</v>
      </c>
      <c r="AI336" s="5">
        <v>15</v>
      </c>
      <c r="AJ336" s="5">
        <v>41.67</v>
      </c>
      <c r="AK336" s="5">
        <v>41.67</v>
      </c>
      <c r="AL336" s="5" t="s">
        <v>12</v>
      </c>
      <c r="AM336" s="5" t="s">
        <v>12</v>
      </c>
      <c r="AN336" s="5" t="s">
        <v>12</v>
      </c>
      <c r="AO336" s="5" t="s">
        <v>11</v>
      </c>
      <c r="AP336" s="5" t="s">
        <v>11</v>
      </c>
      <c r="AQ336" s="5" t="s">
        <v>37</v>
      </c>
      <c r="AR336" s="5" t="s">
        <v>437</v>
      </c>
    </row>
    <row r="337" spans="1:44" ht="31.5" x14ac:dyDescent="0.25">
      <c r="A337" s="10">
        <v>46096</v>
      </c>
      <c r="B337" s="5" t="s">
        <v>464</v>
      </c>
      <c r="C337" s="5" t="s">
        <v>2301</v>
      </c>
      <c r="D337" s="5" t="s">
        <v>11</v>
      </c>
      <c r="E337" s="5" t="s">
        <v>3</v>
      </c>
      <c r="F337" s="5" t="s">
        <v>3</v>
      </c>
      <c r="G337" s="5" t="s">
        <v>4299</v>
      </c>
      <c r="H337" s="5" t="s">
        <v>3121</v>
      </c>
      <c r="I337" s="6" t="str">
        <f>HYPERLINK("http://maps.yandex.ru/?ll=50.316303,53.3792&amp;spn=0.011598,0.004531&amp;z=17&amp;l=map&amp;pt=50.316303,53.3792", "53.37926//50.316303")</f>
        <v>53.37926//50.316303</v>
      </c>
      <c r="J337" s="5" t="s">
        <v>76</v>
      </c>
      <c r="K337" s="6" t="str">
        <f>HYPERLINK("http://maps.yandex.ru/?ll=49.823864,52.9935&amp;spn=0.011598,0.004531&amp;z=17&amp;l=map&amp;pt=49.823864,52.9935", "52.99351//49.823864")</f>
        <v>52.99351//49.823864</v>
      </c>
      <c r="L337" s="5" t="s">
        <v>76</v>
      </c>
      <c r="M337" s="5" t="s">
        <v>460</v>
      </c>
      <c r="N337" s="5" t="s">
        <v>459</v>
      </c>
      <c r="O337" s="5" t="s">
        <v>13</v>
      </c>
      <c r="P337" s="5">
        <v>9</v>
      </c>
      <c r="Q337" s="5">
        <v>91</v>
      </c>
      <c r="R337" s="5">
        <v>0</v>
      </c>
      <c r="S337" s="5">
        <v>116.89100000000001</v>
      </c>
      <c r="T337" s="5" t="s">
        <v>12</v>
      </c>
      <c r="U337" s="5" t="s">
        <v>12</v>
      </c>
      <c r="V337" s="5" t="s">
        <v>12</v>
      </c>
      <c r="W337" s="5">
        <v>4.87</v>
      </c>
      <c r="X337" s="5">
        <v>56.46</v>
      </c>
      <c r="Y337" s="5">
        <v>94</v>
      </c>
      <c r="Z337" s="5" t="s">
        <v>12</v>
      </c>
      <c r="AA337" s="5" t="s">
        <v>12</v>
      </c>
      <c r="AB337" s="5" t="s">
        <v>12</v>
      </c>
      <c r="AC337" s="5" t="s">
        <v>12</v>
      </c>
      <c r="AD337" s="5" t="s">
        <v>12</v>
      </c>
      <c r="AE337" s="5" t="s">
        <v>12</v>
      </c>
      <c r="AF337" s="5" t="s">
        <v>12</v>
      </c>
      <c r="AG337" s="5"/>
      <c r="AH337" s="5"/>
      <c r="AI337" s="5"/>
      <c r="AJ337" s="5"/>
      <c r="AK337" s="5"/>
      <c r="AL337" s="5" t="s">
        <v>4300</v>
      </c>
      <c r="AM337" s="5" t="s">
        <v>4301</v>
      </c>
      <c r="AN337" s="5" t="s">
        <v>1720</v>
      </c>
      <c r="AO337" s="5" t="s">
        <v>69</v>
      </c>
      <c r="AP337" s="5" t="s">
        <v>68</v>
      </c>
      <c r="AQ337" s="5" t="s">
        <v>67</v>
      </c>
      <c r="AR337" s="5" t="s">
        <v>66</v>
      </c>
    </row>
    <row r="338" spans="1:44" ht="31.5" x14ac:dyDescent="0.25">
      <c r="A338" s="10">
        <v>46096</v>
      </c>
      <c r="B338" s="5" t="s">
        <v>461</v>
      </c>
      <c r="C338" s="5" t="s">
        <v>2302</v>
      </c>
      <c r="D338" s="5" t="s">
        <v>11</v>
      </c>
      <c r="E338" s="5" t="s">
        <v>7</v>
      </c>
      <c r="F338" s="5" t="s">
        <v>7</v>
      </c>
      <c r="G338" s="5" t="s">
        <v>4302</v>
      </c>
      <c r="H338" s="5" t="s">
        <v>4303</v>
      </c>
      <c r="I338" s="6" t="str">
        <f>HYPERLINK("http://maps.yandex.ru/?ll=36.315376,56.71484&amp;spn=0.011598,0.004531&amp;z=17&amp;l=map&amp;pt=36.315376,56.71484", "56.714848//36.315376")</f>
        <v>56.714848//36.315376</v>
      </c>
      <c r="J338" s="5" t="s">
        <v>50</v>
      </c>
      <c r="K338" s="6" t="str">
        <f>HYPERLINK("http://maps.yandex.ru/?ll=30.462458,59.77630&amp;spn=0.011598,0.004531&amp;z=17&amp;l=map&amp;pt=30.462458,59.77630", "59.776302//30.462458")</f>
        <v>59.776302//30.462458</v>
      </c>
      <c r="L338" s="5" t="s">
        <v>23</v>
      </c>
      <c r="M338" s="5" t="s">
        <v>4304</v>
      </c>
      <c r="N338" s="5" t="s">
        <v>4305</v>
      </c>
      <c r="O338" s="5" t="s">
        <v>178</v>
      </c>
      <c r="P338" s="5">
        <v>32</v>
      </c>
      <c r="Q338" s="5">
        <v>65</v>
      </c>
      <c r="R338" s="5">
        <v>3</v>
      </c>
      <c r="S338" s="5">
        <v>548.89599999999996</v>
      </c>
      <c r="T338" s="5" t="s">
        <v>12</v>
      </c>
      <c r="U338" s="5" t="s">
        <v>12</v>
      </c>
      <c r="V338" s="5" t="s">
        <v>12</v>
      </c>
      <c r="W338" s="5">
        <v>22.87</v>
      </c>
      <c r="X338" s="5">
        <v>70.88</v>
      </c>
      <c r="Y338" s="5">
        <v>106</v>
      </c>
      <c r="Z338" s="5" t="s">
        <v>1516</v>
      </c>
      <c r="AA338" s="5" t="s">
        <v>2136</v>
      </c>
      <c r="AB338" s="5" t="s">
        <v>2505</v>
      </c>
      <c r="AC338" s="5" t="s">
        <v>1673</v>
      </c>
      <c r="AD338" s="5" t="s">
        <v>19</v>
      </c>
      <c r="AE338" s="5" t="s">
        <v>1935</v>
      </c>
      <c r="AF338" s="5" t="s">
        <v>12</v>
      </c>
      <c r="AG338" s="5"/>
      <c r="AH338" s="5"/>
      <c r="AI338" s="5"/>
      <c r="AJ338" s="5"/>
      <c r="AK338" s="5"/>
      <c r="AL338" s="5" t="s">
        <v>4306</v>
      </c>
      <c r="AM338" s="5" t="s">
        <v>4307</v>
      </c>
      <c r="AN338" s="5" t="s">
        <v>1756</v>
      </c>
      <c r="AO338" s="5" t="s">
        <v>69</v>
      </c>
      <c r="AP338" s="5" t="s">
        <v>68</v>
      </c>
      <c r="AQ338" s="5" t="s">
        <v>67</v>
      </c>
      <c r="AR338" s="5" t="s">
        <v>66</v>
      </c>
    </row>
    <row r="339" spans="1:44" ht="31.5" x14ac:dyDescent="0.25">
      <c r="A339" s="10">
        <v>46096</v>
      </c>
      <c r="B339" s="5" t="s">
        <v>526</v>
      </c>
      <c r="C339" s="5" t="s">
        <v>2304</v>
      </c>
      <c r="D339" s="5" t="s">
        <v>11</v>
      </c>
      <c r="E339" s="5" t="s">
        <v>7</v>
      </c>
      <c r="F339" s="5" t="s">
        <v>7</v>
      </c>
      <c r="G339" s="5" t="s">
        <v>3103</v>
      </c>
      <c r="H339" s="5" t="s">
        <v>4308</v>
      </c>
      <c r="I339" s="6" t="str">
        <f>HYPERLINK("http://maps.yandex.ru/?ll=52.61756,54.1510&amp;spn=0.011598,0.004531&amp;z=17&amp;l=map&amp;pt=52.61756,54.1510", "54.15109//52.61756")</f>
        <v>54.15109//52.61756</v>
      </c>
      <c r="J339" s="5" t="s">
        <v>300</v>
      </c>
      <c r="K339" s="6" t="str">
        <f>HYPERLINK("http://maps.yandex.ru/?ll=56.072376,54.79675&amp;spn=0.011598,0.004531&amp;z=17&amp;l=map&amp;pt=56.072376,54.79675", "54.796753//56.072376")</f>
        <v>54.796753//56.072376</v>
      </c>
      <c r="L339" s="5" t="s">
        <v>34</v>
      </c>
      <c r="M339" s="5" t="s">
        <v>206</v>
      </c>
      <c r="N339" s="5" t="s">
        <v>4296</v>
      </c>
      <c r="O339" s="5" t="s">
        <v>13</v>
      </c>
      <c r="P339" s="5">
        <v>27</v>
      </c>
      <c r="Q339" s="5">
        <v>73</v>
      </c>
      <c r="R339" s="5">
        <v>0</v>
      </c>
      <c r="S339" s="5">
        <v>269.09300000000002</v>
      </c>
      <c r="T339" s="5" t="s">
        <v>12</v>
      </c>
      <c r="U339" s="5" t="s">
        <v>12</v>
      </c>
      <c r="V339" s="5" t="s">
        <v>12</v>
      </c>
      <c r="W339" s="5">
        <v>11.21</v>
      </c>
      <c r="X339" s="5">
        <v>41.01</v>
      </c>
      <c r="Y339" s="5">
        <v>90</v>
      </c>
      <c r="Z339" s="5" t="s">
        <v>12</v>
      </c>
      <c r="AA339" s="5" t="s">
        <v>12</v>
      </c>
      <c r="AB339" s="5" t="s">
        <v>12</v>
      </c>
      <c r="AC339" s="5" t="s">
        <v>12</v>
      </c>
      <c r="AD339" s="5" t="s">
        <v>12</v>
      </c>
      <c r="AE339" s="5" t="s">
        <v>12</v>
      </c>
      <c r="AF339" s="5" t="s">
        <v>12</v>
      </c>
      <c r="AG339" s="5"/>
      <c r="AH339" s="5"/>
      <c r="AI339" s="5"/>
      <c r="AJ339" s="5"/>
      <c r="AK339" s="5"/>
      <c r="AL339" s="5" t="s">
        <v>12</v>
      </c>
      <c r="AM339" s="5" t="s">
        <v>12</v>
      </c>
      <c r="AN339" s="5" t="s">
        <v>12</v>
      </c>
      <c r="AO339" s="5" t="s">
        <v>69</v>
      </c>
      <c r="AP339" s="5" t="s">
        <v>68</v>
      </c>
      <c r="AQ339" s="5" t="s">
        <v>67</v>
      </c>
      <c r="AR339" s="5" t="s">
        <v>66</v>
      </c>
    </row>
    <row r="340" spans="1:44" ht="31.5" x14ac:dyDescent="0.25">
      <c r="A340" s="10">
        <v>46096</v>
      </c>
      <c r="B340" s="5" t="s">
        <v>458</v>
      </c>
      <c r="C340" s="5" t="s">
        <v>2305</v>
      </c>
      <c r="D340" s="5" t="s">
        <v>11</v>
      </c>
      <c r="E340" s="5" t="s">
        <v>8</v>
      </c>
      <c r="F340" s="5" t="s">
        <v>8</v>
      </c>
      <c r="G340" s="5" t="s">
        <v>4309</v>
      </c>
      <c r="H340" s="5" t="s">
        <v>4310</v>
      </c>
      <c r="I340" s="6" t="str">
        <f>HYPERLINK("http://maps.yandex.ru/?ll=37.428764,56.01214&amp;spn=0.011598,0.004531&amp;z=17&amp;l=map&amp;pt=37.428764,56.01214", "56.012142//37.428764")</f>
        <v>56.012142//37.428764</v>
      </c>
      <c r="J340" s="5" t="s">
        <v>56</v>
      </c>
      <c r="K340" s="6" t="str">
        <f>HYPERLINK("http://maps.yandex.ru/?ll=30.396122,59.8996&amp;spn=0.011598,0.004531&amp;z=17&amp;l=map&amp;pt=30.396122,59.8996", "59.89969//30.396122")</f>
        <v>59.89969//30.396122</v>
      </c>
      <c r="L340" s="5" t="s">
        <v>23</v>
      </c>
      <c r="M340" s="5" t="s">
        <v>1359</v>
      </c>
      <c r="N340" s="5" t="s">
        <v>26</v>
      </c>
      <c r="O340" s="5" t="s">
        <v>128</v>
      </c>
      <c r="P340" s="5">
        <v>37</v>
      </c>
      <c r="Q340" s="5">
        <v>61</v>
      </c>
      <c r="R340" s="5">
        <v>2</v>
      </c>
      <c r="S340" s="5">
        <v>679.43100000000004</v>
      </c>
      <c r="T340" s="5" t="s">
        <v>12</v>
      </c>
      <c r="U340" s="5" t="s">
        <v>12</v>
      </c>
      <c r="V340" s="5" t="s">
        <v>12</v>
      </c>
      <c r="W340" s="5">
        <v>28.31</v>
      </c>
      <c r="X340" s="5">
        <v>77.459999999999994</v>
      </c>
      <c r="Y340" s="5">
        <v>120</v>
      </c>
      <c r="Z340" s="5" t="s">
        <v>2307</v>
      </c>
      <c r="AA340" s="5" t="s">
        <v>2085</v>
      </c>
      <c r="AB340" s="5" t="s">
        <v>1717</v>
      </c>
      <c r="AC340" s="5" t="s">
        <v>1673</v>
      </c>
      <c r="AD340" s="5" t="s">
        <v>19</v>
      </c>
      <c r="AE340" s="5" t="s">
        <v>1671</v>
      </c>
      <c r="AF340" s="5" t="s">
        <v>12</v>
      </c>
      <c r="AG340" s="5"/>
      <c r="AH340" s="5"/>
      <c r="AI340" s="5"/>
      <c r="AJ340" s="5"/>
      <c r="AK340" s="5"/>
      <c r="AL340" s="5" t="s">
        <v>2309</v>
      </c>
      <c r="AM340" s="5" t="s">
        <v>4311</v>
      </c>
      <c r="AN340" s="5" t="s">
        <v>1673</v>
      </c>
      <c r="AO340" s="5" t="s">
        <v>69</v>
      </c>
      <c r="AP340" s="5" t="s">
        <v>68</v>
      </c>
      <c r="AQ340" s="5" t="s">
        <v>67</v>
      </c>
      <c r="AR340" s="5" t="s">
        <v>66</v>
      </c>
    </row>
    <row r="341" spans="1:44" ht="31.5" x14ac:dyDescent="0.25">
      <c r="A341" s="10">
        <v>46096</v>
      </c>
      <c r="B341" s="5" t="s">
        <v>455</v>
      </c>
      <c r="C341" s="5" t="s">
        <v>2310</v>
      </c>
      <c r="D341" s="5" t="s">
        <v>11</v>
      </c>
      <c r="E341" s="5" t="s">
        <v>3</v>
      </c>
      <c r="F341" s="5" t="s">
        <v>3</v>
      </c>
      <c r="G341" s="5" t="s">
        <v>3103</v>
      </c>
      <c r="H341" s="5" t="s">
        <v>4312</v>
      </c>
      <c r="I341" s="6" t="str">
        <f>HYPERLINK("http://maps.yandex.ru/?ll=41.71282,44.73585&amp;spn=0.011598,0.004531&amp;z=17&amp;l=map&amp;pt=41.71282,44.73585", "44.735855//41.71282")</f>
        <v>44.735855//41.71282</v>
      </c>
      <c r="J341" s="5" t="s">
        <v>208</v>
      </c>
      <c r="K341" s="6" t="str">
        <f>HYPERLINK("http://maps.yandex.ru/?ll=39.986675,50.8542&amp;spn=0.011598,0.004531&amp;z=17&amp;l=map&amp;pt=39.986675,50.8542", "50.85421//39.986675")</f>
        <v>50.85421//39.986675</v>
      </c>
      <c r="L341" s="5" t="s">
        <v>101</v>
      </c>
      <c r="M341" s="5" t="s">
        <v>212</v>
      </c>
      <c r="N341" s="5" t="s">
        <v>4175</v>
      </c>
      <c r="O341" s="5" t="s">
        <v>677</v>
      </c>
      <c r="P341" s="5">
        <v>43</v>
      </c>
      <c r="Q341" s="5">
        <v>20</v>
      </c>
      <c r="R341" s="5">
        <v>36</v>
      </c>
      <c r="S341" s="5">
        <v>767.74900000000002</v>
      </c>
      <c r="T341" s="5" t="s">
        <v>4313</v>
      </c>
      <c r="U341" s="5" t="s">
        <v>4314</v>
      </c>
      <c r="V341" s="5" t="s">
        <v>4315</v>
      </c>
      <c r="W341" s="5">
        <v>31.99</v>
      </c>
      <c r="X341" s="5">
        <v>74.33</v>
      </c>
      <c r="Y341" s="5">
        <v>103</v>
      </c>
      <c r="Z341" s="5" t="s">
        <v>2503</v>
      </c>
      <c r="AA341" s="5" t="s">
        <v>1565</v>
      </c>
      <c r="AB341" s="5" t="s">
        <v>4316</v>
      </c>
      <c r="AC341" s="5" t="s">
        <v>1673</v>
      </c>
      <c r="AD341" s="5" t="s">
        <v>19</v>
      </c>
      <c r="AE341" s="5" t="s">
        <v>4317</v>
      </c>
      <c r="AF341" s="5" t="s">
        <v>4318</v>
      </c>
      <c r="AG341" s="5">
        <v>279</v>
      </c>
      <c r="AH341" s="5">
        <v>0</v>
      </c>
      <c r="AI341" s="5">
        <v>279</v>
      </c>
      <c r="AJ341" s="5">
        <v>32.56</v>
      </c>
      <c r="AK341" s="5">
        <v>32.56</v>
      </c>
      <c r="AL341" s="5" t="s">
        <v>12</v>
      </c>
      <c r="AM341" s="5" t="s">
        <v>12</v>
      </c>
      <c r="AN341" s="5" t="s">
        <v>12</v>
      </c>
      <c r="AO341" s="5" t="s">
        <v>11</v>
      </c>
      <c r="AP341" s="5" t="s">
        <v>11</v>
      </c>
      <c r="AQ341" s="5" t="s">
        <v>18</v>
      </c>
      <c r="AR341" s="5" t="s">
        <v>17</v>
      </c>
    </row>
    <row r="342" spans="1:44" ht="15.75" x14ac:dyDescent="0.25">
      <c r="A342" s="10">
        <v>46096</v>
      </c>
      <c r="B342" s="5" t="s">
        <v>453</v>
      </c>
      <c r="C342" s="5" t="s">
        <v>2311</v>
      </c>
      <c r="D342" s="5" t="s">
        <v>11</v>
      </c>
      <c r="E342" s="5" t="s">
        <v>3</v>
      </c>
      <c r="F342" s="5" t="s">
        <v>3</v>
      </c>
      <c r="G342" s="5" t="s">
        <v>11</v>
      </c>
      <c r="H342" s="5" t="s">
        <v>11</v>
      </c>
      <c r="I342" s="6" t="str">
        <f>HYPERLINK("http://maps.yandex.ru/?ll=,&amp;spn=0.011598,0.004531&amp;z=17&amp;l=map&amp;pt=,", "")</f>
        <v/>
      </c>
      <c r="J342" s="5" t="s">
        <v>84</v>
      </c>
      <c r="K342" s="6" t="str">
        <f>HYPERLINK("http://maps.yandex.ru/?ll=,&amp;spn=0.011598,0.004531&amp;z=17&amp;l=map&amp;pt=,", "")</f>
        <v/>
      </c>
      <c r="L342" s="5" t="s">
        <v>84</v>
      </c>
      <c r="M342" s="5" t="s">
        <v>13</v>
      </c>
      <c r="N342" s="5" t="s">
        <v>13</v>
      </c>
      <c r="O342" s="5" t="s">
        <v>58</v>
      </c>
      <c r="P342" s="5">
        <v>0</v>
      </c>
      <c r="Q342" s="5">
        <v>0</v>
      </c>
      <c r="R342" s="5">
        <v>100</v>
      </c>
      <c r="S342" s="5">
        <v>0</v>
      </c>
      <c r="T342" s="5" t="s">
        <v>12</v>
      </c>
      <c r="U342" s="5" t="s">
        <v>12</v>
      </c>
      <c r="V342" s="5" t="s">
        <v>12</v>
      </c>
      <c r="W342" s="5">
        <v>0</v>
      </c>
      <c r="X342" s="5">
        <v>0</v>
      </c>
      <c r="Y342" s="5">
        <v>0</v>
      </c>
      <c r="Z342" s="5" t="s">
        <v>12</v>
      </c>
      <c r="AA342" s="5" t="s">
        <v>12</v>
      </c>
      <c r="AB342" s="5" t="s">
        <v>19</v>
      </c>
      <c r="AC342" s="5" t="s">
        <v>19</v>
      </c>
      <c r="AD342" s="5" t="s">
        <v>19</v>
      </c>
      <c r="AE342" s="5" t="s">
        <v>12</v>
      </c>
      <c r="AF342" s="5" t="s">
        <v>12</v>
      </c>
      <c r="AG342" s="5"/>
      <c r="AH342" s="5">
        <v>0</v>
      </c>
      <c r="AI342" s="5"/>
      <c r="AJ342" s="5"/>
      <c r="AK342" s="5"/>
      <c r="AL342" s="5" t="s">
        <v>12</v>
      </c>
      <c r="AM342" s="5" t="s">
        <v>12</v>
      </c>
      <c r="AN342" s="5" t="s">
        <v>12</v>
      </c>
      <c r="AO342" s="5" t="s">
        <v>11</v>
      </c>
      <c r="AP342" s="5" t="s">
        <v>11</v>
      </c>
      <c r="AQ342" s="5" t="s">
        <v>37</v>
      </c>
      <c r="AR342" s="5" t="s">
        <v>71</v>
      </c>
    </row>
    <row r="343" spans="1:44" ht="31.5" x14ac:dyDescent="0.25">
      <c r="A343" s="10">
        <v>46096</v>
      </c>
      <c r="B343" s="5" t="s">
        <v>452</v>
      </c>
      <c r="C343" s="5" t="s">
        <v>2312</v>
      </c>
      <c r="D343" s="5" t="s">
        <v>11</v>
      </c>
      <c r="E343" s="5" t="s">
        <v>1</v>
      </c>
      <c r="F343" s="5" t="s">
        <v>1</v>
      </c>
      <c r="G343" s="5" t="s">
        <v>3103</v>
      </c>
      <c r="H343" s="5" t="s">
        <v>4319</v>
      </c>
      <c r="I343" s="6" t="str">
        <f>HYPERLINK("http://maps.yandex.ru/?ll=39.22213,51.84792&amp;spn=0.011598,0.004531&amp;z=17&amp;l=map&amp;pt=39.22213,51.84792", "51.847923//39.22213")</f>
        <v>51.847923//39.22213</v>
      </c>
      <c r="J343" s="5" t="s">
        <v>101</v>
      </c>
      <c r="K343" s="6" t="str">
        <f>HYPERLINK("http://maps.yandex.ru/?ll=38.26413,51.56381&amp;spn=0.011598,0.004531&amp;z=17&amp;l=map&amp;pt=38.26413,51.56381", "51.563816//38.26413")</f>
        <v>51.563816//38.26413</v>
      </c>
      <c r="L343" s="5" t="s">
        <v>101</v>
      </c>
      <c r="M343" s="5" t="s">
        <v>322</v>
      </c>
      <c r="N343" s="5" t="s">
        <v>4320</v>
      </c>
      <c r="O343" s="5" t="s">
        <v>4321</v>
      </c>
      <c r="P343" s="5">
        <v>1</v>
      </c>
      <c r="Q343" s="5">
        <v>20</v>
      </c>
      <c r="R343" s="5">
        <v>79</v>
      </c>
      <c r="S343" s="5">
        <v>3.016</v>
      </c>
      <c r="T343" s="5" t="s">
        <v>2153</v>
      </c>
      <c r="U343" s="5" t="s">
        <v>4322</v>
      </c>
      <c r="V343" s="5" t="s">
        <v>4323</v>
      </c>
      <c r="W343" s="5">
        <v>0.13</v>
      </c>
      <c r="X343" s="5">
        <v>11.54</v>
      </c>
      <c r="Y343" s="5">
        <v>87</v>
      </c>
      <c r="Z343" s="5" t="s">
        <v>2313</v>
      </c>
      <c r="AA343" s="5" t="s">
        <v>3688</v>
      </c>
      <c r="AB343" s="5" t="s">
        <v>19</v>
      </c>
      <c r="AC343" s="5" t="s">
        <v>19</v>
      </c>
      <c r="AD343" s="5" t="s">
        <v>19</v>
      </c>
      <c r="AE343" s="5" t="s">
        <v>2398</v>
      </c>
      <c r="AF343" s="5" t="s">
        <v>4324</v>
      </c>
      <c r="AG343" s="5">
        <v>41</v>
      </c>
      <c r="AH343" s="5">
        <v>1</v>
      </c>
      <c r="AI343" s="5">
        <v>40</v>
      </c>
      <c r="AJ343" s="5">
        <v>29.93</v>
      </c>
      <c r="AK343" s="5">
        <v>29.2</v>
      </c>
      <c r="AL343" s="5" t="s">
        <v>12</v>
      </c>
      <c r="AM343" s="5" t="s">
        <v>12</v>
      </c>
      <c r="AN343" s="5" t="s">
        <v>12</v>
      </c>
      <c r="AO343" s="5" t="s">
        <v>11</v>
      </c>
      <c r="AP343" s="5" t="s">
        <v>11</v>
      </c>
      <c r="AQ343" s="5" t="s">
        <v>18</v>
      </c>
      <c r="AR343" s="5" t="s">
        <v>17</v>
      </c>
    </row>
    <row r="344" spans="1:44" ht="31.5" x14ac:dyDescent="0.25">
      <c r="A344" s="10">
        <v>46096</v>
      </c>
      <c r="B344" s="5" t="s">
        <v>451</v>
      </c>
      <c r="C344" s="5" t="s">
        <v>2393</v>
      </c>
      <c r="D344" s="5" t="s">
        <v>11</v>
      </c>
      <c r="E344" s="5" t="s">
        <v>1</v>
      </c>
      <c r="F344" s="5" t="s">
        <v>1</v>
      </c>
      <c r="G344" s="5" t="s">
        <v>4325</v>
      </c>
      <c r="H344" s="5" t="s">
        <v>4326</v>
      </c>
      <c r="I344" s="6" t="str">
        <f>HYPERLINK("http://maps.yandex.ru/?ll=36.268612,56.73151&amp;spn=0.011598,0.004531&amp;z=17&amp;l=map&amp;pt=36.268612,56.73151", "56.731518//36.268612")</f>
        <v>56.731518//36.268612</v>
      </c>
      <c r="J344" s="5" t="s">
        <v>50</v>
      </c>
      <c r="K344" s="6" t="str">
        <f>HYPERLINK("http://maps.yandex.ru/?ll=38.161053,55.49526&amp;spn=0.011598,0.004531&amp;z=17&amp;l=map&amp;pt=38.161053,55.49526", "55.495262//38.161053")</f>
        <v>55.495262//38.161053</v>
      </c>
      <c r="L344" s="5" t="s">
        <v>56</v>
      </c>
      <c r="M344" s="5" t="s">
        <v>771</v>
      </c>
      <c r="N344" s="5" t="s">
        <v>1401</v>
      </c>
      <c r="O344" s="5" t="s">
        <v>3543</v>
      </c>
      <c r="P344" s="5">
        <v>20</v>
      </c>
      <c r="Q344" s="5">
        <v>74</v>
      </c>
      <c r="R344" s="5">
        <v>6</v>
      </c>
      <c r="S344" s="5">
        <v>257.31299999999999</v>
      </c>
      <c r="T344" s="5" t="s">
        <v>1904</v>
      </c>
      <c r="U344" s="5" t="s">
        <v>4327</v>
      </c>
      <c r="V344" s="5" t="s">
        <v>4328</v>
      </c>
      <c r="W344" s="5">
        <v>10.72</v>
      </c>
      <c r="X344" s="5">
        <v>54.11</v>
      </c>
      <c r="Y344" s="5">
        <v>126</v>
      </c>
      <c r="Z344" s="5" t="s">
        <v>2395</v>
      </c>
      <c r="AA344" s="5" t="s">
        <v>2099</v>
      </c>
      <c r="AB344" s="5" t="s">
        <v>19</v>
      </c>
      <c r="AC344" s="5" t="s">
        <v>19</v>
      </c>
      <c r="AD344" s="5" t="s">
        <v>19</v>
      </c>
      <c r="AE344" s="5" t="s">
        <v>1964</v>
      </c>
      <c r="AF344" s="5" t="s">
        <v>4329</v>
      </c>
      <c r="AG344" s="5">
        <v>112</v>
      </c>
      <c r="AH344" s="5">
        <v>1</v>
      </c>
      <c r="AI344" s="5">
        <v>111</v>
      </c>
      <c r="AJ344" s="5">
        <v>36.6</v>
      </c>
      <c r="AK344" s="5">
        <v>36.270000000000003</v>
      </c>
      <c r="AL344" s="5" t="s">
        <v>12</v>
      </c>
      <c r="AM344" s="5" t="s">
        <v>12</v>
      </c>
      <c r="AN344" s="5" t="s">
        <v>12</v>
      </c>
      <c r="AO344" s="5" t="s">
        <v>11</v>
      </c>
      <c r="AP344" s="5" t="s">
        <v>11</v>
      </c>
      <c r="AQ344" s="5" t="s">
        <v>18</v>
      </c>
      <c r="AR344" s="5" t="s">
        <v>74</v>
      </c>
    </row>
    <row r="345" spans="1:44" ht="31.5" x14ac:dyDescent="0.25">
      <c r="A345" s="10">
        <v>46096</v>
      </c>
      <c r="B345" s="5" t="s">
        <v>450</v>
      </c>
      <c r="C345" s="5" t="s">
        <v>2389</v>
      </c>
      <c r="D345" s="5" t="s">
        <v>11</v>
      </c>
      <c r="E345" s="5" t="s">
        <v>4</v>
      </c>
      <c r="F345" s="5" t="s">
        <v>4</v>
      </c>
      <c r="G345" s="5" t="s">
        <v>4330</v>
      </c>
      <c r="H345" s="5" t="s">
        <v>4331</v>
      </c>
      <c r="I345" s="6" t="str">
        <f>HYPERLINK("http://maps.yandex.ru/?ll=56.059113,54.79696&amp;spn=0.011598,0.004531&amp;z=17&amp;l=map&amp;pt=56.059113,54.79696", "54.796963//56.059113")</f>
        <v>54.796963//56.059113</v>
      </c>
      <c r="J345" s="5" t="s">
        <v>34</v>
      </c>
      <c r="K345" s="6" t="str">
        <f>HYPERLINK("http://maps.yandex.ru/?ll=56.059113,54.79696&amp;spn=0.011598,0.004531&amp;z=17&amp;l=map&amp;pt=56.059113,54.79696", "54.796963//56.059113")</f>
        <v>54.796963//56.059113</v>
      </c>
      <c r="L345" s="5" t="s">
        <v>34</v>
      </c>
      <c r="M345" s="5" t="s">
        <v>13</v>
      </c>
      <c r="N345" s="5" t="s">
        <v>58</v>
      </c>
      <c r="O345" s="5" t="s">
        <v>13</v>
      </c>
      <c r="P345" s="5">
        <v>0</v>
      </c>
      <c r="Q345" s="5">
        <v>100</v>
      </c>
      <c r="R345" s="5">
        <v>0</v>
      </c>
      <c r="S345" s="5">
        <v>0</v>
      </c>
      <c r="T345" s="5" t="s">
        <v>12</v>
      </c>
      <c r="U345" s="5" t="s">
        <v>12</v>
      </c>
      <c r="V345" s="5" t="s">
        <v>12</v>
      </c>
      <c r="W345" s="5">
        <v>0</v>
      </c>
      <c r="X345" s="5">
        <v>0</v>
      </c>
      <c r="Y345" s="5">
        <v>4</v>
      </c>
      <c r="Z345" s="5" t="s">
        <v>2093</v>
      </c>
      <c r="AA345" s="5" t="s">
        <v>1606</v>
      </c>
      <c r="AB345" s="5" t="s">
        <v>19</v>
      </c>
      <c r="AC345" s="5" t="s">
        <v>19</v>
      </c>
      <c r="AD345" s="5" t="s">
        <v>19</v>
      </c>
      <c r="AE345" s="5" t="s">
        <v>1673</v>
      </c>
      <c r="AF345" s="5" t="s">
        <v>12</v>
      </c>
      <c r="AG345" s="5"/>
      <c r="AH345" s="5"/>
      <c r="AI345" s="5"/>
      <c r="AJ345" s="5"/>
      <c r="AK345" s="5"/>
      <c r="AL345" s="5" t="s">
        <v>12</v>
      </c>
      <c r="AM345" s="5" t="s">
        <v>12</v>
      </c>
      <c r="AN345" s="5" t="s">
        <v>12</v>
      </c>
      <c r="AO345" s="5" t="s">
        <v>69</v>
      </c>
      <c r="AP345" s="5" t="s">
        <v>68</v>
      </c>
      <c r="AQ345" s="5" t="s">
        <v>67</v>
      </c>
      <c r="AR345" s="5" t="s">
        <v>66</v>
      </c>
    </row>
    <row r="346" spans="1:44" ht="31.5" x14ac:dyDescent="0.25">
      <c r="A346" s="10">
        <v>46096</v>
      </c>
      <c r="B346" s="5" t="s">
        <v>448</v>
      </c>
      <c r="C346" s="5" t="s">
        <v>2390</v>
      </c>
      <c r="D346" s="5" t="s">
        <v>11</v>
      </c>
      <c r="E346" s="5" t="s">
        <v>4</v>
      </c>
      <c r="F346" s="5" t="s">
        <v>4</v>
      </c>
      <c r="G346" s="5" t="s">
        <v>4332</v>
      </c>
      <c r="H346" s="5" t="s">
        <v>4333</v>
      </c>
      <c r="I346" s="6" t="str">
        <f>HYPERLINK("http://maps.yandex.ru/?ll=65.094826,55.45274&amp;spn=0.011598,0.004531&amp;z=17&amp;l=map&amp;pt=65.094826,55.45274", "55.452747//65.094826")</f>
        <v>55.452747//65.094826</v>
      </c>
      <c r="J346" s="5" t="s">
        <v>361</v>
      </c>
      <c r="K346" s="6" t="str">
        <f>HYPERLINK("http://maps.yandex.ru/?ll=73.2059,55.0011&amp;spn=0.011598,0.004531&amp;z=17&amp;l=map&amp;pt=73.2059,55.0011", "55.00115//73.2059")</f>
        <v>55.00115//73.2059</v>
      </c>
      <c r="L346" s="5" t="s">
        <v>190</v>
      </c>
      <c r="M346" s="5" t="s">
        <v>1298</v>
      </c>
      <c r="N346" s="5" t="s">
        <v>1108</v>
      </c>
      <c r="O346" s="5" t="s">
        <v>4334</v>
      </c>
      <c r="P346" s="5">
        <v>27</v>
      </c>
      <c r="Q346" s="5">
        <v>6</v>
      </c>
      <c r="R346" s="5">
        <v>67</v>
      </c>
      <c r="S346" s="5">
        <v>466.45</v>
      </c>
      <c r="T346" s="5" t="s">
        <v>12</v>
      </c>
      <c r="U346" s="5" t="s">
        <v>12</v>
      </c>
      <c r="V346" s="5" t="s">
        <v>12</v>
      </c>
      <c r="W346" s="5">
        <v>19.440000000000001</v>
      </c>
      <c r="X346" s="5">
        <v>70.84</v>
      </c>
      <c r="Y346" s="5">
        <v>96</v>
      </c>
      <c r="Z346" s="5" t="s">
        <v>2392</v>
      </c>
      <c r="AA346" s="5" t="s">
        <v>2306</v>
      </c>
      <c r="AB346" s="5" t="s">
        <v>4335</v>
      </c>
      <c r="AC346" s="5" t="s">
        <v>1671</v>
      </c>
      <c r="AD346" s="5" t="s">
        <v>4336</v>
      </c>
      <c r="AE346" s="5" t="s">
        <v>19</v>
      </c>
      <c r="AF346" s="5" t="s">
        <v>12</v>
      </c>
      <c r="AG346" s="5"/>
      <c r="AH346" s="5"/>
      <c r="AI346" s="5"/>
      <c r="AJ346" s="5"/>
      <c r="AK346" s="5"/>
      <c r="AL346" s="5" t="s">
        <v>12</v>
      </c>
      <c r="AM346" s="5" t="s">
        <v>12</v>
      </c>
      <c r="AN346" s="5" t="s">
        <v>12</v>
      </c>
      <c r="AO346" s="5" t="s">
        <v>69</v>
      </c>
      <c r="AP346" s="5" t="s">
        <v>68</v>
      </c>
      <c r="AQ346" s="5" t="s">
        <v>99</v>
      </c>
      <c r="AR346" s="5" t="s">
        <v>275</v>
      </c>
    </row>
    <row r="347" spans="1:44" ht="31.5" x14ac:dyDescent="0.25">
      <c r="A347" s="10">
        <v>46096</v>
      </c>
      <c r="B347" s="5" t="s">
        <v>446</v>
      </c>
      <c r="C347" s="5" t="s">
        <v>2397</v>
      </c>
      <c r="D347" s="5" t="s">
        <v>11</v>
      </c>
      <c r="E347" s="5" t="s">
        <v>1</v>
      </c>
      <c r="F347" s="5" t="s">
        <v>1</v>
      </c>
      <c r="G347" s="5" t="s">
        <v>3103</v>
      </c>
      <c r="H347" s="5" t="s">
        <v>4337</v>
      </c>
      <c r="I347" s="6" t="str">
        <f>HYPERLINK("http://maps.yandex.ru/?ll=36.40431,54.53849&amp;spn=0.011598,0.004531&amp;z=17&amp;l=map&amp;pt=36.40431,54.53849", "54.538494//36.40431")</f>
        <v>54.538494//36.40431</v>
      </c>
      <c r="J347" s="5" t="s">
        <v>202</v>
      </c>
      <c r="K347" s="6" t="str">
        <f>HYPERLINK("http://maps.yandex.ru/?ll=43.4578,56.29736&amp;spn=0.011598,0.004531&amp;z=17&amp;l=map&amp;pt=43.4578,56.29736", "56.297367//43.4578")</f>
        <v>56.297367//43.4578</v>
      </c>
      <c r="L347" s="5" t="s">
        <v>15</v>
      </c>
      <c r="M347" s="5" t="s">
        <v>1134</v>
      </c>
      <c r="N347" s="5" t="s">
        <v>1381</v>
      </c>
      <c r="O347" s="5" t="s">
        <v>4160</v>
      </c>
      <c r="P347" s="5">
        <v>40</v>
      </c>
      <c r="Q347" s="5">
        <v>34</v>
      </c>
      <c r="R347" s="5">
        <v>26</v>
      </c>
      <c r="S347" s="5">
        <v>612.654</v>
      </c>
      <c r="T347" s="5" t="s">
        <v>12</v>
      </c>
      <c r="U347" s="5" t="s">
        <v>12</v>
      </c>
      <c r="V347" s="5" t="s">
        <v>12</v>
      </c>
      <c r="W347" s="5">
        <v>25.53</v>
      </c>
      <c r="X347" s="5">
        <v>63.32</v>
      </c>
      <c r="Y347" s="5">
        <v>105</v>
      </c>
      <c r="Z347" s="5" t="s">
        <v>2398</v>
      </c>
      <c r="AA347" s="5" t="s">
        <v>2237</v>
      </c>
      <c r="AB347" s="5" t="s">
        <v>19</v>
      </c>
      <c r="AC347" s="5" t="s">
        <v>19</v>
      </c>
      <c r="AD347" s="5" t="s">
        <v>19</v>
      </c>
      <c r="AE347" s="5" t="s">
        <v>1720</v>
      </c>
      <c r="AF347" s="5" t="s">
        <v>12</v>
      </c>
      <c r="AG347" s="5"/>
      <c r="AH347" s="5"/>
      <c r="AI347" s="5"/>
      <c r="AJ347" s="5"/>
      <c r="AK347" s="5"/>
      <c r="AL347" s="5" t="s">
        <v>12</v>
      </c>
      <c r="AM347" s="5" t="s">
        <v>12</v>
      </c>
      <c r="AN347" s="5" t="s">
        <v>12</v>
      </c>
      <c r="AO347" s="5" t="s">
        <v>69</v>
      </c>
      <c r="AP347" s="5" t="s">
        <v>442</v>
      </c>
      <c r="AQ347" s="5" t="s">
        <v>67</v>
      </c>
      <c r="AR347" s="5" t="s">
        <v>66</v>
      </c>
    </row>
    <row r="348" spans="1:44" ht="31.5" x14ac:dyDescent="0.25">
      <c r="A348" s="10">
        <v>46096</v>
      </c>
      <c r="B348" s="5" t="s">
        <v>441</v>
      </c>
      <c r="C348" s="5" t="s">
        <v>2399</v>
      </c>
      <c r="D348" s="5" t="s">
        <v>11</v>
      </c>
      <c r="E348" s="5" t="s">
        <v>1</v>
      </c>
      <c r="F348" s="5" t="s">
        <v>1</v>
      </c>
      <c r="G348" s="5" t="s">
        <v>4338</v>
      </c>
      <c r="H348" s="5" t="s">
        <v>4339</v>
      </c>
      <c r="I348" s="6" t="str">
        <f>HYPERLINK("http://maps.yandex.ru/?ll=40.483986,51.4900&amp;spn=0.011598,0.004531&amp;z=17&amp;l=map&amp;pt=40.483986,51.4900", "51.49003//40.483986")</f>
        <v>51.49003//40.483986</v>
      </c>
      <c r="J348" s="5" t="s">
        <v>101</v>
      </c>
      <c r="K348" s="6" t="str">
        <f>HYPERLINK("http://maps.yandex.ru/?ll=38.5322,53.0633&amp;spn=0.011598,0.004531&amp;z=17&amp;l=map&amp;pt=38.5322,53.0633", "53.06336//38.5322")</f>
        <v>53.06336//38.5322</v>
      </c>
      <c r="L348" s="5" t="s">
        <v>168</v>
      </c>
      <c r="M348" s="5" t="s">
        <v>669</v>
      </c>
      <c r="N348" s="5" t="s">
        <v>647</v>
      </c>
      <c r="O348" s="5" t="s">
        <v>1204</v>
      </c>
      <c r="P348" s="5">
        <v>33</v>
      </c>
      <c r="Q348" s="5">
        <v>17</v>
      </c>
      <c r="R348" s="5">
        <v>50</v>
      </c>
      <c r="S348" s="5">
        <v>510.93400000000003</v>
      </c>
      <c r="T348" s="5" t="s">
        <v>12</v>
      </c>
      <c r="U348" s="5" t="s">
        <v>12</v>
      </c>
      <c r="V348" s="5" t="s">
        <v>12</v>
      </c>
      <c r="W348" s="5">
        <v>21.29</v>
      </c>
      <c r="X348" s="5">
        <v>64.11</v>
      </c>
      <c r="Y348" s="5">
        <v>240</v>
      </c>
      <c r="Z348" s="5" t="s">
        <v>12</v>
      </c>
      <c r="AA348" s="5" t="s">
        <v>12</v>
      </c>
      <c r="AB348" s="5" t="s">
        <v>12</v>
      </c>
      <c r="AC348" s="5" t="s">
        <v>12</v>
      </c>
      <c r="AD348" s="5" t="s">
        <v>12</v>
      </c>
      <c r="AE348" s="5" t="s">
        <v>12</v>
      </c>
      <c r="AF348" s="5" t="s">
        <v>12</v>
      </c>
      <c r="AG348" s="5"/>
      <c r="AH348" s="5"/>
      <c r="AI348" s="5"/>
      <c r="AJ348" s="5"/>
      <c r="AK348" s="5"/>
      <c r="AL348" s="5" t="s">
        <v>12</v>
      </c>
      <c r="AM348" s="5" t="s">
        <v>12</v>
      </c>
      <c r="AN348" s="5" t="s">
        <v>12</v>
      </c>
      <c r="AO348" s="5" t="s">
        <v>69</v>
      </c>
      <c r="AP348" s="5" t="s">
        <v>68</v>
      </c>
      <c r="AQ348" s="5" t="s">
        <v>106</v>
      </c>
      <c r="AR348" s="5" t="s">
        <v>105</v>
      </c>
    </row>
    <row r="349" spans="1:44" ht="15.75" x14ac:dyDescent="0.25">
      <c r="A349" s="10">
        <v>46096</v>
      </c>
      <c r="B349" s="5" t="s">
        <v>438</v>
      </c>
      <c r="C349" s="5" t="s">
        <v>2400</v>
      </c>
      <c r="D349" s="5" t="s">
        <v>11</v>
      </c>
      <c r="E349" s="5" t="s">
        <v>11</v>
      </c>
      <c r="F349" s="5" t="s">
        <v>11</v>
      </c>
      <c r="G349" s="5" t="s">
        <v>11</v>
      </c>
      <c r="H349" s="5" t="s">
        <v>11</v>
      </c>
      <c r="I349" s="6" t="str">
        <f>HYPERLINK("http://maps.yandex.ru/?ll=,&amp;spn=0.011598,0.004531&amp;z=17&amp;l=map&amp;pt=,", "")</f>
        <v/>
      </c>
      <c r="J349" s="5" t="s">
        <v>84</v>
      </c>
      <c r="K349" s="6" t="str">
        <f>HYPERLINK("http://maps.yandex.ru/?ll=,&amp;spn=0.011598,0.004531&amp;z=17&amp;l=map&amp;pt=,", "")</f>
        <v/>
      </c>
      <c r="L349" s="5" t="s">
        <v>84</v>
      </c>
      <c r="M349" s="5" t="s">
        <v>13</v>
      </c>
      <c r="N349" s="5" t="s">
        <v>13</v>
      </c>
      <c r="O349" s="5" t="s">
        <v>58</v>
      </c>
      <c r="P349" s="5">
        <v>0</v>
      </c>
      <c r="Q349" s="5">
        <v>0</v>
      </c>
      <c r="R349" s="5">
        <v>100</v>
      </c>
      <c r="S349" s="5">
        <v>0</v>
      </c>
      <c r="T349" s="5" t="s">
        <v>12</v>
      </c>
      <c r="U349" s="5" t="s">
        <v>12</v>
      </c>
      <c r="V349" s="5" t="s">
        <v>12</v>
      </c>
      <c r="W349" s="5">
        <v>0</v>
      </c>
      <c r="X349" s="5">
        <v>0</v>
      </c>
      <c r="Y349" s="5">
        <v>0</v>
      </c>
      <c r="Z349" s="5" t="s">
        <v>12</v>
      </c>
      <c r="AA349" s="5" t="s">
        <v>12</v>
      </c>
      <c r="AB349" s="5" t="s">
        <v>12</v>
      </c>
      <c r="AC349" s="5" t="s">
        <v>12</v>
      </c>
      <c r="AD349" s="5" t="s">
        <v>12</v>
      </c>
      <c r="AE349" s="5" t="s">
        <v>12</v>
      </c>
      <c r="AF349" s="5" t="s">
        <v>12</v>
      </c>
      <c r="AG349" s="5"/>
      <c r="AH349" s="5">
        <v>0</v>
      </c>
      <c r="AI349" s="5"/>
      <c r="AJ349" s="5"/>
      <c r="AK349" s="5"/>
      <c r="AL349" s="5" t="s">
        <v>12</v>
      </c>
      <c r="AM349" s="5" t="s">
        <v>12</v>
      </c>
      <c r="AN349" s="5" t="s">
        <v>12</v>
      </c>
      <c r="AO349" s="5" t="s">
        <v>11</v>
      </c>
      <c r="AP349" s="5" t="s">
        <v>11</v>
      </c>
      <c r="AQ349" s="5" t="s">
        <v>37</v>
      </c>
      <c r="AR349" s="5" t="s">
        <v>437</v>
      </c>
    </row>
    <row r="350" spans="1:44" ht="31.5" x14ac:dyDescent="0.25">
      <c r="A350" s="10">
        <v>46096</v>
      </c>
      <c r="B350" s="5" t="s">
        <v>436</v>
      </c>
      <c r="C350" s="5" t="s">
        <v>2401</v>
      </c>
      <c r="D350" s="5" t="s">
        <v>11</v>
      </c>
      <c r="E350" s="5" t="s">
        <v>1</v>
      </c>
      <c r="F350" s="5" t="s">
        <v>1</v>
      </c>
      <c r="G350" s="5" t="s">
        <v>4340</v>
      </c>
      <c r="H350" s="5" t="s">
        <v>4341</v>
      </c>
      <c r="I350" s="6" t="str">
        <f>HYPERLINK("http://maps.yandex.ru/?ll=39.221806,51.84663&amp;spn=0.011598,0.004531&amp;z=17&amp;l=map&amp;pt=39.221806,51.84663", "51.846638//39.221806")</f>
        <v>51.846638//39.221806</v>
      </c>
      <c r="J350" s="5" t="s">
        <v>101</v>
      </c>
      <c r="K350" s="6" t="str">
        <f>HYPERLINK("http://maps.yandex.ru/?ll=39.22186,51.8465&amp;spn=0.011598,0.004531&amp;z=17&amp;l=map&amp;pt=39.22186,51.8465", "51.84657//39.22186")</f>
        <v>51.84657//39.22186</v>
      </c>
      <c r="L350" s="5" t="s">
        <v>101</v>
      </c>
      <c r="M350" s="5" t="s">
        <v>864</v>
      </c>
      <c r="N350" s="5" t="s">
        <v>4342</v>
      </c>
      <c r="O350" s="5" t="s">
        <v>13</v>
      </c>
      <c r="P350" s="5">
        <v>5</v>
      </c>
      <c r="Q350" s="5">
        <v>95</v>
      </c>
      <c r="R350" s="5">
        <v>0</v>
      </c>
      <c r="S350" s="5">
        <v>1.1060000000000001</v>
      </c>
      <c r="T350" s="5" t="s">
        <v>12</v>
      </c>
      <c r="U350" s="5" t="s">
        <v>12</v>
      </c>
      <c r="V350" s="5" t="s">
        <v>12</v>
      </c>
      <c r="W350" s="5">
        <v>0.05</v>
      </c>
      <c r="X350" s="5">
        <v>0.98</v>
      </c>
      <c r="Y350" s="5">
        <v>16</v>
      </c>
      <c r="Z350" s="5" t="s">
        <v>12</v>
      </c>
      <c r="AA350" s="5" t="s">
        <v>12</v>
      </c>
      <c r="AB350" s="5" t="s">
        <v>12</v>
      </c>
      <c r="AC350" s="5" t="s">
        <v>12</v>
      </c>
      <c r="AD350" s="5" t="s">
        <v>12</v>
      </c>
      <c r="AE350" s="5" t="s">
        <v>12</v>
      </c>
      <c r="AF350" s="5" t="s">
        <v>12</v>
      </c>
      <c r="AG350" s="5"/>
      <c r="AH350" s="5"/>
      <c r="AI350" s="5"/>
      <c r="AJ350" s="5"/>
      <c r="AK350" s="5"/>
      <c r="AL350" s="5" t="s">
        <v>12</v>
      </c>
      <c r="AM350" s="5" t="s">
        <v>12</v>
      </c>
      <c r="AN350" s="5" t="s">
        <v>12</v>
      </c>
      <c r="AO350" s="5" t="s">
        <v>69</v>
      </c>
      <c r="AP350" s="5" t="s">
        <v>68</v>
      </c>
      <c r="AQ350" s="5" t="s">
        <v>67</v>
      </c>
      <c r="AR350" s="5" t="s">
        <v>66</v>
      </c>
    </row>
    <row r="351" spans="1:44" ht="31.5" x14ac:dyDescent="0.25">
      <c r="A351" s="10">
        <v>46096</v>
      </c>
      <c r="B351" s="5" t="s">
        <v>435</v>
      </c>
      <c r="C351" s="5" t="s">
        <v>2402</v>
      </c>
      <c r="D351" s="5" t="s">
        <v>11</v>
      </c>
      <c r="E351" s="5" t="s">
        <v>3</v>
      </c>
      <c r="F351" s="5" t="s">
        <v>3</v>
      </c>
      <c r="G351" s="5" t="s">
        <v>3103</v>
      </c>
      <c r="H351" s="5" t="s">
        <v>4343</v>
      </c>
      <c r="I351" s="6" t="str">
        <f>HYPERLINK("http://maps.yandex.ru/?ll=39.890266,55.99665&amp;spn=0.011598,0.004531&amp;z=17&amp;l=map&amp;pt=39.890266,55.99665", "55.996655//39.890266")</f>
        <v>55.996655//39.890266</v>
      </c>
      <c r="J351" s="5" t="s">
        <v>49</v>
      </c>
      <c r="K351" s="6" t="str">
        <f>HYPERLINK("http://maps.yandex.ru/?ll=39.0749,55.3658&amp;spn=0.011598,0.004531&amp;z=17&amp;l=map&amp;pt=39.0749,55.3658", "55.36588//39.0749")</f>
        <v>55.36588//39.0749</v>
      </c>
      <c r="L351" s="5" t="s">
        <v>56</v>
      </c>
      <c r="M351" s="5" t="s">
        <v>3420</v>
      </c>
      <c r="N351" s="5" t="s">
        <v>4344</v>
      </c>
      <c r="O351" s="5" t="s">
        <v>3391</v>
      </c>
      <c r="P351" s="5">
        <v>16</v>
      </c>
      <c r="Q351" s="5">
        <v>69</v>
      </c>
      <c r="R351" s="5">
        <v>15</v>
      </c>
      <c r="S351" s="5">
        <v>207.31200000000001</v>
      </c>
      <c r="T351" s="5" t="s">
        <v>12</v>
      </c>
      <c r="U351" s="5" t="s">
        <v>12</v>
      </c>
      <c r="V351" s="5" t="s">
        <v>12</v>
      </c>
      <c r="W351" s="5">
        <v>8.64</v>
      </c>
      <c r="X351" s="5">
        <v>53.92</v>
      </c>
      <c r="Y351" s="5">
        <v>91</v>
      </c>
      <c r="Z351" s="5" t="s">
        <v>12</v>
      </c>
      <c r="AA351" s="5" t="s">
        <v>12</v>
      </c>
      <c r="AB351" s="5" t="s">
        <v>12</v>
      </c>
      <c r="AC351" s="5" t="s">
        <v>12</v>
      </c>
      <c r="AD351" s="5" t="s">
        <v>12</v>
      </c>
      <c r="AE351" s="5" t="s">
        <v>12</v>
      </c>
      <c r="AF351" s="5" t="s">
        <v>12</v>
      </c>
      <c r="AG351" s="5"/>
      <c r="AH351" s="5"/>
      <c r="AI351" s="5"/>
      <c r="AJ351" s="5"/>
      <c r="AK351" s="5"/>
      <c r="AL351" s="5" t="s">
        <v>12</v>
      </c>
      <c r="AM351" s="5" t="s">
        <v>12</v>
      </c>
      <c r="AN351" s="5" t="s">
        <v>12</v>
      </c>
      <c r="AO351" s="5" t="s">
        <v>11</v>
      </c>
      <c r="AP351" s="5" t="s">
        <v>11</v>
      </c>
      <c r="AQ351" s="5" t="s">
        <v>67</v>
      </c>
      <c r="AR351" s="5" t="s">
        <v>66</v>
      </c>
    </row>
    <row r="352" spans="1:44" ht="31.5" x14ac:dyDescent="0.25">
      <c r="A352" s="10">
        <v>46096</v>
      </c>
      <c r="B352" s="5" t="s">
        <v>433</v>
      </c>
      <c r="C352" s="5" t="s">
        <v>2403</v>
      </c>
      <c r="D352" s="5" t="s">
        <v>11</v>
      </c>
      <c r="E352" s="5" t="s">
        <v>1</v>
      </c>
      <c r="F352" s="5" t="s">
        <v>1</v>
      </c>
      <c r="G352" s="5" t="s">
        <v>3103</v>
      </c>
      <c r="H352" s="5" t="s">
        <v>3121</v>
      </c>
      <c r="I352" s="6" t="str">
        <f>HYPERLINK("http://maps.yandex.ru/?ll=37.88216,53.60614&amp;spn=0.011598,0.004531&amp;z=17&amp;l=map&amp;pt=37.88216,53.60614", "53.606144//37.88216")</f>
        <v>53.606144//37.88216</v>
      </c>
      <c r="J352" s="5" t="s">
        <v>168</v>
      </c>
      <c r="K352" s="6" t="str">
        <f>HYPERLINK("http://maps.yandex.ru/?ll=37.07502,56.14987&amp;spn=0.011598,0.004531&amp;z=17&amp;l=map&amp;pt=37.07502,56.14987", "56.149876//37.07502")</f>
        <v>56.149876//37.07502</v>
      </c>
      <c r="L352" s="5" t="s">
        <v>56</v>
      </c>
      <c r="M352" s="5" t="s">
        <v>100</v>
      </c>
      <c r="N352" s="5" t="s">
        <v>899</v>
      </c>
      <c r="O352" s="5" t="s">
        <v>1029</v>
      </c>
      <c r="P352" s="5">
        <v>39</v>
      </c>
      <c r="Q352" s="5">
        <v>42</v>
      </c>
      <c r="R352" s="5">
        <v>19</v>
      </c>
      <c r="S352" s="5">
        <v>545.51700000000005</v>
      </c>
      <c r="T352" s="5" t="s">
        <v>1614</v>
      </c>
      <c r="U352" s="5" t="s">
        <v>4345</v>
      </c>
      <c r="V352" s="5" t="s">
        <v>4346</v>
      </c>
      <c r="W352" s="5">
        <v>22.73</v>
      </c>
      <c r="X352" s="5">
        <v>58.06</v>
      </c>
      <c r="Y352" s="5">
        <v>169</v>
      </c>
      <c r="Z352" s="5" t="s">
        <v>1602</v>
      </c>
      <c r="AA352" s="5" t="s">
        <v>4347</v>
      </c>
      <c r="AB352" s="5" t="s">
        <v>19</v>
      </c>
      <c r="AC352" s="5" t="s">
        <v>19</v>
      </c>
      <c r="AD352" s="5" t="s">
        <v>19</v>
      </c>
      <c r="AE352" s="5" t="s">
        <v>1586</v>
      </c>
      <c r="AF352" s="5" t="s">
        <v>4348</v>
      </c>
      <c r="AG352" s="5">
        <v>134</v>
      </c>
      <c r="AH352" s="5">
        <v>2</v>
      </c>
      <c r="AI352" s="5">
        <v>132</v>
      </c>
      <c r="AJ352" s="5">
        <v>32.21</v>
      </c>
      <c r="AK352" s="5">
        <v>31.73</v>
      </c>
      <c r="AL352" s="5" t="s">
        <v>12</v>
      </c>
      <c r="AM352" s="5" t="s">
        <v>12</v>
      </c>
      <c r="AN352" s="5" t="s">
        <v>12</v>
      </c>
      <c r="AO352" s="5" t="s">
        <v>11</v>
      </c>
      <c r="AP352" s="5" t="s">
        <v>11</v>
      </c>
      <c r="AQ352" s="5" t="s">
        <v>18</v>
      </c>
      <c r="AR352" s="5" t="s">
        <v>74</v>
      </c>
    </row>
    <row r="353" spans="1:44" ht="31.5" x14ac:dyDescent="0.25">
      <c r="A353" s="10">
        <v>46096</v>
      </c>
      <c r="B353" s="5" t="s">
        <v>431</v>
      </c>
      <c r="C353" s="5" t="s">
        <v>2404</v>
      </c>
      <c r="D353" s="5" t="s">
        <v>11</v>
      </c>
      <c r="E353" s="5" t="s">
        <v>1</v>
      </c>
      <c r="F353" s="5" t="s">
        <v>1</v>
      </c>
      <c r="G353" s="5" t="s">
        <v>3103</v>
      </c>
      <c r="H353" s="5" t="s">
        <v>4349</v>
      </c>
      <c r="I353" s="6" t="str">
        <f>HYPERLINK("http://maps.yandex.ru/?ll=38.08496,54.02086&amp;spn=0.011598,0.004531&amp;z=17&amp;l=map&amp;pt=38.08496,54.02086", "54.020866//38.08496")</f>
        <v>54.020866//38.08496</v>
      </c>
      <c r="J353" s="5" t="s">
        <v>168</v>
      </c>
      <c r="K353" s="6" t="str">
        <f>HYPERLINK("http://maps.yandex.ru/?ll=36.992504,55.81956&amp;spn=0.011598,0.004531&amp;z=17&amp;l=map&amp;pt=36.992504,55.81956", "55.819565//36.992504")</f>
        <v>55.819565//36.992504</v>
      </c>
      <c r="L353" s="5" t="s">
        <v>56</v>
      </c>
      <c r="M353" s="5" t="s">
        <v>4350</v>
      </c>
      <c r="N353" s="5" t="s">
        <v>548</v>
      </c>
      <c r="O353" s="5" t="s">
        <v>206</v>
      </c>
      <c r="P353" s="5">
        <v>12</v>
      </c>
      <c r="Q353" s="5">
        <v>60</v>
      </c>
      <c r="R353" s="5">
        <v>27</v>
      </c>
      <c r="S353" s="5">
        <v>192.11600000000001</v>
      </c>
      <c r="T353" s="5" t="s">
        <v>12</v>
      </c>
      <c r="U353" s="5" t="s">
        <v>12</v>
      </c>
      <c r="V353" s="5" t="s">
        <v>12</v>
      </c>
      <c r="W353" s="5">
        <v>8</v>
      </c>
      <c r="X353" s="5">
        <v>64.98</v>
      </c>
      <c r="Y353" s="5">
        <v>115</v>
      </c>
      <c r="Z353" s="5" t="s">
        <v>12</v>
      </c>
      <c r="AA353" s="5" t="s">
        <v>12</v>
      </c>
      <c r="AB353" s="5" t="s">
        <v>12</v>
      </c>
      <c r="AC353" s="5" t="s">
        <v>12</v>
      </c>
      <c r="AD353" s="5" t="s">
        <v>12</v>
      </c>
      <c r="AE353" s="5" t="s">
        <v>12</v>
      </c>
      <c r="AF353" s="5" t="s">
        <v>12</v>
      </c>
      <c r="AG353" s="5"/>
      <c r="AH353" s="5"/>
      <c r="AI353" s="5"/>
      <c r="AJ353" s="5"/>
      <c r="AK353" s="5"/>
      <c r="AL353" s="5" t="s">
        <v>4351</v>
      </c>
      <c r="AM353" s="5" t="s">
        <v>4352</v>
      </c>
      <c r="AN353" s="5" t="s">
        <v>1711</v>
      </c>
      <c r="AO353" s="5" t="s">
        <v>69</v>
      </c>
      <c r="AP353" s="5" t="s">
        <v>68</v>
      </c>
      <c r="AQ353" s="5" t="s">
        <v>67</v>
      </c>
      <c r="AR353" s="5" t="s">
        <v>66</v>
      </c>
    </row>
    <row r="354" spans="1:44" ht="15.75" x14ac:dyDescent="0.25">
      <c r="A354" s="10">
        <v>46096</v>
      </c>
      <c r="B354" s="5" t="s">
        <v>428</v>
      </c>
      <c r="C354" s="5" t="s">
        <v>2405</v>
      </c>
      <c r="D354" s="5" t="s">
        <v>11</v>
      </c>
      <c r="E354" s="5" t="s">
        <v>3</v>
      </c>
      <c r="F354" s="5" t="s">
        <v>3</v>
      </c>
      <c r="G354" s="5" t="s">
        <v>11</v>
      </c>
      <c r="H354" s="5" t="s">
        <v>11</v>
      </c>
      <c r="I354" s="6" t="str">
        <f>HYPERLINK("http://maps.yandex.ru/?ll=,&amp;spn=0.011598,0.004531&amp;z=17&amp;l=map&amp;pt=,", "")</f>
        <v/>
      </c>
      <c r="J354" s="5" t="s">
        <v>84</v>
      </c>
      <c r="K354" s="6" t="str">
        <f>HYPERLINK("http://maps.yandex.ru/?ll=,&amp;spn=0.011598,0.004531&amp;z=17&amp;l=map&amp;pt=,", "")</f>
        <v/>
      </c>
      <c r="L354" s="5" t="s">
        <v>84</v>
      </c>
      <c r="M354" s="5" t="s">
        <v>13</v>
      </c>
      <c r="N354" s="5" t="s">
        <v>13</v>
      </c>
      <c r="O354" s="5" t="s">
        <v>58</v>
      </c>
      <c r="P354" s="5">
        <v>0</v>
      </c>
      <c r="Q354" s="5">
        <v>0</v>
      </c>
      <c r="R354" s="5">
        <v>100</v>
      </c>
      <c r="S354" s="5">
        <v>0</v>
      </c>
      <c r="T354" s="5" t="s">
        <v>12</v>
      </c>
      <c r="U354" s="5" t="s">
        <v>12</v>
      </c>
      <c r="V354" s="5" t="s">
        <v>12</v>
      </c>
      <c r="W354" s="5">
        <v>0</v>
      </c>
      <c r="X354" s="5">
        <v>0</v>
      </c>
      <c r="Y354" s="5">
        <v>0</v>
      </c>
      <c r="Z354" s="5" t="s">
        <v>12</v>
      </c>
      <c r="AA354" s="5" t="s">
        <v>12</v>
      </c>
      <c r="AB354" s="5" t="s">
        <v>12</v>
      </c>
      <c r="AC354" s="5" t="s">
        <v>12</v>
      </c>
      <c r="AD354" s="5" t="s">
        <v>12</v>
      </c>
      <c r="AE354" s="5" t="s">
        <v>12</v>
      </c>
      <c r="AF354" s="5" t="s">
        <v>12</v>
      </c>
      <c r="AG354" s="5"/>
      <c r="AH354" s="5"/>
      <c r="AI354" s="5"/>
      <c r="AJ354" s="5"/>
      <c r="AK354" s="5"/>
      <c r="AL354" s="5" t="s">
        <v>12</v>
      </c>
      <c r="AM354" s="5" t="s">
        <v>12</v>
      </c>
      <c r="AN354" s="5" t="s">
        <v>12</v>
      </c>
      <c r="AO354" s="5" t="s">
        <v>11</v>
      </c>
      <c r="AP354" s="5" t="s">
        <v>11</v>
      </c>
      <c r="AQ354" s="5" t="s">
        <v>106</v>
      </c>
      <c r="AR354" s="5" t="s">
        <v>105</v>
      </c>
    </row>
    <row r="355" spans="1:44" ht="31.5" x14ac:dyDescent="0.25">
      <c r="A355" s="10">
        <v>46096</v>
      </c>
      <c r="B355" s="5" t="s">
        <v>427</v>
      </c>
      <c r="C355" s="5" t="s">
        <v>2406</v>
      </c>
      <c r="D355" s="5" t="s">
        <v>11</v>
      </c>
      <c r="E355" s="5" t="s">
        <v>11</v>
      </c>
      <c r="F355" s="5" t="s">
        <v>11</v>
      </c>
      <c r="G355" s="5" t="s">
        <v>4353</v>
      </c>
      <c r="H355" s="5" t="s">
        <v>4354</v>
      </c>
      <c r="I355" s="6" t="str">
        <f>HYPERLINK("http://maps.yandex.ru/?ll=60.776276,56.91402&amp;spn=0.011598,0.004531&amp;z=17&amp;l=map&amp;pt=60.776276,56.91402", "56.914024//60.776276")</f>
        <v>56.914024//60.776276</v>
      </c>
      <c r="J355" s="5" t="s">
        <v>77</v>
      </c>
      <c r="K355" s="6" t="str">
        <f>HYPERLINK("http://maps.yandex.ru/?ll=60.77568,56.9138&amp;spn=0.011598,0.004531&amp;z=17&amp;l=map&amp;pt=60.77568,56.9138", "56.91389//60.77568")</f>
        <v>56.91389//60.77568</v>
      </c>
      <c r="L355" s="5" t="s">
        <v>77</v>
      </c>
      <c r="M355" s="5" t="s">
        <v>1463</v>
      </c>
      <c r="N355" s="5" t="s">
        <v>4355</v>
      </c>
      <c r="O355" s="5" t="s">
        <v>13</v>
      </c>
      <c r="P355" s="5">
        <v>1</v>
      </c>
      <c r="Q355" s="5">
        <v>99</v>
      </c>
      <c r="R355" s="5">
        <v>0</v>
      </c>
      <c r="S355" s="5">
        <v>0.375</v>
      </c>
      <c r="T355" s="5" t="s">
        <v>12</v>
      </c>
      <c r="U355" s="5" t="s">
        <v>12</v>
      </c>
      <c r="V355" s="5" t="s">
        <v>12</v>
      </c>
      <c r="W355" s="5">
        <v>0.02</v>
      </c>
      <c r="X355" s="5">
        <v>2.74</v>
      </c>
      <c r="Y355" s="5">
        <v>9</v>
      </c>
      <c r="Z355" s="5" t="s">
        <v>12</v>
      </c>
      <c r="AA355" s="5" t="s">
        <v>12</v>
      </c>
      <c r="AB355" s="5" t="s">
        <v>12</v>
      </c>
      <c r="AC355" s="5" t="s">
        <v>12</v>
      </c>
      <c r="AD355" s="5" t="s">
        <v>12</v>
      </c>
      <c r="AE355" s="5" t="s">
        <v>12</v>
      </c>
      <c r="AF355" s="5" t="s">
        <v>12</v>
      </c>
      <c r="AG355" s="5"/>
      <c r="AH355" s="5"/>
      <c r="AI355" s="5"/>
      <c r="AJ355" s="5"/>
      <c r="AK355" s="5"/>
      <c r="AL355" s="5" t="s">
        <v>12</v>
      </c>
      <c r="AM355" s="5" t="s">
        <v>12</v>
      </c>
      <c r="AN355" s="5" t="s">
        <v>12</v>
      </c>
      <c r="AO355" s="5" t="s">
        <v>11</v>
      </c>
      <c r="AP355" s="5" t="s">
        <v>11</v>
      </c>
      <c r="AQ355" s="5" t="s">
        <v>106</v>
      </c>
      <c r="AR355" s="5" t="s">
        <v>105</v>
      </c>
    </row>
    <row r="356" spans="1:44" ht="31.5" x14ac:dyDescent="0.25">
      <c r="A356" s="10">
        <v>46096</v>
      </c>
      <c r="B356" s="5" t="s">
        <v>426</v>
      </c>
      <c r="C356" s="5" t="s">
        <v>2407</v>
      </c>
      <c r="D356" s="5" t="s">
        <v>11</v>
      </c>
      <c r="E356" s="5" t="s">
        <v>11</v>
      </c>
      <c r="F356" s="5" t="s">
        <v>11</v>
      </c>
      <c r="G356" s="5" t="s">
        <v>3103</v>
      </c>
      <c r="H356" s="5" t="s">
        <v>3121</v>
      </c>
      <c r="I356" s="6" t="str">
        <f>HYPERLINK("http://maps.yandex.ru/?ll=30.309328,59.8176&amp;spn=0.011598,0.004531&amp;z=17&amp;l=map&amp;pt=30.309328,59.8176", "59.81762//30.309328")</f>
        <v>59.81762//30.309328</v>
      </c>
      <c r="J356" s="5" t="s">
        <v>23</v>
      </c>
      <c r="K356" s="6" t="str">
        <f>HYPERLINK("http://maps.yandex.ru/?ll=30.73462,59.6191&amp;spn=0.011598,0.004531&amp;z=17&amp;l=map&amp;pt=30.73462,59.6191", "59.61917//30.73462")</f>
        <v>59.61917//30.73462</v>
      </c>
      <c r="L356" s="5" t="s">
        <v>22</v>
      </c>
      <c r="M356" s="5" t="s">
        <v>4221</v>
      </c>
      <c r="N356" s="5" t="s">
        <v>517</v>
      </c>
      <c r="O356" s="5" t="s">
        <v>1420</v>
      </c>
      <c r="P356" s="5">
        <v>10</v>
      </c>
      <c r="Q356" s="5">
        <v>53</v>
      </c>
      <c r="R356" s="5">
        <v>37</v>
      </c>
      <c r="S356" s="5">
        <v>77.768000000000001</v>
      </c>
      <c r="T356" s="5" t="s">
        <v>1613</v>
      </c>
      <c r="U356" s="5" t="s">
        <v>4356</v>
      </c>
      <c r="V356" s="5" t="s">
        <v>4357</v>
      </c>
      <c r="W356" s="5">
        <v>3.24</v>
      </c>
      <c r="X356" s="5">
        <v>32.1</v>
      </c>
      <c r="Y356" s="5">
        <v>101</v>
      </c>
      <c r="Z356" s="5" t="s">
        <v>1478</v>
      </c>
      <c r="AA356" s="5" t="s">
        <v>1510</v>
      </c>
      <c r="AB356" s="5" t="s">
        <v>19</v>
      </c>
      <c r="AC356" s="5" t="s">
        <v>19</v>
      </c>
      <c r="AD356" s="5" t="s">
        <v>19</v>
      </c>
      <c r="AE356" s="5" t="s">
        <v>1997</v>
      </c>
      <c r="AF356" s="5" t="s">
        <v>4358</v>
      </c>
      <c r="AG356" s="5">
        <v>41</v>
      </c>
      <c r="AH356" s="5">
        <v>2</v>
      </c>
      <c r="AI356" s="5">
        <v>39</v>
      </c>
      <c r="AJ356" s="5">
        <v>42.27</v>
      </c>
      <c r="AK356" s="5">
        <v>40.21</v>
      </c>
      <c r="AL356" s="5" t="s">
        <v>12</v>
      </c>
      <c r="AM356" s="5" t="s">
        <v>12</v>
      </c>
      <c r="AN356" s="5" t="s">
        <v>12</v>
      </c>
      <c r="AO356" s="5" t="s">
        <v>11</v>
      </c>
      <c r="AP356" s="5" t="s">
        <v>11</v>
      </c>
      <c r="AQ356" s="5" t="s">
        <v>11</v>
      </c>
      <c r="AR356" s="5" t="s">
        <v>11</v>
      </c>
    </row>
    <row r="357" spans="1:44" ht="15.75" x14ac:dyDescent="0.25">
      <c r="A357" s="10">
        <v>46096</v>
      </c>
      <c r="B357" s="5" t="s">
        <v>425</v>
      </c>
      <c r="C357" s="5" t="s">
        <v>2409</v>
      </c>
      <c r="D357" s="5" t="s">
        <v>11</v>
      </c>
      <c r="E357" s="5" t="s">
        <v>11</v>
      </c>
      <c r="F357" s="5" t="s">
        <v>11</v>
      </c>
      <c r="G357" s="5" t="s">
        <v>11</v>
      </c>
      <c r="H357" s="5" t="s">
        <v>11</v>
      </c>
      <c r="I357" s="6" t="str">
        <f>HYPERLINK("http://maps.yandex.ru/?ll=,&amp;spn=0.011598,0.004531&amp;z=17&amp;l=map&amp;pt=,", "")</f>
        <v/>
      </c>
      <c r="J357" s="5" t="s">
        <v>84</v>
      </c>
      <c r="K357" s="6" t="str">
        <f>HYPERLINK("http://maps.yandex.ru/?ll=,&amp;spn=0.011598,0.004531&amp;z=17&amp;l=map&amp;pt=,", "")</f>
        <v/>
      </c>
      <c r="L357" s="5" t="s">
        <v>84</v>
      </c>
      <c r="M357" s="5" t="s">
        <v>13</v>
      </c>
      <c r="N357" s="5" t="s">
        <v>13</v>
      </c>
      <c r="O357" s="5" t="s">
        <v>58</v>
      </c>
      <c r="P357" s="5">
        <v>0</v>
      </c>
      <c r="Q357" s="5">
        <v>0</v>
      </c>
      <c r="R357" s="5">
        <v>100</v>
      </c>
      <c r="S357" s="5">
        <v>0</v>
      </c>
      <c r="T357" s="5" t="s">
        <v>12</v>
      </c>
      <c r="U357" s="5" t="s">
        <v>12</v>
      </c>
      <c r="V357" s="5" t="s">
        <v>12</v>
      </c>
      <c r="W357" s="5">
        <v>0</v>
      </c>
      <c r="X357" s="5">
        <v>0</v>
      </c>
      <c r="Y357" s="5">
        <v>0</v>
      </c>
      <c r="Z357" s="5" t="s">
        <v>12</v>
      </c>
      <c r="AA357" s="5" t="s">
        <v>12</v>
      </c>
      <c r="AB357" s="5" t="s">
        <v>12</v>
      </c>
      <c r="AC357" s="5" t="s">
        <v>12</v>
      </c>
      <c r="AD357" s="5" t="s">
        <v>12</v>
      </c>
      <c r="AE357" s="5" t="s">
        <v>12</v>
      </c>
      <c r="AF357" s="5" t="s">
        <v>12</v>
      </c>
      <c r="AG357" s="5"/>
      <c r="AH357" s="5"/>
      <c r="AI357" s="5"/>
      <c r="AJ357" s="5"/>
      <c r="AK357" s="5"/>
      <c r="AL357" s="5" t="s">
        <v>12</v>
      </c>
      <c r="AM357" s="5" t="s">
        <v>12</v>
      </c>
      <c r="AN357" s="5" t="s">
        <v>12</v>
      </c>
      <c r="AO357" s="5" t="s">
        <v>11</v>
      </c>
      <c r="AP357" s="5" t="s">
        <v>11</v>
      </c>
      <c r="AQ357" s="5" t="s">
        <v>106</v>
      </c>
      <c r="AR357" s="5" t="s">
        <v>105</v>
      </c>
    </row>
    <row r="358" spans="1:44" ht="15.75" x14ac:dyDescent="0.25">
      <c r="A358" s="10">
        <v>46096</v>
      </c>
      <c r="B358" s="5" t="s">
        <v>424</v>
      </c>
      <c r="C358" s="5" t="s">
        <v>2410</v>
      </c>
      <c r="D358" s="5" t="s">
        <v>11</v>
      </c>
      <c r="E358" s="5" t="s">
        <v>11</v>
      </c>
      <c r="F358" s="5" t="s">
        <v>11</v>
      </c>
      <c r="G358" s="5" t="s">
        <v>11</v>
      </c>
      <c r="H358" s="5" t="s">
        <v>11</v>
      </c>
      <c r="I358" s="6" t="str">
        <f>HYPERLINK("http://maps.yandex.ru/?ll=,&amp;spn=0.011598,0.004531&amp;z=17&amp;l=map&amp;pt=,", "")</f>
        <v/>
      </c>
      <c r="J358" s="5" t="s">
        <v>84</v>
      </c>
      <c r="K358" s="6" t="str">
        <f>HYPERLINK("http://maps.yandex.ru/?ll=,&amp;spn=0.011598,0.004531&amp;z=17&amp;l=map&amp;pt=,", "")</f>
        <v/>
      </c>
      <c r="L358" s="5" t="s">
        <v>84</v>
      </c>
      <c r="M358" s="5" t="s">
        <v>13</v>
      </c>
      <c r="N358" s="5" t="s">
        <v>13</v>
      </c>
      <c r="O358" s="5" t="s">
        <v>58</v>
      </c>
      <c r="P358" s="5">
        <v>0</v>
      </c>
      <c r="Q358" s="5">
        <v>0</v>
      </c>
      <c r="R358" s="5">
        <v>100</v>
      </c>
      <c r="S358" s="5">
        <v>0</v>
      </c>
      <c r="T358" s="5" t="s">
        <v>12</v>
      </c>
      <c r="U358" s="5" t="s">
        <v>12</v>
      </c>
      <c r="V358" s="5" t="s">
        <v>12</v>
      </c>
      <c r="W358" s="5">
        <v>0</v>
      </c>
      <c r="X358" s="5">
        <v>0</v>
      </c>
      <c r="Y358" s="5">
        <v>0</v>
      </c>
      <c r="Z358" s="5" t="s">
        <v>12</v>
      </c>
      <c r="AA358" s="5" t="s">
        <v>12</v>
      </c>
      <c r="AB358" s="5" t="s">
        <v>12</v>
      </c>
      <c r="AC358" s="5" t="s">
        <v>12</v>
      </c>
      <c r="AD358" s="5" t="s">
        <v>12</v>
      </c>
      <c r="AE358" s="5" t="s">
        <v>12</v>
      </c>
      <c r="AF358" s="5" t="s">
        <v>12</v>
      </c>
      <c r="AG358" s="5"/>
      <c r="AH358" s="5"/>
      <c r="AI358" s="5"/>
      <c r="AJ358" s="5"/>
      <c r="AK358" s="5"/>
      <c r="AL358" s="5" t="s">
        <v>12</v>
      </c>
      <c r="AM358" s="5" t="s">
        <v>12</v>
      </c>
      <c r="AN358" s="5" t="s">
        <v>12</v>
      </c>
      <c r="AO358" s="5" t="s">
        <v>11</v>
      </c>
      <c r="AP358" s="5" t="s">
        <v>11</v>
      </c>
      <c r="AQ358" s="5" t="s">
        <v>106</v>
      </c>
      <c r="AR358" s="5" t="s">
        <v>105</v>
      </c>
    </row>
    <row r="359" spans="1:44" ht="15.75" x14ac:dyDescent="0.25">
      <c r="A359" s="10">
        <v>46096</v>
      </c>
      <c r="B359" s="5" t="s">
        <v>423</v>
      </c>
      <c r="C359" s="5" t="s">
        <v>2411</v>
      </c>
      <c r="D359" s="5" t="s">
        <v>11</v>
      </c>
      <c r="E359" s="5" t="s">
        <v>6</v>
      </c>
      <c r="F359" s="5" t="s">
        <v>6</v>
      </c>
      <c r="G359" s="5" t="s">
        <v>11</v>
      </c>
      <c r="H359" s="5" t="s">
        <v>11</v>
      </c>
      <c r="I359" s="6" t="str">
        <f>HYPERLINK("http://maps.yandex.ru/?ll=,&amp;spn=0.011598,0.004531&amp;z=17&amp;l=map&amp;pt=,", "")</f>
        <v/>
      </c>
      <c r="J359" s="5" t="s">
        <v>84</v>
      </c>
      <c r="K359" s="6" t="str">
        <f>HYPERLINK("http://maps.yandex.ru/?ll=,&amp;spn=0.011598,0.004531&amp;z=17&amp;l=map&amp;pt=,", "")</f>
        <v/>
      </c>
      <c r="L359" s="5" t="s">
        <v>84</v>
      </c>
      <c r="M359" s="5" t="s">
        <v>13</v>
      </c>
      <c r="N359" s="5" t="s">
        <v>13</v>
      </c>
      <c r="O359" s="5" t="s">
        <v>58</v>
      </c>
      <c r="P359" s="5">
        <v>0</v>
      </c>
      <c r="Q359" s="5">
        <v>0</v>
      </c>
      <c r="R359" s="5">
        <v>100</v>
      </c>
      <c r="S359" s="5">
        <v>0</v>
      </c>
      <c r="T359" s="5" t="s">
        <v>12</v>
      </c>
      <c r="U359" s="5" t="s">
        <v>12</v>
      </c>
      <c r="V359" s="5" t="s">
        <v>12</v>
      </c>
      <c r="W359" s="5">
        <v>0</v>
      </c>
      <c r="X359" s="5">
        <v>0</v>
      </c>
      <c r="Y359" s="5">
        <v>0</v>
      </c>
      <c r="Z359" s="5" t="s">
        <v>12</v>
      </c>
      <c r="AA359" s="5" t="s">
        <v>12</v>
      </c>
      <c r="AB359" s="5" t="s">
        <v>12</v>
      </c>
      <c r="AC359" s="5" t="s">
        <v>12</v>
      </c>
      <c r="AD359" s="5" t="s">
        <v>12</v>
      </c>
      <c r="AE359" s="5" t="s">
        <v>12</v>
      </c>
      <c r="AF359" s="5" t="s">
        <v>12</v>
      </c>
      <c r="AG359" s="5"/>
      <c r="AH359" s="5"/>
      <c r="AI359" s="5"/>
      <c r="AJ359" s="5"/>
      <c r="AK359" s="5"/>
      <c r="AL359" s="5" t="s">
        <v>12</v>
      </c>
      <c r="AM359" s="5" t="s">
        <v>12</v>
      </c>
      <c r="AN359" s="5" t="s">
        <v>12</v>
      </c>
      <c r="AO359" s="5" t="s">
        <v>11</v>
      </c>
      <c r="AP359" s="5" t="s">
        <v>11</v>
      </c>
      <c r="AQ359" s="5" t="s">
        <v>67</v>
      </c>
      <c r="AR359" s="5" t="s">
        <v>66</v>
      </c>
    </row>
    <row r="360" spans="1:44" ht="15.75" x14ac:dyDescent="0.25">
      <c r="A360" s="10">
        <v>46096</v>
      </c>
      <c r="B360" s="5" t="s">
        <v>422</v>
      </c>
      <c r="C360" s="5" t="s">
        <v>2412</v>
      </c>
      <c r="D360" s="5" t="s">
        <v>11</v>
      </c>
      <c r="E360" s="5" t="s">
        <v>11</v>
      </c>
      <c r="F360" s="5" t="s">
        <v>11</v>
      </c>
      <c r="G360" s="5" t="s">
        <v>11</v>
      </c>
      <c r="H360" s="5" t="s">
        <v>11</v>
      </c>
      <c r="I360" s="6" t="str">
        <f>HYPERLINK("http://maps.yandex.ru/?ll=,&amp;spn=0.011598,0.004531&amp;z=17&amp;l=map&amp;pt=,", "")</f>
        <v/>
      </c>
      <c r="J360" s="5" t="s">
        <v>84</v>
      </c>
      <c r="K360" s="6" t="str">
        <f>HYPERLINK("http://maps.yandex.ru/?ll=,&amp;spn=0.011598,0.004531&amp;z=17&amp;l=map&amp;pt=,", "")</f>
        <v/>
      </c>
      <c r="L360" s="5" t="s">
        <v>84</v>
      </c>
      <c r="M360" s="5" t="s">
        <v>13</v>
      </c>
      <c r="N360" s="5" t="s">
        <v>13</v>
      </c>
      <c r="O360" s="5" t="s">
        <v>58</v>
      </c>
      <c r="P360" s="5">
        <v>0</v>
      </c>
      <c r="Q360" s="5">
        <v>0</v>
      </c>
      <c r="R360" s="5">
        <v>100</v>
      </c>
      <c r="S360" s="5">
        <v>0</v>
      </c>
      <c r="T360" s="5" t="s">
        <v>12</v>
      </c>
      <c r="U360" s="5" t="s">
        <v>12</v>
      </c>
      <c r="V360" s="5" t="s">
        <v>12</v>
      </c>
      <c r="W360" s="5">
        <v>0</v>
      </c>
      <c r="X360" s="5">
        <v>0</v>
      </c>
      <c r="Y360" s="5">
        <v>0</v>
      </c>
      <c r="Z360" s="5" t="s">
        <v>12</v>
      </c>
      <c r="AA360" s="5" t="s">
        <v>12</v>
      </c>
      <c r="AB360" s="5" t="s">
        <v>12</v>
      </c>
      <c r="AC360" s="5" t="s">
        <v>12</v>
      </c>
      <c r="AD360" s="5" t="s">
        <v>12</v>
      </c>
      <c r="AE360" s="5" t="s">
        <v>12</v>
      </c>
      <c r="AF360" s="5" t="s">
        <v>12</v>
      </c>
      <c r="AG360" s="5"/>
      <c r="AH360" s="5"/>
      <c r="AI360" s="5"/>
      <c r="AJ360" s="5"/>
      <c r="AK360" s="5"/>
      <c r="AL360" s="5" t="s">
        <v>12</v>
      </c>
      <c r="AM360" s="5" t="s">
        <v>12</v>
      </c>
      <c r="AN360" s="5" t="s">
        <v>12</v>
      </c>
      <c r="AO360" s="5" t="s">
        <v>11</v>
      </c>
      <c r="AP360" s="5" t="s">
        <v>11</v>
      </c>
      <c r="AQ360" s="5" t="s">
        <v>11</v>
      </c>
      <c r="AR360" s="5" t="s">
        <v>11</v>
      </c>
    </row>
    <row r="361" spans="1:44" ht="15.75" x14ac:dyDescent="0.25">
      <c r="A361" s="10">
        <v>46096</v>
      </c>
      <c r="B361" s="5" t="s">
        <v>421</v>
      </c>
      <c r="C361" s="5" t="s">
        <v>2413</v>
      </c>
      <c r="D361" s="5" t="s">
        <v>11</v>
      </c>
      <c r="E361" s="5" t="s">
        <v>11</v>
      </c>
      <c r="F361" s="5" t="s">
        <v>11</v>
      </c>
      <c r="G361" s="5" t="s">
        <v>11</v>
      </c>
      <c r="H361" s="5" t="s">
        <v>11</v>
      </c>
      <c r="I361" s="6" t="str">
        <f>HYPERLINK("http://maps.yandex.ru/?ll=,&amp;spn=0.011598,0.004531&amp;z=17&amp;l=map&amp;pt=,", "")</f>
        <v/>
      </c>
      <c r="J361" s="5" t="s">
        <v>84</v>
      </c>
      <c r="K361" s="6" t="str">
        <f>HYPERLINK("http://maps.yandex.ru/?ll=,&amp;spn=0.011598,0.004531&amp;z=17&amp;l=map&amp;pt=,", "")</f>
        <v/>
      </c>
      <c r="L361" s="5" t="s">
        <v>84</v>
      </c>
      <c r="M361" s="5" t="s">
        <v>13</v>
      </c>
      <c r="N361" s="5" t="s">
        <v>58</v>
      </c>
      <c r="O361" s="5" t="s">
        <v>13</v>
      </c>
      <c r="P361" s="5">
        <v>0</v>
      </c>
      <c r="Q361" s="5">
        <v>100</v>
      </c>
      <c r="R361" s="5">
        <v>0</v>
      </c>
      <c r="S361" s="5">
        <v>0</v>
      </c>
      <c r="T361" s="5" t="s">
        <v>1673</v>
      </c>
      <c r="U361" s="5" t="s">
        <v>2414</v>
      </c>
      <c r="V361" s="5" t="s">
        <v>2415</v>
      </c>
      <c r="W361" s="5">
        <v>0</v>
      </c>
      <c r="X361" s="5">
        <v>0</v>
      </c>
      <c r="Y361" s="5">
        <v>0</v>
      </c>
      <c r="Z361" s="5" t="s">
        <v>12</v>
      </c>
      <c r="AA361" s="5" t="s">
        <v>12</v>
      </c>
      <c r="AB361" s="5" t="s">
        <v>12</v>
      </c>
      <c r="AC361" s="5" t="s">
        <v>12</v>
      </c>
      <c r="AD361" s="5" t="s">
        <v>12</v>
      </c>
      <c r="AE361" s="5" t="s">
        <v>12</v>
      </c>
      <c r="AF361" s="5" t="s">
        <v>12</v>
      </c>
      <c r="AG361" s="5">
        <v>2</v>
      </c>
      <c r="AH361" s="5">
        <v>2</v>
      </c>
      <c r="AI361" s="5">
        <v>0</v>
      </c>
      <c r="AJ361" s="5">
        <v>200</v>
      </c>
      <c r="AK361" s="5">
        <v>0</v>
      </c>
      <c r="AL361" s="5" t="s">
        <v>12</v>
      </c>
      <c r="AM361" s="5" t="s">
        <v>12</v>
      </c>
      <c r="AN361" s="5" t="s">
        <v>12</v>
      </c>
      <c r="AO361" s="5" t="s">
        <v>11</v>
      </c>
      <c r="AP361" s="5" t="s">
        <v>11</v>
      </c>
      <c r="AQ361" s="5" t="s">
        <v>43</v>
      </c>
      <c r="AR361" s="5" t="s">
        <v>42</v>
      </c>
    </row>
    <row r="362" spans="1:44" ht="31.5" x14ac:dyDescent="0.25">
      <c r="A362" s="10">
        <v>46096</v>
      </c>
      <c r="B362" s="5" t="s">
        <v>419</v>
      </c>
      <c r="C362" s="5" t="s">
        <v>2416</v>
      </c>
      <c r="D362" s="5" t="s">
        <v>11</v>
      </c>
      <c r="E362" s="5" t="s">
        <v>3</v>
      </c>
      <c r="F362" s="5" t="s">
        <v>3</v>
      </c>
      <c r="G362" s="5" t="s">
        <v>4359</v>
      </c>
      <c r="H362" s="5" t="s">
        <v>4360</v>
      </c>
      <c r="I362" s="6" t="str">
        <f>HYPERLINK("http://maps.yandex.ru/?ll=38.07923,45.2918&amp;spn=0.011598,0.004531&amp;z=17&amp;l=map&amp;pt=38.07923,45.2918", "45.29181//38.07923")</f>
        <v>45.29181//38.07923</v>
      </c>
      <c r="J362" s="5" t="s">
        <v>88</v>
      </c>
      <c r="K362" s="6" t="str">
        <f>HYPERLINK("http://maps.yandex.ru/?ll=39.865967,51.0306&amp;spn=0.011598,0.004531&amp;z=17&amp;l=map&amp;pt=39.865967,51.0306", "51.03062//39.865967")</f>
        <v>51.03062//39.865967</v>
      </c>
      <c r="L362" s="5" t="s">
        <v>101</v>
      </c>
      <c r="M362" s="5" t="s">
        <v>1314</v>
      </c>
      <c r="N362" s="5" t="s">
        <v>294</v>
      </c>
      <c r="O362" s="5" t="s">
        <v>4361</v>
      </c>
      <c r="P362" s="5">
        <v>37</v>
      </c>
      <c r="Q362" s="5">
        <v>55</v>
      </c>
      <c r="R362" s="5">
        <v>8</v>
      </c>
      <c r="S362" s="5">
        <v>655.07600000000002</v>
      </c>
      <c r="T362" s="5" t="s">
        <v>12</v>
      </c>
      <c r="U362" s="5" t="s">
        <v>12</v>
      </c>
      <c r="V362" s="5" t="s">
        <v>12</v>
      </c>
      <c r="W362" s="5">
        <v>27.3</v>
      </c>
      <c r="X362" s="5">
        <v>73.75</v>
      </c>
      <c r="Y362" s="5">
        <v>137</v>
      </c>
      <c r="Z362" s="5" t="s">
        <v>1545</v>
      </c>
      <c r="AA362" s="5" t="s">
        <v>1933</v>
      </c>
      <c r="AB362" s="5" t="s">
        <v>19</v>
      </c>
      <c r="AC362" s="5" t="s">
        <v>19</v>
      </c>
      <c r="AD362" s="5" t="s">
        <v>19</v>
      </c>
      <c r="AE362" s="5" t="s">
        <v>2391</v>
      </c>
      <c r="AF362" s="5" t="s">
        <v>12</v>
      </c>
      <c r="AG362" s="5"/>
      <c r="AH362" s="5"/>
      <c r="AI362" s="5"/>
      <c r="AJ362" s="5"/>
      <c r="AK362" s="5"/>
      <c r="AL362" s="5" t="s">
        <v>4362</v>
      </c>
      <c r="AM362" s="5" t="s">
        <v>4363</v>
      </c>
      <c r="AN362" s="5" t="s">
        <v>1756</v>
      </c>
      <c r="AO362" s="5" t="s">
        <v>69</v>
      </c>
      <c r="AP362" s="5" t="s">
        <v>68</v>
      </c>
      <c r="AQ362" s="5" t="s">
        <v>106</v>
      </c>
      <c r="AR362" s="5" t="s">
        <v>105</v>
      </c>
    </row>
    <row r="363" spans="1:44" ht="31.5" x14ac:dyDescent="0.25">
      <c r="A363" s="10">
        <v>46096</v>
      </c>
      <c r="B363" s="5" t="s">
        <v>416</v>
      </c>
      <c r="C363" s="5" t="s">
        <v>2419</v>
      </c>
      <c r="D363" s="5" t="s">
        <v>11</v>
      </c>
      <c r="E363" s="5" t="s">
        <v>1</v>
      </c>
      <c r="F363" s="5" t="s">
        <v>1</v>
      </c>
      <c r="G363" s="5" t="s">
        <v>4364</v>
      </c>
      <c r="H363" s="5" t="s">
        <v>4365</v>
      </c>
      <c r="I363" s="6" t="str">
        <f>HYPERLINK("http://maps.yandex.ru/?ll=30.416313,59.79082&amp;spn=0.011598,0.004531&amp;z=17&amp;l=map&amp;pt=30.416313,59.79082", "59.790825//30.416313")</f>
        <v>59.790825//30.416313</v>
      </c>
      <c r="J363" s="5" t="s">
        <v>23</v>
      </c>
      <c r="K363" s="6" t="str">
        <f>HYPERLINK("http://maps.yandex.ru/?ll=31.15132,59.39077&amp;spn=0.011598,0.004531&amp;z=17&amp;l=map&amp;pt=31.15132,59.39077", "59.390774//31.15132")</f>
        <v>59.390774//31.15132</v>
      </c>
      <c r="L363" s="5" t="s">
        <v>22</v>
      </c>
      <c r="M363" s="5" t="s">
        <v>3391</v>
      </c>
      <c r="N363" s="5" t="s">
        <v>4366</v>
      </c>
      <c r="O363" s="5" t="s">
        <v>1342</v>
      </c>
      <c r="P363" s="5">
        <v>15</v>
      </c>
      <c r="Q363" s="5">
        <v>76</v>
      </c>
      <c r="R363" s="5">
        <v>9</v>
      </c>
      <c r="S363" s="5">
        <v>119.072</v>
      </c>
      <c r="T363" s="5" t="s">
        <v>12</v>
      </c>
      <c r="U363" s="5" t="s">
        <v>12</v>
      </c>
      <c r="V363" s="5" t="s">
        <v>12</v>
      </c>
      <c r="W363" s="5">
        <v>4.96</v>
      </c>
      <c r="X363" s="5">
        <v>33.56</v>
      </c>
      <c r="Y363" s="5">
        <v>91</v>
      </c>
      <c r="Z363" s="5" t="s">
        <v>1857</v>
      </c>
      <c r="AA363" s="5" t="s">
        <v>2075</v>
      </c>
      <c r="AB363" s="5" t="s">
        <v>19</v>
      </c>
      <c r="AC363" s="5" t="s">
        <v>19</v>
      </c>
      <c r="AD363" s="5" t="s">
        <v>19</v>
      </c>
      <c r="AE363" s="5" t="s">
        <v>1695</v>
      </c>
      <c r="AF363" s="5" t="s">
        <v>12</v>
      </c>
      <c r="AG363" s="5"/>
      <c r="AH363" s="5"/>
      <c r="AI363" s="5"/>
      <c r="AJ363" s="5"/>
      <c r="AK363" s="5"/>
      <c r="AL363" s="5" t="s">
        <v>4367</v>
      </c>
      <c r="AM363" s="5" t="s">
        <v>4368</v>
      </c>
      <c r="AN363" s="5" t="s">
        <v>1615</v>
      </c>
      <c r="AO363" s="5" t="s">
        <v>69</v>
      </c>
      <c r="AP363" s="5" t="s">
        <v>68</v>
      </c>
      <c r="AQ363" s="5" t="s">
        <v>99</v>
      </c>
      <c r="AR363" s="5" t="s">
        <v>98</v>
      </c>
    </row>
    <row r="364" spans="1:44" ht="31.5" x14ac:dyDescent="0.25">
      <c r="A364" s="10">
        <v>46096</v>
      </c>
      <c r="B364" s="5" t="s">
        <v>413</v>
      </c>
      <c r="C364" s="5" t="s">
        <v>2420</v>
      </c>
      <c r="D364" s="5" t="s">
        <v>11</v>
      </c>
      <c r="E364" s="5" t="s">
        <v>1</v>
      </c>
      <c r="F364" s="5" t="s">
        <v>1</v>
      </c>
      <c r="G364" s="5" t="s">
        <v>4369</v>
      </c>
      <c r="H364" s="5" t="s">
        <v>4370</v>
      </c>
      <c r="I364" s="6" t="str">
        <f>HYPERLINK("http://maps.yandex.ru/?ll=37.641167,55.4844&amp;spn=0.011598,0.004531&amp;z=17&amp;l=map&amp;pt=37.641167,55.4844", "55.48446//37.641167")</f>
        <v>55.48446//37.641167</v>
      </c>
      <c r="J364" s="5" t="s">
        <v>56</v>
      </c>
      <c r="K364" s="6" t="str">
        <f>HYPERLINK("http://maps.yandex.ru/?ll=39.214554,51.8491&amp;spn=0.011598,0.004531&amp;z=17&amp;l=map&amp;pt=39.214554,51.8491", "51.84914//39.214554")</f>
        <v>51.84914//39.214554</v>
      </c>
      <c r="L364" s="5" t="s">
        <v>101</v>
      </c>
      <c r="M364" s="5" t="s">
        <v>320</v>
      </c>
      <c r="N364" s="5" t="s">
        <v>414</v>
      </c>
      <c r="O364" s="5" t="s">
        <v>363</v>
      </c>
      <c r="P364" s="5">
        <v>28</v>
      </c>
      <c r="Q364" s="5">
        <v>57</v>
      </c>
      <c r="R364" s="5">
        <v>15</v>
      </c>
      <c r="S364" s="5">
        <v>397.93900000000002</v>
      </c>
      <c r="T364" s="5" t="s">
        <v>3180</v>
      </c>
      <c r="U364" s="5" t="s">
        <v>4371</v>
      </c>
      <c r="V364" s="5" t="s">
        <v>4372</v>
      </c>
      <c r="W364" s="5">
        <v>16.579999999999998</v>
      </c>
      <c r="X364" s="5">
        <v>59.03</v>
      </c>
      <c r="Y364" s="5">
        <v>117</v>
      </c>
      <c r="Z364" s="5" t="s">
        <v>2234</v>
      </c>
      <c r="AA364" s="5" t="s">
        <v>2455</v>
      </c>
      <c r="AB364" s="5" t="s">
        <v>19</v>
      </c>
      <c r="AC364" s="5" t="s">
        <v>19</v>
      </c>
      <c r="AD364" s="5" t="s">
        <v>19</v>
      </c>
      <c r="AE364" s="5" t="s">
        <v>2111</v>
      </c>
      <c r="AF364" s="5" t="s">
        <v>4373</v>
      </c>
      <c r="AG364" s="5">
        <v>155</v>
      </c>
      <c r="AH364" s="5">
        <v>3</v>
      </c>
      <c r="AI364" s="5">
        <v>152</v>
      </c>
      <c r="AJ364" s="5">
        <v>31.25</v>
      </c>
      <c r="AK364" s="5">
        <v>30.65</v>
      </c>
      <c r="AL364" s="5" t="s">
        <v>12</v>
      </c>
      <c r="AM364" s="5" t="s">
        <v>12</v>
      </c>
      <c r="AN364" s="5" t="s">
        <v>12</v>
      </c>
      <c r="AO364" s="5" t="s">
        <v>11</v>
      </c>
      <c r="AP364" s="5" t="s">
        <v>11</v>
      </c>
      <c r="AQ364" s="5" t="s">
        <v>53</v>
      </c>
      <c r="AR364" s="5" t="s">
        <v>52</v>
      </c>
    </row>
    <row r="365" spans="1:44" ht="31.5" x14ac:dyDescent="0.25">
      <c r="A365" s="10">
        <v>46096</v>
      </c>
      <c r="B365" s="5" t="s">
        <v>412</v>
      </c>
      <c r="C365" s="5" t="s">
        <v>2421</v>
      </c>
      <c r="D365" s="5" t="s">
        <v>11</v>
      </c>
      <c r="E365" s="5" t="s">
        <v>1</v>
      </c>
      <c r="F365" s="5" t="s">
        <v>1</v>
      </c>
      <c r="G365" s="5" t="s">
        <v>3103</v>
      </c>
      <c r="H365" s="5" t="s">
        <v>3121</v>
      </c>
      <c r="I365" s="6" t="str">
        <f>HYPERLINK("http://maps.yandex.ru/?ll=39.850143,51.0395&amp;spn=0.011598,0.004531&amp;z=17&amp;l=map&amp;pt=39.850143,51.0395", "51.03954//39.850143")</f>
        <v>51.03954//39.850143</v>
      </c>
      <c r="J365" s="5" t="s">
        <v>101</v>
      </c>
      <c r="K365" s="6" t="str">
        <f>HYPERLINK("http://maps.yandex.ru/?ll=39.698715,47.07593&amp;spn=0.011598,0.004531&amp;z=17&amp;l=map&amp;pt=39.698715,47.07593", "47.075935//39.698715")</f>
        <v>47.075935//39.698715</v>
      </c>
      <c r="L365" s="5" t="s">
        <v>64</v>
      </c>
      <c r="M365" s="5" t="s">
        <v>797</v>
      </c>
      <c r="N365" s="5" t="s">
        <v>3237</v>
      </c>
      <c r="O365" s="5" t="s">
        <v>4374</v>
      </c>
      <c r="P365" s="5">
        <v>30</v>
      </c>
      <c r="Q365" s="5">
        <v>54</v>
      </c>
      <c r="R365" s="5">
        <v>16</v>
      </c>
      <c r="S365" s="5">
        <v>481.48899999999998</v>
      </c>
      <c r="T365" s="5" t="s">
        <v>3152</v>
      </c>
      <c r="U365" s="5" t="s">
        <v>2423</v>
      </c>
      <c r="V365" s="5" t="s">
        <v>4375</v>
      </c>
      <c r="W365" s="5">
        <v>20.059999999999999</v>
      </c>
      <c r="X365" s="5">
        <v>66.180000000000007</v>
      </c>
      <c r="Y365" s="5">
        <v>155</v>
      </c>
      <c r="Z365" s="5" t="s">
        <v>12</v>
      </c>
      <c r="AA365" s="5" t="s">
        <v>12</v>
      </c>
      <c r="AB365" s="5" t="s">
        <v>12</v>
      </c>
      <c r="AC365" s="5" t="s">
        <v>12</v>
      </c>
      <c r="AD365" s="5" t="s">
        <v>12</v>
      </c>
      <c r="AE365" s="5" t="s">
        <v>12</v>
      </c>
      <c r="AF365" s="5" t="s">
        <v>12</v>
      </c>
      <c r="AG365" s="5">
        <v>147</v>
      </c>
      <c r="AH365" s="5">
        <v>1</v>
      </c>
      <c r="AI365" s="5">
        <v>146</v>
      </c>
      <c r="AJ365" s="5">
        <v>32.1</v>
      </c>
      <c r="AK365" s="5">
        <v>31.88</v>
      </c>
      <c r="AL365" s="5" t="s">
        <v>12</v>
      </c>
      <c r="AM365" s="5" t="s">
        <v>12</v>
      </c>
      <c r="AN365" s="5" t="s">
        <v>12</v>
      </c>
      <c r="AO365" s="5" t="s">
        <v>11</v>
      </c>
      <c r="AP365" s="5" t="s">
        <v>11</v>
      </c>
      <c r="AQ365" s="5" t="s">
        <v>11</v>
      </c>
      <c r="AR365" s="5" t="s">
        <v>11</v>
      </c>
    </row>
    <row r="366" spans="1:44" ht="31.5" x14ac:dyDescent="0.25">
      <c r="A366" s="10">
        <v>46096</v>
      </c>
      <c r="B366" s="5" t="s">
        <v>411</v>
      </c>
      <c r="C366" s="5" t="s">
        <v>2424</v>
      </c>
      <c r="D366" s="5" t="s">
        <v>11</v>
      </c>
      <c r="E366" s="5" t="s">
        <v>11</v>
      </c>
      <c r="F366" s="5" t="s">
        <v>11</v>
      </c>
      <c r="G366" s="5" t="s">
        <v>4376</v>
      </c>
      <c r="H366" s="5" t="s">
        <v>4377</v>
      </c>
      <c r="I366" s="6" t="str">
        <f>HYPERLINK("http://maps.yandex.ru/?ll=50.400738,53.5157&amp;spn=0.011598,0.004531&amp;z=17&amp;l=map&amp;pt=50.400738,53.5157", "53.51571//50.400738")</f>
        <v>53.51571//50.400738</v>
      </c>
      <c r="J366" s="5" t="s">
        <v>76</v>
      </c>
      <c r="K366" s="6" t="str">
        <f>HYPERLINK("http://maps.yandex.ru/?ll=50.400646,53.5157&amp;spn=0.011598,0.004531&amp;z=17&amp;l=map&amp;pt=50.400646,53.5157", "53.51572//50.400646")</f>
        <v>53.51572//50.400646</v>
      </c>
      <c r="L366" s="5" t="s">
        <v>76</v>
      </c>
      <c r="M366" s="5" t="s">
        <v>128</v>
      </c>
      <c r="N366" s="5" t="s">
        <v>4378</v>
      </c>
      <c r="O366" s="5" t="s">
        <v>1265</v>
      </c>
      <c r="P366" s="5">
        <v>2</v>
      </c>
      <c r="Q366" s="5">
        <v>85</v>
      </c>
      <c r="R366" s="5">
        <v>13</v>
      </c>
      <c r="S366" s="5">
        <v>1.143</v>
      </c>
      <c r="T366" s="5" t="s">
        <v>12</v>
      </c>
      <c r="U366" s="5" t="s">
        <v>12</v>
      </c>
      <c r="V366" s="5" t="s">
        <v>12</v>
      </c>
      <c r="W366" s="5">
        <v>0.05</v>
      </c>
      <c r="X366" s="5">
        <v>2.41</v>
      </c>
      <c r="Y366" s="5">
        <v>28</v>
      </c>
      <c r="Z366" s="5" t="s">
        <v>12</v>
      </c>
      <c r="AA366" s="5" t="s">
        <v>12</v>
      </c>
      <c r="AB366" s="5" t="s">
        <v>12</v>
      </c>
      <c r="AC366" s="5" t="s">
        <v>12</v>
      </c>
      <c r="AD366" s="5" t="s">
        <v>12</v>
      </c>
      <c r="AE366" s="5" t="s">
        <v>12</v>
      </c>
      <c r="AF366" s="5" t="s">
        <v>12</v>
      </c>
      <c r="AG366" s="5"/>
      <c r="AH366" s="5"/>
      <c r="AI366" s="5"/>
      <c r="AJ366" s="5"/>
      <c r="AK366" s="5"/>
      <c r="AL366" s="5" t="s">
        <v>12</v>
      </c>
      <c r="AM366" s="5" t="s">
        <v>12</v>
      </c>
      <c r="AN366" s="5" t="s">
        <v>12</v>
      </c>
      <c r="AO366" s="5" t="s">
        <v>83</v>
      </c>
      <c r="AP366" s="5" t="s">
        <v>82</v>
      </c>
      <c r="AQ366" s="5" t="s">
        <v>408</v>
      </c>
      <c r="AR366" s="5" t="s">
        <v>407</v>
      </c>
    </row>
    <row r="367" spans="1:44" ht="31.5" x14ac:dyDescent="0.25">
      <c r="A367" s="10">
        <v>46096</v>
      </c>
      <c r="B367" s="5" t="s">
        <v>406</v>
      </c>
      <c r="C367" s="5" t="s">
        <v>2425</v>
      </c>
      <c r="D367" s="5" t="s">
        <v>11</v>
      </c>
      <c r="E367" s="5" t="s">
        <v>11</v>
      </c>
      <c r="F367" s="5" t="s">
        <v>11</v>
      </c>
      <c r="G367" s="5" t="s">
        <v>4379</v>
      </c>
      <c r="H367" s="5" t="s">
        <v>4380</v>
      </c>
      <c r="I367" s="6" t="str">
        <f>HYPERLINK("http://maps.yandex.ru/?ll=41.8177,52.67836&amp;spn=0.011598,0.004531&amp;z=17&amp;l=map&amp;pt=41.8177,52.67836", "52.678368//41.8177")</f>
        <v>52.678368//41.8177</v>
      </c>
      <c r="J367" s="5" t="s">
        <v>284</v>
      </c>
      <c r="K367" s="6" t="str">
        <f>HYPERLINK("http://maps.yandex.ru/?ll=50.400703,53.5158&amp;spn=0.011598,0.004531&amp;z=17&amp;l=map&amp;pt=50.400703,53.5158", "53.51583//50.400703")</f>
        <v>53.51583//50.400703</v>
      </c>
      <c r="L367" s="5" t="s">
        <v>76</v>
      </c>
      <c r="M367" s="5" t="s">
        <v>1394</v>
      </c>
      <c r="N367" s="5" t="s">
        <v>1368</v>
      </c>
      <c r="O367" s="5" t="s">
        <v>388</v>
      </c>
      <c r="P367" s="5">
        <v>38</v>
      </c>
      <c r="Q367" s="5">
        <v>60</v>
      </c>
      <c r="R367" s="5">
        <v>3</v>
      </c>
      <c r="S367" s="5">
        <v>643.72</v>
      </c>
      <c r="T367" s="5" t="s">
        <v>12</v>
      </c>
      <c r="U367" s="5" t="s">
        <v>12</v>
      </c>
      <c r="V367" s="5" t="s">
        <v>12</v>
      </c>
      <c r="W367" s="5">
        <v>26.82</v>
      </c>
      <c r="X367" s="5">
        <v>71.010000000000005</v>
      </c>
      <c r="Y367" s="5">
        <v>138</v>
      </c>
      <c r="Z367" s="5" t="s">
        <v>1512</v>
      </c>
      <c r="AA367" s="5" t="s">
        <v>1332</v>
      </c>
      <c r="AB367" s="5" t="s">
        <v>19</v>
      </c>
      <c r="AC367" s="5" t="s">
        <v>19</v>
      </c>
      <c r="AD367" s="5" t="s">
        <v>19</v>
      </c>
      <c r="AE367" s="5" t="s">
        <v>1591</v>
      </c>
      <c r="AF367" s="5" t="s">
        <v>12</v>
      </c>
      <c r="AG367" s="5"/>
      <c r="AH367" s="5"/>
      <c r="AI367" s="5"/>
      <c r="AJ367" s="5"/>
      <c r="AK367" s="5"/>
      <c r="AL367" s="5" t="s">
        <v>4381</v>
      </c>
      <c r="AM367" s="5" t="s">
        <v>4382</v>
      </c>
      <c r="AN367" s="5" t="s">
        <v>1756</v>
      </c>
      <c r="AO367" s="5" t="s">
        <v>69</v>
      </c>
      <c r="AP367" s="5" t="s">
        <v>68</v>
      </c>
      <c r="AQ367" s="5" t="s">
        <v>99</v>
      </c>
      <c r="AR367" s="5" t="s">
        <v>275</v>
      </c>
    </row>
    <row r="368" spans="1:44" ht="31.5" x14ac:dyDescent="0.25">
      <c r="A368" s="10">
        <v>46096</v>
      </c>
      <c r="B368" s="5" t="s">
        <v>405</v>
      </c>
      <c r="C368" s="5" t="s">
        <v>2426</v>
      </c>
      <c r="D368" s="5" t="s">
        <v>11</v>
      </c>
      <c r="E368" s="5" t="s">
        <v>404</v>
      </c>
      <c r="F368" s="5" t="s">
        <v>11</v>
      </c>
      <c r="G368" s="5" t="s">
        <v>4383</v>
      </c>
      <c r="H368" s="5" t="s">
        <v>4384</v>
      </c>
      <c r="I368" s="6" t="str">
        <f>HYPERLINK("http://maps.yandex.ru/?ll=30.66001,59.66679&amp;spn=0.011598,0.004531&amp;z=17&amp;l=map&amp;pt=30.66001,59.66679", "59.666798//30.66001")</f>
        <v>59.666798//30.66001</v>
      </c>
      <c r="J368" s="5" t="s">
        <v>22</v>
      </c>
      <c r="K368" s="6" t="str">
        <f>HYPERLINK("http://maps.yandex.ru/?ll=34.266205,57.55289&amp;spn=0.011598,0.004531&amp;z=17&amp;l=map&amp;pt=34.266205,57.55289", "57.552895//34.266205")</f>
        <v>57.552895//34.266205</v>
      </c>
      <c r="L368" s="5" t="s">
        <v>50</v>
      </c>
      <c r="M368" s="5" t="s">
        <v>1363</v>
      </c>
      <c r="N368" s="5" t="s">
        <v>1436</v>
      </c>
      <c r="O368" s="5" t="s">
        <v>13</v>
      </c>
      <c r="P368" s="5">
        <v>25</v>
      </c>
      <c r="Q368" s="5">
        <v>75</v>
      </c>
      <c r="R368" s="5">
        <v>0</v>
      </c>
      <c r="S368" s="5">
        <v>447.25200000000001</v>
      </c>
      <c r="T368" s="5" t="s">
        <v>12</v>
      </c>
      <c r="U368" s="5" t="s">
        <v>12</v>
      </c>
      <c r="V368" s="5" t="s">
        <v>12</v>
      </c>
      <c r="W368" s="5">
        <v>18.64</v>
      </c>
      <c r="X368" s="5">
        <v>73.77</v>
      </c>
      <c r="Y368" s="5">
        <v>90</v>
      </c>
      <c r="Z368" s="5" t="s">
        <v>12</v>
      </c>
      <c r="AA368" s="5" t="s">
        <v>12</v>
      </c>
      <c r="AB368" s="5" t="s">
        <v>12</v>
      </c>
      <c r="AC368" s="5" t="s">
        <v>12</v>
      </c>
      <c r="AD368" s="5" t="s">
        <v>12</v>
      </c>
      <c r="AE368" s="5" t="s">
        <v>12</v>
      </c>
      <c r="AF368" s="5" t="s">
        <v>12</v>
      </c>
      <c r="AG368" s="5"/>
      <c r="AH368" s="5"/>
      <c r="AI368" s="5"/>
      <c r="AJ368" s="5"/>
      <c r="AK368" s="5"/>
      <c r="AL368" s="5" t="s">
        <v>4385</v>
      </c>
      <c r="AM368" s="5" t="s">
        <v>4386</v>
      </c>
      <c r="AN368" s="5" t="s">
        <v>1720</v>
      </c>
      <c r="AO368" s="5" t="s">
        <v>83</v>
      </c>
      <c r="AP368" s="5" t="s">
        <v>82</v>
      </c>
      <c r="AQ368" s="5" t="s">
        <v>106</v>
      </c>
      <c r="AR368" s="5" t="s">
        <v>403</v>
      </c>
    </row>
    <row r="369" spans="1:44" ht="31.5" x14ac:dyDescent="0.25">
      <c r="A369" s="10">
        <v>46096</v>
      </c>
      <c r="B369" s="5" t="s">
        <v>402</v>
      </c>
      <c r="C369" s="5" t="s">
        <v>2427</v>
      </c>
      <c r="D369" s="5" t="s">
        <v>11</v>
      </c>
      <c r="E369" s="5" t="s">
        <v>6</v>
      </c>
      <c r="F369" s="5" t="s">
        <v>6</v>
      </c>
      <c r="G369" s="5" t="s">
        <v>4387</v>
      </c>
      <c r="H369" s="5" t="s">
        <v>3121</v>
      </c>
      <c r="I369" s="6" t="str">
        <f>HYPERLINK("http://maps.yandex.ru/?ll=37.872105,50.73343&amp;spn=0.011598,0.004531&amp;z=17&amp;l=map&amp;pt=37.872105,50.73343", "50.733437//37.872105")</f>
        <v>50.733437//37.872105</v>
      </c>
      <c r="J369" s="5" t="s">
        <v>934</v>
      </c>
      <c r="K369" s="6" t="str">
        <f>HYPERLINK("http://maps.yandex.ru/?ll=39.856476,46.13331&amp;spn=0.011598,0.004531&amp;z=17&amp;l=map&amp;pt=39.856476,46.13331", "46.133312//39.856476")</f>
        <v>46.133312//39.856476</v>
      </c>
      <c r="L369" s="5" t="s">
        <v>88</v>
      </c>
      <c r="M369" s="5" t="s">
        <v>1348</v>
      </c>
      <c r="N369" s="5" t="s">
        <v>3420</v>
      </c>
      <c r="O369" s="5" t="s">
        <v>1398</v>
      </c>
      <c r="P369" s="5">
        <v>33</v>
      </c>
      <c r="Q369" s="5">
        <v>16</v>
      </c>
      <c r="R369" s="5">
        <v>51</v>
      </c>
      <c r="S369" s="5">
        <v>407.21499999999997</v>
      </c>
      <c r="T369" s="5" t="s">
        <v>12</v>
      </c>
      <c r="U369" s="5" t="s">
        <v>12</v>
      </c>
      <c r="V369" s="5" t="s">
        <v>12</v>
      </c>
      <c r="W369" s="5">
        <v>16.97</v>
      </c>
      <c r="X369" s="5">
        <v>50.96</v>
      </c>
      <c r="Y369" s="5">
        <v>112</v>
      </c>
      <c r="Z369" s="5" t="s">
        <v>1559</v>
      </c>
      <c r="AA369" s="5" t="s">
        <v>2306</v>
      </c>
      <c r="AB369" s="5" t="s">
        <v>19</v>
      </c>
      <c r="AC369" s="5" t="s">
        <v>19</v>
      </c>
      <c r="AD369" s="5" t="s">
        <v>19</v>
      </c>
      <c r="AE369" s="5" t="s">
        <v>1709</v>
      </c>
      <c r="AF369" s="5" t="s">
        <v>12</v>
      </c>
      <c r="AG369" s="5"/>
      <c r="AH369" s="5"/>
      <c r="AI369" s="5"/>
      <c r="AJ369" s="5"/>
      <c r="AK369" s="5"/>
      <c r="AL369" s="5" t="s">
        <v>4388</v>
      </c>
      <c r="AM369" s="5" t="s">
        <v>4389</v>
      </c>
      <c r="AN369" s="5" t="s">
        <v>1756</v>
      </c>
      <c r="AO369" s="5" t="s">
        <v>69</v>
      </c>
      <c r="AP369" s="5" t="s">
        <v>68</v>
      </c>
      <c r="AQ369" s="5" t="s">
        <v>99</v>
      </c>
      <c r="AR369" s="5" t="s">
        <v>98</v>
      </c>
    </row>
    <row r="370" spans="1:44" ht="31.5" x14ac:dyDescent="0.25">
      <c r="A370" s="10">
        <v>46096</v>
      </c>
      <c r="B370" s="5" t="s">
        <v>400</v>
      </c>
      <c r="C370" s="5" t="s">
        <v>2428</v>
      </c>
      <c r="D370" s="5" t="s">
        <v>11</v>
      </c>
      <c r="E370" s="5" t="s">
        <v>8</v>
      </c>
      <c r="F370" s="5" t="s">
        <v>8</v>
      </c>
      <c r="G370" s="5" t="s">
        <v>3103</v>
      </c>
      <c r="H370" s="5" t="s">
        <v>4390</v>
      </c>
      <c r="I370" s="6" t="str">
        <f>HYPERLINK("http://maps.yandex.ru/?ll=37.728806,53.76854&amp;spn=0.011598,0.004531&amp;z=17&amp;l=map&amp;pt=37.728806,53.76854", "53.768543//37.728806")</f>
        <v>53.768543//37.728806</v>
      </c>
      <c r="J370" s="5" t="s">
        <v>168</v>
      </c>
      <c r="K370" s="6" t="str">
        <f>HYPERLINK("http://maps.yandex.ru/?ll=34.26503,57.69301&amp;spn=0.011598,0.004531&amp;z=17&amp;l=map&amp;pt=34.26503,57.69301", "57.693016//34.26503")</f>
        <v>57.693016//34.26503</v>
      </c>
      <c r="L370" s="5" t="s">
        <v>50</v>
      </c>
      <c r="M370" s="5" t="s">
        <v>258</v>
      </c>
      <c r="N370" s="5" t="s">
        <v>1417</v>
      </c>
      <c r="O370" s="5" t="s">
        <v>579</v>
      </c>
      <c r="P370" s="5">
        <v>34</v>
      </c>
      <c r="Q370" s="5">
        <v>31</v>
      </c>
      <c r="R370" s="5">
        <v>35</v>
      </c>
      <c r="S370" s="5">
        <v>505.49299999999999</v>
      </c>
      <c r="T370" s="5" t="s">
        <v>12</v>
      </c>
      <c r="U370" s="5" t="s">
        <v>12</v>
      </c>
      <c r="V370" s="5" t="s">
        <v>12</v>
      </c>
      <c r="W370" s="5">
        <v>21.06</v>
      </c>
      <c r="X370" s="5">
        <v>62.48</v>
      </c>
      <c r="Y370" s="5">
        <v>120</v>
      </c>
      <c r="Z370" s="5" t="s">
        <v>2197</v>
      </c>
      <c r="AA370" s="5" t="s">
        <v>1579</v>
      </c>
      <c r="AB370" s="5" t="s">
        <v>19</v>
      </c>
      <c r="AC370" s="5" t="s">
        <v>19</v>
      </c>
      <c r="AD370" s="5" t="s">
        <v>19</v>
      </c>
      <c r="AE370" s="5" t="s">
        <v>2483</v>
      </c>
      <c r="AF370" s="5" t="s">
        <v>12</v>
      </c>
      <c r="AG370" s="5"/>
      <c r="AH370" s="5"/>
      <c r="AI370" s="5"/>
      <c r="AJ370" s="5"/>
      <c r="AK370" s="5"/>
      <c r="AL370" s="5" t="s">
        <v>19</v>
      </c>
      <c r="AM370" s="5" t="s">
        <v>19</v>
      </c>
      <c r="AN370" s="5" t="s">
        <v>19</v>
      </c>
      <c r="AO370" s="5" t="s">
        <v>69</v>
      </c>
      <c r="AP370" s="5" t="s">
        <v>68</v>
      </c>
      <c r="AQ370" s="5" t="s">
        <v>99</v>
      </c>
      <c r="AR370" s="5" t="s">
        <v>98</v>
      </c>
    </row>
    <row r="371" spans="1:44" ht="31.5" x14ac:dyDescent="0.25">
      <c r="A371" s="10">
        <v>46096</v>
      </c>
      <c r="B371" s="5" t="s">
        <v>399</v>
      </c>
      <c r="C371" s="5" t="s">
        <v>2429</v>
      </c>
      <c r="D371" s="5" t="s">
        <v>11</v>
      </c>
      <c r="E371" s="5" t="s">
        <v>0</v>
      </c>
      <c r="F371" s="5" t="s">
        <v>0</v>
      </c>
      <c r="G371" s="5" t="s">
        <v>3365</v>
      </c>
      <c r="H371" s="5" t="s">
        <v>4391</v>
      </c>
      <c r="I371" s="6" t="str">
        <f>HYPERLINK("http://maps.yandex.ru/?ll=51.994595,54.04506&amp;spn=0.011598,0.004531&amp;z=17&amp;l=map&amp;pt=51.994595,54.04506", "54.045063//51.994595")</f>
        <v>54.045063//51.994595</v>
      </c>
      <c r="J371" s="5" t="s">
        <v>76</v>
      </c>
      <c r="K371" s="6" t="str">
        <f>HYPERLINK("http://maps.yandex.ru/?ll=45.626232,51.03553&amp;spn=0.011598,0.004531&amp;z=17&amp;l=map&amp;pt=45.626232,51.03553", "51.035534//45.626232")</f>
        <v>51.035534//45.626232</v>
      </c>
      <c r="L371" s="5" t="s">
        <v>213</v>
      </c>
      <c r="M371" s="5" t="s">
        <v>1229</v>
      </c>
      <c r="N371" s="5" t="s">
        <v>3587</v>
      </c>
      <c r="O371" s="5" t="s">
        <v>1514</v>
      </c>
      <c r="P371" s="5">
        <v>30</v>
      </c>
      <c r="Q371" s="5">
        <v>56</v>
      </c>
      <c r="R371" s="5">
        <v>13</v>
      </c>
      <c r="S371" s="5">
        <v>535.79100000000005</v>
      </c>
      <c r="T371" s="5" t="s">
        <v>1573</v>
      </c>
      <c r="U371" s="5" t="s">
        <v>4392</v>
      </c>
      <c r="V371" s="5" t="s">
        <v>4393</v>
      </c>
      <c r="W371" s="5">
        <v>22.32</v>
      </c>
      <c r="X371" s="5">
        <v>73.930000000000007</v>
      </c>
      <c r="Y371" s="5">
        <v>163</v>
      </c>
      <c r="Z371" s="5" t="s">
        <v>2430</v>
      </c>
      <c r="AA371" s="5" t="s">
        <v>2765</v>
      </c>
      <c r="AB371" s="5" t="s">
        <v>4394</v>
      </c>
      <c r="AC371" s="5" t="s">
        <v>1673</v>
      </c>
      <c r="AD371" s="5" t="s">
        <v>19</v>
      </c>
      <c r="AE371" s="5" t="s">
        <v>4395</v>
      </c>
      <c r="AF371" s="5" t="s">
        <v>4396</v>
      </c>
      <c r="AG371" s="5">
        <v>246</v>
      </c>
      <c r="AH371" s="5">
        <v>3</v>
      </c>
      <c r="AI371" s="5">
        <v>243</v>
      </c>
      <c r="AJ371" s="5">
        <v>34.79</v>
      </c>
      <c r="AK371" s="5">
        <v>34.369999999999997</v>
      </c>
      <c r="AL371" s="5" t="s">
        <v>12</v>
      </c>
      <c r="AM371" s="5" t="s">
        <v>12</v>
      </c>
      <c r="AN371" s="5" t="s">
        <v>12</v>
      </c>
      <c r="AO371" s="5" t="s">
        <v>11</v>
      </c>
      <c r="AP371" s="5" t="s">
        <v>11</v>
      </c>
      <c r="AQ371" s="5" t="s">
        <v>18</v>
      </c>
      <c r="AR371" s="5" t="s">
        <v>17</v>
      </c>
    </row>
    <row r="372" spans="1:44" ht="31.5" x14ac:dyDescent="0.25">
      <c r="A372" s="10">
        <v>46096</v>
      </c>
      <c r="B372" s="5" t="s">
        <v>398</v>
      </c>
      <c r="C372" s="5" t="s">
        <v>2431</v>
      </c>
      <c r="D372" s="5" t="s">
        <v>11</v>
      </c>
      <c r="E372" s="5" t="s">
        <v>8</v>
      </c>
      <c r="F372" s="5" t="s">
        <v>8</v>
      </c>
      <c r="G372" s="5" t="s">
        <v>4261</v>
      </c>
      <c r="H372" s="5" t="s">
        <v>4397</v>
      </c>
      <c r="I372" s="6" t="str">
        <f>HYPERLINK("http://maps.yandex.ru/?ll=51.252586,53.8890&amp;spn=0.011598,0.004531&amp;z=17&amp;l=map&amp;pt=51.252586,53.8890", "53.88902//51.252586")</f>
        <v>53.88902//51.252586</v>
      </c>
      <c r="J372" s="5" t="s">
        <v>76</v>
      </c>
      <c r="K372" s="6" t="str">
        <f>HYPERLINK("http://maps.yandex.ru/?ll=59.329453,55.1101&amp;spn=0.011598,0.004531&amp;z=17&amp;l=map&amp;pt=59.329453,55.1101", "55.11012//59.329453")</f>
        <v>55.11012//59.329453</v>
      </c>
      <c r="L372" s="5" t="s">
        <v>227</v>
      </c>
      <c r="M372" s="5" t="s">
        <v>175</v>
      </c>
      <c r="N372" s="5" t="s">
        <v>837</v>
      </c>
      <c r="O372" s="5" t="s">
        <v>4038</v>
      </c>
      <c r="P372" s="5">
        <v>37</v>
      </c>
      <c r="Q372" s="5">
        <v>61</v>
      </c>
      <c r="R372" s="5">
        <v>2</v>
      </c>
      <c r="S372" s="5">
        <v>585.00900000000001</v>
      </c>
      <c r="T372" s="5" t="s">
        <v>12</v>
      </c>
      <c r="U372" s="5" t="s">
        <v>12</v>
      </c>
      <c r="V372" s="5" t="s">
        <v>12</v>
      </c>
      <c r="W372" s="5">
        <v>24.38</v>
      </c>
      <c r="X372" s="5">
        <v>66.27</v>
      </c>
      <c r="Y372" s="5">
        <v>116</v>
      </c>
      <c r="Z372" s="5" t="s">
        <v>2075</v>
      </c>
      <c r="AA372" s="5" t="s">
        <v>2033</v>
      </c>
      <c r="AB372" s="5" t="s">
        <v>19</v>
      </c>
      <c r="AC372" s="5" t="s">
        <v>19</v>
      </c>
      <c r="AD372" s="5" t="s">
        <v>19</v>
      </c>
      <c r="AE372" s="5" t="s">
        <v>2355</v>
      </c>
      <c r="AF372" s="5" t="s">
        <v>12</v>
      </c>
      <c r="AG372" s="5"/>
      <c r="AH372" s="5"/>
      <c r="AI372" s="5"/>
      <c r="AJ372" s="5"/>
      <c r="AK372" s="5"/>
      <c r="AL372" s="5" t="s">
        <v>4398</v>
      </c>
      <c r="AM372" s="5" t="s">
        <v>4399</v>
      </c>
      <c r="AN372" s="5" t="s">
        <v>1927</v>
      </c>
      <c r="AO372" s="5" t="s">
        <v>115</v>
      </c>
      <c r="AP372" s="5" t="s">
        <v>114</v>
      </c>
      <c r="AQ372" s="5" t="s">
        <v>99</v>
      </c>
      <c r="AR372" s="5" t="s">
        <v>98</v>
      </c>
    </row>
    <row r="373" spans="1:44" ht="31.5" x14ac:dyDescent="0.25">
      <c r="A373" s="10">
        <v>46096</v>
      </c>
      <c r="B373" s="5" t="s">
        <v>395</v>
      </c>
      <c r="C373" s="5" t="s">
        <v>2432</v>
      </c>
      <c r="D373" s="5" t="s">
        <v>11</v>
      </c>
      <c r="E373" s="5" t="s">
        <v>0</v>
      </c>
      <c r="F373" s="5" t="s">
        <v>0</v>
      </c>
      <c r="G373" s="5" t="s">
        <v>4400</v>
      </c>
      <c r="H373" s="5" t="s">
        <v>4401</v>
      </c>
      <c r="I373" s="6" t="str">
        <f>HYPERLINK("http://maps.yandex.ru/?ll=36.663937,55.2399&amp;spn=0.011598,0.004531&amp;z=17&amp;l=map&amp;pt=36.663937,55.2399", "55.23993//36.663937")</f>
        <v>55.23993//36.663937</v>
      </c>
      <c r="J373" s="5" t="s">
        <v>202</v>
      </c>
      <c r="K373" s="6" t="str">
        <f>HYPERLINK("http://maps.yandex.ru/?ll=37.57318,55.48715&amp;spn=0.011598,0.004531&amp;z=17&amp;l=map&amp;pt=37.57318,55.48715", "55.487152//37.57318")</f>
        <v>55.487152//37.57318</v>
      </c>
      <c r="L373" s="5" t="s">
        <v>23</v>
      </c>
      <c r="M373" s="5" t="s">
        <v>1452</v>
      </c>
      <c r="N373" s="5" t="s">
        <v>4402</v>
      </c>
      <c r="O373" s="5" t="s">
        <v>696</v>
      </c>
      <c r="P373" s="5">
        <v>15</v>
      </c>
      <c r="Q373" s="5">
        <v>66</v>
      </c>
      <c r="R373" s="5">
        <v>19</v>
      </c>
      <c r="S373" s="5">
        <v>195.559</v>
      </c>
      <c r="T373" s="5" t="s">
        <v>12</v>
      </c>
      <c r="U373" s="5" t="s">
        <v>12</v>
      </c>
      <c r="V373" s="5" t="s">
        <v>12</v>
      </c>
      <c r="W373" s="5">
        <v>8.15</v>
      </c>
      <c r="X373" s="5">
        <v>55.04</v>
      </c>
      <c r="Y373" s="5">
        <v>160</v>
      </c>
      <c r="Z373" s="5" t="s">
        <v>1945</v>
      </c>
      <c r="AA373" s="5" t="s">
        <v>1727</v>
      </c>
      <c r="AB373" s="5" t="s">
        <v>19</v>
      </c>
      <c r="AC373" s="5" t="s">
        <v>19</v>
      </c>
      <c r="AD373" s="5" t="s">
        <v>19</v>
      </c>
      <c r="AE373" s="5" t="s">
        <v>2331</v>
      </c>
      <c r="AF373" s="5" t="s">
        <v>12</v>
      </c>
      <c r="AG373" s="5"/>
      <c r="AH373" s="5"/>
      <c r="AI373" s="5"/>
      <c r="AJ373" s="5"/>
      <c r="AK373" s="5"/>
      <c r="AL373" s="5" t="s">
        <v>2433</v>
      </c>
      <c r="AM373" s="5" t="s">
        <v>4403</v>
      </c>
      <c r="AN373" s="5" t="s">
        <v>1695</v>
      </c>
      <c r="AO373" s="5" t="s">
        <v>115</v>
      </c>
      <c r="AP373" s="5" t="s">
        <v>114</v>
      </c>
      <c r="AQ373" s="5" t="s">
        <v>99</v>
      </c>
      <c r="AR373" s="5" t="s">
        <v>98</v>
      </c>
    </row>
    <row r="374" spans="1:44" ht="31.5" x14ac:dyDescent="0.25">
      <c r="A374" s="10">
        <v>46096</v>
      </c>
      <c r="B374" s="5" t="s">
        <v>393</v>
      </c>
      <c r="C374" s="5" t="s">
        <v>2434</v>
      </c>
      <c r="D374" s="5" t="s">
        <v>11</v>
      </c>
      <c r="E374" s="5" t="s">
        <v>6</v>
      </c>
      <c r="F374" s="5" t="s">
        <v>6</v>
      </c>
      <c r="G374" s="5" t="s">
        <v>4404</v>
      </c>
      <c r="H374" s="5" t="s">
        <v>4405</v>
      </c>
      <c r="I374" s="6" t="str">
        <f>HYPERLINK("http://maps.yandex.ru/?ll=47.288937,56.1188&amp;spn=0.011598,0.004531&amp;z=17&amp;l=map&amp;pt=47.288937,56.1188", "56.11886//47.288937")</f>
        <v>56.11886//47.288937</v>
      </c>
      <c r="J374" s="5" t="s">
        <v>46</v>
      </c>
      <c r="K374" s="6" t="str">
        <f>HYPERLINK("http://maps.yandex.ru/?ll=46.012043,51.70501&amp;spn=0.011598,0.004531&amp;z=17&amp;l=map&amp;pt=46.012043,51.70501", "51.705017//46.012043")</f>
        <v>51.705017//46.012043</v>
      </c>
      <c r="L374" s="5" t="s">
        <v>213</v>
      </c>
      <c r="M374" s="5" t="s">
        <v>4406</v>
      </c>
      <c r="N374" s="5" t="s">
        <v>1314</v>
      </c>
      <c r="O374" s="5" t="s">
        <v>363</v>
      </c>
      <c r="P374" s="5">
        <v>48</v>
      </c>
      <c r="Q374" s="5">
        <v>37</v>
      </c>
      <c r="R374" s="5">
        <v>15</v>
      </c>
      <c r="S374" s="5">
        <v>973.04</v>
      </c>
      <c r="T374" s="5" t="s">
        <v>12</v>
      </c>
      <c r="U374" s="5" t="s">
        <v>12</v>
      </c>
      <c r="V374" s="5" t="s">
        <v>12</v>
      </c>
      <c r="W374" s="5">
        <v>40.54</v>
      </c>
      <c r="X374" s="5">
        <v>84.54</v>
      </c>
      <c r="Y374" s="5">
        <v>156</v>
      </c>
      <c r="Z374" s="5" t="s">
        <v>1938</v>
      </c>
      <c r="AA374" s="5" t="s">
        <v>1549</v>
      </c>
      <c r="AB374" s="5" t="s">
        <v>19</v>
      </c>
      <c r="AC374" s="5" t="s">
        <v>19</v>
      </c>
      <c r="AD374" s="5" t="s">
        <v>19</v>
      </c>
      <c r="AE374" s="5" t="s">
        <v>2187</v>
      </c>
      <c r="AF374" s="5" t="s">
        <v>12</v>
      </c>
      <c r="AG374" s="5"/>
      <c r="AH374" s="5"/>
      <c r="AI374" s="5"/>
      <c r="AJ374" s="5"/>
      <c r="AK374" s="5"/>
      <c r="AL374" s="5" t="s">
        <v>4407</v>
      </c>
      <c r="AM374" s="5" t="s">
        <v>4408</v>
      </c>
      <c r="AN374" s="5" t="s">
        <v>1698</v>
      </c>
      <c r="AO374" s="5" t="s">
        <v>115</v>
      </c>
      <c r="AP374" s="5" t="s">
        <v>114</v>
      </c>
      <c r="AQ374" s="5" t="s">
        <v>99</v>
      </c>
      <c r="AR374" s="5" t="s">
        <v>98</v>
      </c>
    </row>
    <row r="375" spans="1:44" ht="31.5" x14ac:dyDescent="0.25">
      <c r="A375" s="10">
        <v>46096</v>
      </c>
      <c r="B375" s="5" t="s">
        <v>391</v>
      </c>
      <c r="C375" s="5" t="s">
        <v>2435</v>
      </c>
      <c r="D375" s="5" t="s">
        <v>11</v>
      </c>
      <c r="E375" s="5" t="s">
        <v>7</v>
      </c>
      <c r="F375" s="5" t="s">
        <v>7</v>
      </c>
      <c r="G375" s="5" t="s">
        <v>4409</v>
      </c>
      <c r="H375" s="5" t="s">
        <v>4410</v>
      </c>
      <c r="I375" s="6" t="str">
        <f>HYPERLINK("http://maps.yandex.ru/?ll=37.42942,56.0120&amp;spn=0.011598,0.004531&amp;z=17&amp;l=map&amp;pt=37.42942,56.0120", "56.01202//37.42942")</f>
        <v>56.01202//37.42942</v>
      </c>
      <c r="J375" s="5" t="s">
        <v>56</v>
      </c>
      <c r="K375" s="6" t="str">
        <f>HYPERLINK("http://maps.yandex.ru/?ll=34.266846,53.2019&amp;spn=0.011598,0.004531&amp;z=17&amp;l=map&amp;pt=34.266846,53.2019", "53.20193//34.266846")</f>
        <v>53.20193//34.266846</v>
      </c>
      <c r="L375" s="5" t="s">
        <v>3143</v>
      </c>
      <c r="M375" s="5" t="s">
        <v>3434</v>
      </c>
      <c r="N375" s="5" t="s">
        <v>323</v>
      </c>
      <c r="O375" s="5" t="s">
        <v>355</v>
      </c>
      <c r="P375" s="5">
        <v>24</v>
      </c>
      <c r="Q375" s="5">
        <v>58</v>
      </c>
      <c r="R375" s="5">
        <v>18</v>
      </c>
      <c r="S375" s="5">
        <v>359.16</v>
      </c>
      <c r="T375" s="5" t="s">
        <v>12</v>
      </c>
      <c r="U375" s="5" t="s">
        <v>12</v>
      </c>
      <c r="V375" s="5" t="s">
        <v>12</v>
      </c>
      <c r="W375" s="5">
        <v>14.97</v>
      </c>
      <c r="X375" s="5">
        <v>62.18</v>
      </c>
      <c r="Y375" s="5">
        <v>116</v>
      </c>
      <c r="Z375" s="5" t="s">
        <v>1936</v>
      </c>
      <c r="AA375" s="5" t="s">
        <v>2075</v>
      </c>
      <c r="AB375" s="5" t="s">
        <v>1577</v>
      </c>
      <c r="AC375" s="5" t="s">
        <v>1673</v>
      </c>
      <c r="AD375" s="5" t="s">
        <v>19</v>
      </c>
      <c r="AE375" s="5" t="s">
        <v>1886</v>
      </c>
      <c r="AF375" s="5" t="s">
        <v>12</v>
      </c>
      <c r="AG375" s="5"/>
      <c r="AH375" s="5"/>
      <c r="AI375" s="5"/>
      <c r="AJ375" s="5"/>
      <c r="AK375" s="5"/>
      <c r="AL375" s="5" t="s">
        <v>2437</v>
      </c>
      <c r="AM375" s="5" t="s">
        <v>4411</v>
      </c>
      <c r="AN375" s="5" t="s">
        <v>1746</v>
      </c>
      <c r="AO375" s="5" t="s">
        <v>115</v>
      </c>
      <c r="AP375" s="5" t="s">
        <v>114</v>
      </c>
      <c r="AQ375" s="5" t="s">
        <v>99</v>
      </c>
      <c r="AR375" s="5" t="s">
        <v>98</v>
      </c>
    </row>
    <row r="376" spans="1:44" ht="31.5" x14ac:dyDescent="0.25">
      <c r="A376" s="10">
        <v>46096</v>
      </c>
      <c r="B376" s="5" t="s">
        <v>389</v>
      </c>
      <c r="C376" s="5" t="s">
        <v>2438</v>
      </c>
      <c r="D376" s="5" t="s">
        <v>11</v>
      </c>
      <c r="E376" s="5" t="s">
        <v>8</v>
      </c>
      <c r="F376" s="5" t="s">
        <v>8</v>
      </c>
      <c r="G376" s="5" t="s">
        <v>4412</v>
      </c>
      <c r="H376" s="5" t="s">
        <v>4413</v>
      </c>
      <c r="I376" s="6" t="str">
        <f>HYPERLINK("http://maps.yandex.ru/?ll=49.420074,53.32845&amp;spn=0.011598,0.004531&amp;z=17&amp;l=map&amp;pt=49.420074,53.32845", "53.328457//49.420074")</f>
        <v>53.328457//49.420074</v>
      </c>
      <c r="J376" s="5" t="s">
        <v>76</v>
      </c>
      <c r="K376" s="6" t="str">
        <f>HYPERLINK("http://maps.yandex.ru/?ll=39.55698,51.6835&amp;spn=0.011598,0.004531&amp;z=17&amp;l=map&amp;pt=39.55698,51.6835", "51.68351//39.55698")</f>
        <v>51.68351//39.55698</v>
      </c>
      <c r="L376" s="5" t="s">
        <v>101</v>
      </c>
      <c r="M376" s="5" t="s">
        <v>4414</v>
      </c>
      <c r="N376" s="5" t="s">
        <v>1417</v>
      </c>
      <c r="O376" s="5" t="s">
        <v>4415</v>
      </c>
      <c r="P376" s="5">
        <v>45</v>
      </c>
      <c r="Q376" s="5">
        <v>31</v>
      </c>
      <c r="R376" s="5">
        <v>24</v>
      </c>
      <c r="S376" s="5">
        <v>711.00599999999997</v>
      </c>
      <c r="T376" s="5" t="s">
        <v>4416</v>
      </c>
      <c r="U376" s="5" t="s">
        <v>4417</v>
      </c>
      <c r="V376" s="5" t="s">
        <v>4418</v>
      </c>
      <c r="W376" s="5">
        <v>29.63</v>
      </c>
      <c r="X376" s="5">
        <v>66.27</v>
      </c>
      <c r="Y376" s="5">
        <v>94</v>
      </c>
      <c r="Z376" s="5" t="s">
        <v>2439</v>
      </c>
      <c r="AA376" s="5" t="s">
        <v>3494</v>
      </c>
      <c r="AB376" s="5" t="s">
        <v>1707</v>
      </c>
      <c r="AC376" s="5" t="s">
        <v>1673</v>
      </c>
      <c r="AD376" s="5" t="s">
        <v>19</v>
      </c>
      <c r="AE376" s="5" t="s">
        <v>4419</v>
      </c>
      <c r="AF376" s="5" t="s">
        <v>4420</v>
      </c>
      <c r="AG376" s="5">
        <v>320</v>
      </c>
      <c r="AH376" s="5">
        <v>4</v>
      </c>
      <c r="AI376" s="5">
        <v>316</v>
      </c>
      <c r="AJ376" s="5">
        <v>35.090000000000003</v>
      </c>
      <c r="AK376" s="5">
        <v>34.65</v>
      </c>
      <c r="AL376" s="5" t="s">
        <v>12</v>
      </c>
      <c r="AM376" s="5" t="s">
        <v>12</v>
      </c>
      <c r="AN376" s="5" t="s">
        <v>12</v>
      </c>
      <c r="AO376" s="5" t="s">
        <v>11</v>
      </c>
      <c r="AP376" s="5" t="s">
        <v>11</v>
      </c>
      <c r="AQ376" s="5" t="s">
        <v>18</v>
      </c>
      <c r="AR376" s="5" t="s">
        <v>17</v>
      </c>
    </row>
    <row r="377" spans="1:44" ht="15.75" x14ac:dyDescent="0.25">
      <c r="A377" s="10">
        <v>46096</v>
      </c>
      <c r="B377" s="5" t="s">
        <v>387</v>
      </c>
      <c r="C377" s="5" t="s">
        <v>2441</v>
      </c>
      <c r="D377" s="5" t="s">
        <v>11</v>
      </c>
      <c r="E377" s="5" t="s">
        <v>3</v>
      </c>
      <c r="F377" s="5" t="s">
        <v>3</v>
      </c>
      <c r="G377" s="5" t="s">
        <v>11</v>
      </c>
      <c r="H377" s="5" t="s">
        <v>11</v>
      </c>
      <c r="I377" s="6" t="str">
        <f>HYPERLINK("http://maps.yandex.ru/?ll=,&amp;spn=0.011598,0.004531&amp;z=17&amp;l=map&amp;pt=,", "")</f>
        <v/>
      </c>
      <c r="J377" s="5" t="s">
        <v>84</v>
      </c>
      <c r="K377" s="6" t="str">
        <f>HYPERLINK("http://maps.yandex.ru/?ll=,&amp;spn=0.011598,0.004531&amp;z=17&amp;l=map&amp;pt=,", "")</f>
        <v/>
      </c>
      <c r="L377" s="5" t="s">
        <v>84</v>
      </c>
      <c r="M377" s="5" t="s">
        <v>13</v>
      </c>
      <c r="N377" s="5" t="s">
        <v>13</v>
      </c>
      <c r="O377" s="5" t="s">
        <v>58</v>
      </c>
      <c r="P377" s="5">
        <v>0</v>
      </c>
      <c r="Q377" s="5">
        <v>0</v>
      </c>
      <c r="R377" s="5">
        <v>100</v>
      </c>
      <c r="S377" s="5">
        <v>0</v>
      </c>
      <c r="T377" s="5" t="s">
        <v>12</v>
      </c>
      <c r="U377" s="5" t="s">
        <v>12</v>
      </c>
      <c r="V377" s="5" t="s">
        <v>12</v>
      </c>
      <c r="W377" s="5">
        <v>0</v>
      </c>
      <c r="X377" s="5">
        <v>0</v>
      </c>
      <c r="Y377" s="5">
        <v>0</v>
      </c>
      <c r="Z377" s="5" t="s">
        <v>12</v>
      </c>
      <c r="AA377" s="5" t="s">
        <v>12</v>
      </c>
      <c r="AB377" s="5" t="s">
        <v>19</v>
      </c>
      <c r="AC377" s="5" t="s">
        <v>19</v>
      </c>
      <c r="AD377" s="5" t="s">
        <v>19</v>
      </c>
      <c r="AE377" s="5" t="s">
        <v>12</v>
      </c>
      <c r="AF377" s="5" t="s">
        <v>12</v>
      </c>
      <c r="AG377" s="5"/>
      <c r="AH377" s="5">
        <v>0</v>
      </c>
      <c r="AI377" s="5"/>
      <c r="AJ377" s="5"/>
      <c r="AK377" s="5"/>
      <c r="AL377" s="5" t="s">
        <v>12</v>
      </c>
      <c r="AM377" s="5" t="s">
        <v>12</v>
      </c>
      <c r="AN377" s="5" t="s">
        <v>12</v>
      </c>
      <c r="AO377" s="5" t="s">
        <v>11</v>
      </c>
      <c r="AP377" s="5" t="s">
        <v>11</v>
      </c>
      <c r="AQ377" s="5" t="s">
        <v>384</v>
      </c>
      <c r="AR377" s="5" t="s">
        <v>383</v>
      </c>
    </row>
    <row r="378" spans="1:44" ht="31.5" x14ac:dyDescent="0.25">
      <c r="A378" s="10">
        <v>46096</v>
      </c>
      <c r="B378" s="5" t="s">
        <v>386</v>
      </c>
      <c r="C378" s="5" t="s">
        <v>2442</v>
      </c>
      <c r="D378" s="5" t="s">
        <v>11</v>
      </c>
      <c r="E378" s="5" t="s">
        <v>3</v>
      </c>
      <c r="F378" s="5" t="s">
        <v>3</v>
      </c>
      <c r="G378" s="5" t="s">
        <v>4421</v>
      </c>
      <c r="H378" s="5" t="s">
        <v>3121</v>
      </c>
      <c r="I378" s="6" t="str">
        <f>HYPERLINK("http://maps.yandex.ru/?ll=38.148907,55.81646&amp;spn=0.011598,0.004531&amp;z=17&amp;l=map&amp;pt=38.148907,55.81646", "55.816463//38.148907")</f>
        <v>55.816463//38.148907</v>
      </c>
      <c r="J378" s="5" t="s">
        <v>56</v>
      </c>
      <c r="K378" s="6" t="str">
        <f>HYPERLINK("http://maps.yandex.ru/?ll=44.114216,56.06971&amp;spn=0.011598,0.004531&amp;z=17&amp;l=map&amp;pt=44.114216,56.06971", "56.069714//44.114216")</f>
        <v>56.069714//44.114216</v>
      </c>
      <c r="L378" s="5" t="s">
        <v>15</v>
      </c>
      <c r="M378" s="5" t="s">
        <v>633</v>
      </c>
      <c r="N378" s="5" t="s">
        <v>4422</v>
      </c>
      <c r="O378" s="5" t="s">
        <v>13</v>
      </c>
      <c r="P378" s="5">
        <v>25</v>
      </c>
      <c r="Q378" s="5">
        <v>75</v>
      </c>
      <c r="R378" s="5">
        <v>0</v>
      </c>
      <c r="S378" s="5">
        <v>409.59100000000001</v>
      </c>
      <c r="T378" s="5" t="s">
        <v>3985</v>
      </c>
      <c r="U378" s="5" t="s">
        <v>4423</v>
      </c>
      <c r="V378" s="5" t="s">
        <v>4424</v>
      </c>
      <c r="W378" s="5">
        <v>17.07</v>
      </c>
      <c r="X378" s="5">
        <v>67.08</v>
      </c>
      <c r="Y378" s="5">
        <v>98</v>
      </c>
      <c r="Z378" s="5" t="s">
        <v>2443</v>
      </c>
      <c r="AA378" s="5" t="s">
        <v>1680</v>
      </c>
      <c r="AB378" s="5" t="s">
        <v>2348</v>
      </c>
      <c r="AC378" s="5" t="s">
        <v>1671</v>
      </c>
      <c r="AD378" s="5" t="s">
        <v>4425</v>
      </c>
      <c r="AE378" s="5" t="s">
        <v>1955</v>
      </c>
      <c r="AF378" s="5" t="s">
        <v>4426</v>
      </c>
      <c r="AG378" s="5">
        <v>103</v>
      </c>
      <c r="AH378" s="5">
        <v>2</v>
      </c>
      <c r="AI378" s="5">
        <v>101</v>
      </c>
      <c r="AJ378" s="5">
        <v>24.41</v>
      </c>
      <c r="AK378" s="5">
        <v>23.93</v>
      </c>
      <c r="AL378" s="5" t="s">
        <v>12</v>
      </c>
      <c r="AM378" s="5" t="s">
        <v>12</v>
      </c>
      <c r="AN378" s="5" t="s">
        <v>12</v>
      </c>
      <c r="AO378" s="5" t="s">
        <v>11</v>
      </c>
      <c r="AP378" s="5" t="s">
        <v>11</v>
      </c>
      <c r="AQ378" s="5" t="s">
        <v>384</v>
      </c>
      <c r="AR378" s="5" t="s">
        <v>383</v>
      </c>
    </row>
    <row r="379" spans="1:44" ht="15.75" x14ac:dyDescent="0.25">
      <c r="A379" s="10">
        <v>46096</v>
      </c>
      <c r="B379" s="5" t="s">
        <v>385</v>
      </c>
      <c r="C379" s="5" t="s">
        <v>2445</v>
      </c>
      <c r="D379" s="5" t="s">
        <v>11</v>
      </c>
      <c r="E379" s="5" t="s">
        <v>3</v>
      </c>
      <c r="F379" s="5" t="s">
        <v>3</v>
      </c>
      <c r="G379" s="5" t="s">
        <v>11</v>
      </c>
      <c r="H379" s="5" t="s">
        <v>11</v>
      </c>
      <c r="I379" s="6" t="str">
        <f>HYPERLINK("http://maps.yandex.ru/?ll=,&amp;spn=0.011598,0.004531&amp;z=17&amp;l=map&amp;pt=,", "")</f>
        <v/>
      </c>
      <c r="J379" s="5" t="s">
        <v>84</v>
      </c>
      <c r="K379" s="6" t="str">
        <f>HYPERLINK("http://maps.yandex.ru/?ll=,&amp;spn=0.011598,0.004531&amp;z=17&amp;l=map&amp;pt=,", "")</f>
        <v/>
      </c>
      <c r="L379" s="5" t="s">
        <v>84</v>
      </c>
      <c r="M379" s="5" t="s">
        <v>13</v>
      </c>
      <c r="N379" s="5" t="s">
        <v>13</v>
      </c>
      <c r="O379" s="5" t="s">
        <v>58</v>
      </c>
      <c r="P379" s="5">
        <v>0</v>
      </c>
      <c r="Q379" s="5">
        <v>0</v>
      </c>
      <c r="R379" s="5">
        <v>100</v>
      </c>
      <c r="S379" s="5">
        <v>0</v>
      </c>
      <c r="T379" s="5" t="s">
        <v>12</v>
      </c>
      <c r="U379" s="5" t="s">
        <v>12</v>
      </c>
      <c r="V379" s="5" t="s">
        <v>12</v>
      </c>
      <c r="W379" s="5">
        <v>0</v>
      </c>
      <c r="X379" s="5">
        <v>0</v>
      </c>
      <c r="Y379" s="5">
        <v>0</v>
      </c>
      <c r="Z379" s="5" t="s">
        <v>12</v>
      </c>
      <c r="AA379" s="5" t="s">
        <v>12</v>
      </c>
      <c r="AB379" s="5" t="s">
        <v>19</v>
      </c>
      <c r="AC379" s="5" t="s">
        <v>19</v>
      </c>
      <c r="AD379" s="5" t="s">
        <v>19</v>
      </c>
      <c r="AE379" s="5" t="s">
        <v>12</v>
      </c>
      <c r="AF379" s="5" t="s">
        <v>12</v>
      </c>
      <c r="AG379" s="5"/>
      <c r="AH379" s="5">
        <v>0</v>
      </c>
      <c r="AI379" s="5"/>
      <c r="AJ379" s="5"/>
      <c r="AK379" s="5"/>
      <c r="AL379" s="5" t="s">
        <v>12</v>
      </c>
      <c r="AM379" s="5" t="s">
        <v>12</v>
      </c>
      <c r="AN379" s="5" t="s">
        <v>12</v>
      </c>
      <c r="AO379" s="5" t="s">
        <v>11</v>
      </c>
      <c r="AP379" s="5" t="s">
        <v>11</v>
      </c>
      <c r="AQ379" s="5" t="s">
        <v>384</v>
      </c>
      <c r="AR379" s="5" t="s">
        <v>383</v>
      </c>
    </row>
    <row r="380" spans="1:44" ht="31.5" x14ac:dyDescent="0.25">
      <c r="A380" s="10">
        <v>46096</v>
      </c>
      <c r="B380" s="5" t="s">
        <v>382</v>
      </c>
      <c r="C380" s="5" t="s">
        <v>2446</v>
      </c>
      <c r="D380" s="5" t="s">
        <v>11</v>
      </c>
      <c r="E380" s="5" t="s">
        <v>40</v>
      </c>
      <c r="F380" s="5" t="s">
        <v>11</v>
      </c>
      <c r="G380" s="5" t="s">
        <v>3103</v>
      </c>
      <c r="H380" s="5" t="s">
        <v>4427</v>
      </c>
      <c r="I380" s="6" t="str">
        <f>HYPERLINK("http://maps.yandex.ru/?ll=37.917023,55.3562&amp;spn=0.011598,0.004531&amp;z=17&amp;l=map&amp;pt=37.917023,55.3562", "55.35628//37.917023")</f>
        <v>55.35628//37.917023</v>
      </c>
      <c r="J380" s="5" t="s">
        <v>56</v>
      </c>
      <c r="K380" s="6" t="str">
        <f>HYPERLINK("http://maps.yandex.ru/?ll=37.565723,55.36431&amp;spn=0.011598,0.004531&amp;z=17&amp;l=map&amp;pt=37.565723,55.36431", "55.364315//37.565723")</f>
        <v>55.364315//37.565723</v>
      </c>
      <c r="L380" s="5" t="s">
        <v>56</v>
      </c>
      <c r="M380" s="5" t="s">
        <v>768</v>
      </c>
      <c r="N380" s="5" t="s">
        <v>4428</v>
      </c>
      <c r="O380" s="5" t="s">
        <v>449</v>
      </c>
      <c r="P380" s="5">
        <v>5</v>
      </c>
      <c r="Q380" s="5">
        <v>94</v>
      </c>
      <c r="R380" s="5">
        <v>2</v>
      </c>
      <c r="S380" s="5">
        <v>32.505000000000003</v>
      </c>
      <c r="T380" s="5" t="s">
        <v>2802</v>
      </c>
      <c r="U380" s="5" t="s">
        <v>2447</v>
      </c>
      <c r="V380" s="5" t="s">
        <v>4429</v>
      </c>
      <c r="W380" s="5">
        <v>1.35</v>
      </c>
      <c r="X380" s="5">
        <v>28.55</v>
      </c>
      <c r="Y380" s="5">
        <v>68</v>
      </c>
      <c r="Z380" s="5" t="s">
        <v>4430</v>
      </c>
      <c r="AA380" s="5" t="s">
        <v>1373</v>
      </c>
      <c r="AB380" s="5" t="s">
        <v>19</v>
      </c>
      <c r="AC380" s="5" t="s">
        <v>19</v>
      </c>
      <c r="AD380" s="5" t="s">
        <v>19</v>
      </c>
      <c r="AE380" s="5" t="s">
        <v>2226</v>
      </c>
      <c r="AF380" s="5" t="s">
        <v>4431</v>
      </c>
      <c r="AG380" s="5">
        <v>16</v>
      </c>
      <c r="AH380" s="5">
        <v>5</v>
      </c>
      <c r="AI380" s="5">
        <v>11</v>
      </c>
      <c r="AJ380" s="5">
        <v>50</v>
      </c>
      <c r="AK380" s="5">
        <v>34.380000000000003</v>
      </c>
      <c r="AL380" s="5" t="s">
        <v>12</v>
      </c>
      <c r="AM380" s="5" t="s">
        <v>12</v>
      </c>
      <c r="AN380" s="5" t="s">
        <v>12</v>
      </c>
      <c r="AO380" s="5" t="s">
        <v>11</v>
      </c>
      <c r="AP380" s="5" t="s">
        <v>11</v>
      </c>
      <c r="AQ380" s="5" t="s">
        <v>123</v>
      </c>
      <c r="AR380" s="5" t="s">
        <v>122</v>
      </c>
    </row>
    <row r="381" spans="1:44" ht="15.75" x14ac:dyDescent="0.25">
      <c r="A381" s="10">
        <v>46096</v>
      </c>
      <c r="B381" s="5" t="s">
        <v>380</v>
      </c>
      <c r="C381" s="5" t="s">
        <v>2449</v>
      </c>
      <c r="D381" s="5" t="s">
        <v>11</v>
      </c>
      <c r="E381" s="5" t="s">
        <v>8</v>
      </c>
      <c r="F381" s="5" t="s">
        <v>8</v>
      </c>
      <c r="G381" s="5" t="s">
        <v>4432</v>
      </c>
      <c r="H381" s="5" t="s">
        <v>4433</v>
      </c>
      <c r="I381" s="6" t="str">
        <f>HYPERLINK("http://maps.yandex.ru/?ll=42.07365,44.2406&amp;spn=0.011598,0.004531&amp;z=17&amp;l=map&amp;pt=42.07365,44.2406", "44.24064//42.07365")</f>
        <v>44.24064//42.07365</v>
      </c>
      <c r="J381" s="5" t="s">
        <v>23</v>
      </c>
      <c r="K381" s="6" t="str">
        <f>HYPERLINK("http://maps.yandex.ru/?ll=42.07077,44.2398&amp;spn=0.011598,0.004531&amp;z=17&amp;l=map&amp;pt=42.07077,44.2398", "44.23987//42.07077")</f>
        <v>44.23987//42.07077</v>
      </c>
      <c r="L381" s="5" t="s">
        <v>23</v>
      </c>
      <c r="M381" s="5" t="s">
        <v>63</v>
      </c>
      <c r="N381" s="5" t="s">
        <v>4434</v>
      </c>
      <c r="O381" s="5" t="s">
        <v>13</v>
      </c>
      <c r="P381" s="5">
        <v>0</v>
      </c>
      <c r="Q381" s="5">
        <v>100</v>
      </c>
      <c r="R381" s="5">
        <v>0</v>
      </c>
      <c r="S381" s="5">
        <v>0.623</v>
      </c>
      <c r="T381" s="5" t="s">
        <v>1671</v>
      </c>
      <c r="U381" s="5" t="s">
        <v>4435</v>
      </c>
      <c r="V381" s="5" t="s">
        <v>4436</v>
      </c>
      <c r="W381" s="5">
        <v>0.03</v>
      </c>
      <c r="X381" s="5">
        <v>5.22</v>
      </c>
      <c r="Y381" s="5">
        <v>14</v>
      </c>
      <c r="Z381" s="5" t="s">
        <v>2451</v>
      </c>
      <c r="AA381" s="5" t="s">
        <v>4437</v>
      </c>
      <c r="AB381" s="5" t="s">
        <v>19</v>
      </c>
      <c r="AC381" s="5" t="s">
        <v>19</v>
      </c>
      <c r="AD381" s="5" t="s">
        <v>19</v>
      </c>
      <c r="AE381" s="5" t="s">
        <v>2365</v>
      </c>
      <c r="AF381" s="5" t="s">
        <v>4438</v>
      </c>
      <c r="AG381" s="5">
        <v>13</v>
      </c>
      <c r="AH381" s="5">
        <v>11</v>
      </c>
      <c r="AI381" s="5">
        <v>2</v>
      </c>
      <c r="AJ381" s="5">
        <v>650</v>
      </c>
      <c r="AK381" s="5">
        <v>100</v>
      </c>
      <c r="AL381" s="5" t="s">
        <v>12</v>
      </c>
      <c r="AM381" s="5" t="s">
        <v>12</v>
      </c>
      <c r="AN381" s="5" t="s">
        <v>12</v>
      </c>
      <c r="AO381" s="5" t="s">
        <v>11</v>
      </c>
      <c r="AP381" s="5" t="s">
        <v>11</v>
      </c>
      <c r="AQ381" s="5" t="s">
        <v>123</v>
      </c>
      <c r="AR381" s="5" t="s">
        <v>122</v>
      </c>
    </row>
    <row r="382" spans="1:44" ht="31.5" x14ac:dyDescent="0.25">
      <c r="A382" s="10">
        <v>46096</v>
      </c>
      <c r="B382" s="5" t="s">
        <v>377</v>
      </c>
      <c r="C382" s="5" t="s">
        <v>2452</v>
      </c>
      <c r="D382" s="5" t="s">
        <v>11</v>
      </c>
      <c r="E382" s="5" t="s">
        <v>7</v>
      </c>
      <c r="F382" s="5" t="s">
        <v>7</v>
      </c>
      <c r="G382" s="5" t="s">
        <v>4439</v>
      </c>
      <c r="H382" s="5" t="s">
        <v>4440</v>
      </c>
      <c r="I382" s="6" t="str">
        <f>HYPERLINK("http://maps.yandex.ru/?ll=67.369446,55.29905&amp;spn=0.011598,0.004531&amp;z=17&amp;l=map&amp;pt=67.369446,55.29905", "55.299057//67.369446")</f>
        <v>55.299057//67.369446</v>
      </c>
      <c r="J382" s="5" t="s">
        <v>361</v>
      </c>
      <c r="K382" s="6" t="str">
        <f>HYPERLINK("http://maps.yandex.ru/?ll=73.47165,54.99497&amp;spn=0.011598,0.004531&amp;z=17&amp;l=map&amp;pt=73.47165,54.99497", "54.994976//73.47165")</f>
        <v>54.994976//73.47165</v>
      </c>
      <c r="L382" s="5" t="s">
        <v>190</v>
      </c>
      <c r="M382" s="5" t="s">
        <v>1380</v>
      </c>
      <c r="N382" s="5" t="s">
        <v>4441</v>
      </c>
      <c r="O382" s="5" t="s">
        <v>13</v>
      </c>
      <c r="P382" s="5">
        <v>31</v>
      </c>
      <c r="Q382" s="5">
        <v>69</v>
      </c>
      <c r="R382" s="5">
        <v>0</v>
      </c>
      <c r="S382" s="5">
        <v>525.46600000000001</v>
      </c>
      <c r="T382" s="5" t="s">
        <v>12</v>
      </c>
      <c r="U382" s="5" t="s">
        <v>12</v>
      </c>
      <c r="V382" s="5" t="s">
        <v>12</v>
      </c>
      <c r="W382" s="5">
        <v>21.89</v>
      </c>
      <c r="X382" s="5">
        <v>70.37</v>
      </c>
      <c r="Y382" s="5">
        <v>92</v>
      </c>
      <c r="Z382" s="5" t="s">
        <v>1612</v>
      </c>
      <c r="AA382" s="5" t="s">
        <v>1755</v>
      </c>
      <c r="AB382" s="5" t="s">
        <v>19</v>
      </c>
      <c r="AC382" s="5" t="s">
        <v>19</v>
      </c>
      <c r="AD382" s="5" t="s">
        <v>19</v>
      </c>
      <c r="AE382" s="5" t="s">
        <v>2016</v>
      </c>
      <c r="AF382" s="5" t="s">
        <v>12</v>
      </c>
      <c r="AG382" s="5"/>
      <c r="AH382" s="5"/>
      <c r="AI382" s="5"/>
      <c r="AJ382" s="5"/>
      <c r="AK382" s="5"/>
      <c r="AL382" s="5" t="s">
        <v>1556</v>
      </c>
      <c r="AM382" s="5" t="s">
        <v>4442</v>
      </c>
      <c r="AN382" s="5" t="s">
        <v>1756</v>
      </c>
      <c r="AO382" s="5" t="s">
        <v>115</v>
      </c>
      <c r="AP382" s="5" t="s">
        <v>114</v>
      </c>
      <c r="AQ382" s="5" t="s">
        <v>99</v>
      </c>
      <c r="AR382" s="5" t="s">
        <v>98</v>
      </c>
    </row>
    <row r="383" spans="1:44" ht="31.5" x14ac:dyDescent="0.25">
      <c r="A383" s="10">
        <v>46096</v>
      </c>
      <c r="B383" s="5" t="s">
        <v>375</v>
      </c>
      <c r="C383" s="5" t="s">
        <v>2453</v>
      </c>
      <c r="D383" s="5" t="s">
        <v>11</v>
      </c>
      <c r="E383" s="5" t="s">
        <v>5</v>
      </c>
      <c r="F383" s="5" t="s">
        <v>5</v>
      </c>
      <c r="G383" s="5" t="s">
        <v>3103</v>
      </c>
      <c r="H383" s="5" t="s">
        <v>3121</v>
      </c>
      <c r="I383" s="6" t="str">
        <f>HYPERLINK("http://maps.yandex.ru/?ll=37.555946,55.3167&amp;spn=0.011598,0.004531&amp;z=17&amp;l=map&amp;pt=37.555946,55.3167", "55.31679//37.555946")</f>
        <v>55.31679//37.555946</v>
      </c>
      <c r="J383" s="5" t="s">
        <v>56</v>
      </c>
      <c r="K383" s="6" t="str">
        <f>HYPERLINK("http://maps.yandex.ru/?ll=37.60599,54.99651&amp;spn=0.011598,0.004531&amp;z=17&amp;l=map&amp;pt=37.60599,54.99651", "54.996517//37.60599")</f>
        <v>54.996517//37.60599</v>
      </c>
      <c r="L383" s="5" t="s">
        <v>56</v>
      </c>
      <c r="M383" s="5" t="s">
        <v>440</v>
      </c>
      <c r="N383" s="5" t="s">
        <v>4443</v>
      </c>
      <c r="O383" s="5" t="s">
        <v>775</v>
      </c>
      <c r="P383" s="5">
        <v>26</v>
      </c>
      <c r="Q383" s="5">
        <v>72</v>
      </c>
      <c r="R383" s="5">
        <v>2</v>
      </c>
      <c r="S383" s="5">
        <v>122.244</v>
      </c>
      <c r="T383" s="5" t="s">
        <v>12</v>
      </c>
      <c r="U383" s="5" t="s">
        <v>12</v>
      </c>
      <c r="V383" s="5" t="s">
        <v>12</v>
      </c>
      <c r="W383" s="5">
        <v>5.09</v>
      </c>
      <c r="X383" s="5">
        <v>19.62</v>
      </c>
      <c r="Y383" s="5">
        <v>100</v>
      </c>
      <c r="Z383" s="5" t="s">
        <v>2086</v>
      </c>
      <c r="AA383" s="5" t="s">
        <v>2086</v>
      </c>
      <c r="AB383" s="5" t="s">
        <v>19</v>
      </c>
      <c r="AC383" s="5" t="s">
        <v>19</v>
      </c>
      <c r="AD383" s="5" t="s">
        <v>19</v>
      </c>
      <c r="AE383" s="5" t="s">
        <v>19</v>
      </c>
      <c r="AF383" s="5" t="s">
        <v>12</v>
      </c>
      <c r="AG383" s="5"/>
      <c r="AH383" s="5"/>
      <c r="AI383" s="5"/>
      <c r="AJ383" s="5"/>
      <c r="AK383" s="5"/>
      <c r="AL383" s="5" t="s">
        <v>12</v>
      </c>
      <c r="AM383" s="5" t="s">
        <v>12</v>
      </c>
      <c r="AN383" s="5" t="s">
        <v>12</v>
      </c>
      <c r="AO383" s="5" t="s">
        <v>115</v>
      </c>
      <c r="AP383" s="5" t="s">
        <v>114</v>
      </c>
      <c r="AQ383" s="5" t="s">
        <v>99</v>
      </c>
      <c r="AR383" s="5" t="s">
        <v>98</v>
      </c>
    </row>
    <row r="384" spans="1:44" ht="31.5" x14ac:dyDescent="0.25">
      <c r="A384" s="10">
        <v>46096</v>
      </c>
      <c r="B384" s="5" t="s">
        <v>374</v>
      </c>
      <c r="C384" s="5" t="s">
        <v>2454</v>
      </c>
      <c r="D384" s="5" t="s">
        <v>11</v>
      </c>
      <c r="E384" s="5" t="s">
        <v>1</v>
      </c>
      <c r="F384" s="5" t="s">
        <v>1</v>
      </c>
      <c r="G384" s="5" t="s">
        <v>4444</v>
      </c>
      <c r="H384" s="5" t="s">
        <v>4445</v>
      </c>
      <c r="I384" s="6" t="str">
        <f>HYPERLINK("http://maps.yandex.ru/?ll=44.03961,49.05911&amp;spn=0.011598,0.004531&amp;z=17&amp;l=map&amp;pt=44.03961,49.05911", "49.059116//44.03961")</f>
        <v>49.059116//44.03961</v>
      </c>
      <c r="J384" s="5" t="s">
        <v>95</v>
      </c>
      <c r="K384" s="6" t="str">
        <f>HYPERLINK("http://maps.yandex.ru/?ll=39.797543,47.11407&amp;spn=0.011598,0.004531&amp;z=17&amp;l=map&amp;pt=39.797543,47.11407", "47.114075//39.797543")</f>
        <v>47.114075//39.797543</v>
      </c>
      <c r="L384" s="5" t="s">
        <v>64</v>
      </c>
      <c r="M384" s="5" t="s">
        <v>1142</v>
      </c>
      <c r="N384" s="5" t="s">
        <v>1382</v>
      </c>
      <c r="O384" s="5" t="s">
        <v>1357</v>
      </c>
      <c r="P384" s="5">
        <v>28</v>
      </c>
      <c r="Q384" s="5">
        <v>58</v>
      </c>
      <c r="R384" s="5">
        <v>14</v>
      </c>
      <c r="S384" s="5">
        <v>406.14400000000001</v>
      </c>
      <c r="T384" s="5" t="s">
        <v>2394</v>
      </c>
      <c r="U384" s="5" t="s">
        <v>4446</v>
      </c>
      <c r="V384" s="5" t="s">
        <v>4447</v>
      </c>
      <c r="W384" s="5">
        <v>16.920000000000002</v>
      </c>
      <c r="X384" s="5">
        <v>60.5</v>
      </c>
      <c r="Y384" s="5">
        <v>114</v>
      </c>
      <c r="Z384" s="5" t="s">
        <v>1578</v>
      </c>
      <c r="AA384" s="5" t="s">
        <v>4448</v>
      </c>
      <c r="AB384" s="5" t="s">
        <v>4449</v>
      </c>
      <c r="AC384" s="5" t="s">
        <v>1673</v>
      </c>
      <c r="AD384" s="5" t="s">
        <v>19</v>
      </c>
      <c r="AE384" s="5" t="s">
        <v>1736</v>
      </c>
      <c r="AF384" s="5" t="s">
        <v>4450</v>
      </c>
      <c r="AG384" s="5">
        <v>175</v>
      </c>
      <c r="AH384" s="5">
        <v>3</v>
      </c>
      <c r="AI384" s="5">
        <v>172</v>
      </c>
      <c r="AJ384" s="5">
        <v>32.17</v>
      </c>
      <c r="AK384" s="5">
        <v>31.62</v>
      </c>
      <c r="AL384" s="5" t="s">
        <v>12</v>
      </c>
      <c r="AM384" s="5" t="s">
        <v>12</v>
      </c>
      <c r="AN384" s="5" t="s">
        <v>12</v>
      </c>
      <c r="AO384" s="5" t="s">
        <v>11</v>
      </c>
      <c r="AP384" s="5" t="s">
        <v>11</v>
      </c>
      <c r="AQ384" s="5" t="s">
        <v>53</v>
      </c>
      <c r="AR384" s="5" t="s">
        <v>52</v>
      </c>
    </row>
    <row r="385" spans="1:44" ht="31.5" x14ac:dyDescent="0.25">
      <c r="A385" s="10">
        <v>46096</v>
      </c>
      <c r="B385" s="5" t="s">
        <v>373</v>
      </c>
      <c r="C385" s="5" t="s">
        <v>2456</v>
      </c>
      <c r="D385" s="5" t="s">
        <v>11</v>
      </c>
      <c r="E385" s="5" t="s">
        <v>6</v>
      </c>
      <c r="F385" s="5" t="s">
        <v>6</v>
      </c>
      <c r="G385" s="5" t="s">
        <v>3103</v>
      </c>
      <c r="H385" s="5" t="s">
        <v>4451</v>
      </c>
      <c r="I385" s="6" t="str">
        <f>HYPERLINK("http://maps.yandex.ru/?ll=36.502663,45.3167&amp;spn=0.011598,0.004531&amp;z=17&amp;l=map&amp;pt=36.502663,45.3167", "45.31672//36.502663")</f>
        <v>45.31672//36.502663</v>
      </c>
      <c r="J385" s="5" t="s">
        <v>1360</v>
      </c>
      <c r="K385" s="6" t="str">
        <f>HYPERLINK("http://maps.yandex.ru/?ll=42.86911,48.63501&amp;spn=0.011598,0.004531&amp;z=17&amp;l=map&amp;pt=42.86911,48.63501", "48.635014//42.86911")</f>
        <v>48.635014//42.86911</v>
      </c>
      <c r="L385" s="5" t="s">
        <v>95</v>
      </c>
      <c r="M385" s="5" t="s">
        <v>4452</v>
      </c>
      <c r="N385" s="5" t="s">
        <v>252</v>
      </c>
      <c r="O385" s="5" t="s">
        <v>1403</v>
      </c>
      <c r="P385" s="5">
        <v>46</v>
      </c>
      <c r="Q385" s="5">
        <v>29</v>
      </c>
      <c r="R385" s="5">
        <v>25</v>
      </c>
      <c r="S385" s="5">
        <v>689.05499999999995</v>
      </c>
      <c r="T385" s="5" t="s">
        <v>4453</v>
      </c>
      <c r="U385" s="5" t="s">
        <v>4454</v>
      </c>
      <c r="V385" s="5" t="s">
        <v>4455</v>
      </c>
      <c r="W385" s="5">
        <v>28.71</v>
      </c>
      <c r="X385" s="5">
        <v>61.92</v>
      </c>
      <c r="Y385" s="5">
        <v>174</v>
      </c>
      <c r="Z385" s="5" t="s">
        <v>2381</v>
      </c>
      <c r="AA385" s="5" t="s">
        <v>1713</v>
      </c>
      <c r="AB385" s="5" t="s">
        <v>1904</v>
      </c>
      <c r="AC385" s="5" t="s">
        <v>1673</v>
      </c>
      <c r="AD385" s="5" t="s">
        <v>19</v>
      </c>
      <c r="AE385" s="5" t="s">
        <v>4456</v>
      </c>
      <c r="AF385" s="5" t="s">
        <v>3260</v>
      </c>
      <c r="AG385" s="5">
        <v>288</v>
      </c>
      <c r="AH385" s="5">
        <v>4</v>
      </c>
      <c r="AI385" s="5">
        <v>284</v>
      </c>
      <c r="AJ385" s="5">
        <v>40.17</v>
      </c>
      <c r="AK385" s="5">
        <v>39.61</v>
      </c>
      <c r="AL385" s="5" t="s">
        <v>12</v>
      </c>
      <c r="AM385" s="5" t="s">
        <v>12</v>
      </c>
      <c r="AN385" s="5" t="s">
        <v>12</v>
      </c>
      <c r="AO385" s="5" t="s">
        <v>11</v>
      </c>
      <c r="AP385" s="5" t="s">
        <v>11</v>
      </c>
      <c r="AQ385" s="5" t="s">
        <v>53</v>
      </c>
      <c r="AR385" s="5" t="s">
        <v>52</v>
      </c>
    </row>
    <row r="386" spans="1:44" ht="31.5" x14ac:dyDescent="0.25">
      <c r="A386" s="10">
        <v>46096</v>
      </c>
      <c r="B386" s="5" t="s">
        <v>369</v>
      </c>
      <c r="C386" s="5" t="s">
        <v>2532</v>
      </c>
      <c r="D386" s="5" t="s">
        <v>11</v>
      </c>
      <c r="E386" s="5" t="s">
        <v>164</v>
      </c>
      <c r="F386" s="5" t="s">
        <v>368</v>
      </c>
      <c r="G386" s="5" t="s">
        <v>3103</v>
      </c>
      <c r="H386" s="5" t="s">
        <v>4457</v>
      </c>
      <c r="I386" s="6" t="str">
        <f>HYPERLINK("http://maps.yandex.ru/?ll=39.157677,44.78522&amp;spn=0.011598,0.004531&amp;z=17&amp;l=map&amp;pt=39.157677,44.78522", "44.785225//39.157677")</f>
        <v>44.785225//39.157677</v>
      </c>
      <c r="J386" s="5" t="s">
        <v>88</v>
      </c>
      <c r="K386" s="6" t="str">
        <f>HYPERLINK("http://maps.yandex.ru/?ll=39.201122,44.83956&amp;spn=0.011598,0.004531&amp;z=17&amp;l=map&amp;pt=39.201122,44.83956", "44.839565//39.201122")</f>
        <v>44.839565//39.201122</v>
      </c>
      <c r="L386" s="5" t="s">
        <v>23</v>
      </c>
      <c r="M386" s="5" t="s">
        <v>316</v>
      </c>
      <c r="N386" s="5" t="s">
        <v>366</v>
      </c>
      <c r="O386" s="5" t="s">
        <v>1244</v>
      </c>
      <c r="P386" s="5">
        <v>25</v>
      </c>
      <c r="Q386" s="5">
        <v>45</v>
      </c>
      <c r="R386" s="5">
        <v>31</v>
      </c>
      <c r="S386" s="5">
        <v>624.45600000000002</v>
      </c>
      <c r="T386" s="5" t="s">
        <v>12</v>
      </c>
      <c r="U386" s="5" t="s">
        <v>12</v>
      </c>
      <c r="V386" s="5" t="s">
        <v>12</v>
      </c>
      <c r="W386" s="5">
        <v>26.02</v>
      </c>
      <c r="X386" s="5">
        <v>104.37</v>
      </c>
      <c r="Y386" s="5">
        <v>153</v>
      </c>
      <c r="Z386" s="5" t="s">
        <v>1585</v>
      </c>
      <c r="AA386" s="5" t="s">
        <v>1585</v>
      </c>
      <c r="AB386" s="5" t="s">
        <v>19</v>
      </c>
      <c r="AC386" s="5" t="s">
        <v>19</v>
      </c>
      <c r="AD386" s="5" t="s">
        <v>19</v>
      </c>
      <c r="AE386" s="5" t="s">
        <v>19</v>
      </c>
      <c r="AF386" s="5" t="s">
        <v>568</v>
      </c>
      <c r="AG386" s="5"/>
      <c r="AH386" s="5">
        <v>0</v>
      </c>
      <c r="AI386" s="5"/>
      <c r="AJ386" s="5"/>
      <c r="AK386" s="5"/>
      <c r="AL386" s="5" t="s">
        <v>12</v>
      </c>
      <c r="AM386" s="5" t="s">
        <v>12</v>
      </c>
      <c r="AN386" s="5" t="s">
        <v>12</v>
      </c>
      <c r="AO386" s="5" t="s">
        <v>11</v>
      </c>
      <c r="AP386" s="5" t="s">
        <v>11</v>
      </c>
      <c r="AQ386" s="5" t="s">
        <v>53</v>
      </c>
      <c r="AR386" s="5" t="s">
        <v>52</v>
      </c>
    </row>
    <row r="387" spans="1:44" ht="15.75" x14ac:dyDescent="0.25">
      <c r="A387" s="10">
        <v>46096</v>
      </c>
      <c r="B387" s="5" t="s">
        <v>365</v>
      </c>
      <c r="C387" s="5" t="s">
        <v>2533</v>
      </c>
      <c r="D387" s="5" t="s">
        <v>11</v>
      </c>
      <c r="E387" s="5" t="s">
        <v>0</v>
      </c>
      <c r="F387" s="5" t="s">
        <v>0</v>
      </c>
      <c r="G387" s="5" t="s">
        <v>11</v>
      </c>
      <c r="H387" s="5" t="s">
        <v>11</v>
      </c>
      <c r="I387" s="6" t="str">
        <f>HYPERLINK("http://maps.yandex.ru/?ll=,&amp;spn=0.011598,0.004531&amp;z=17&amp;l=map&amp;pt=,", "")</f>
        <v/>
      </c>
      <c r="J387" s="5" t="s">
        <v>84</v>
      </c>
      <c r="K387" s="6" t="str">
        <f>HYPERLINK("http://maps.yandex.ru/?ll=,&amp;spn=0.011598,0.004531&amp;z=17&amp;l=map&amp;pt=,", "")</f>
        <v/>
      </c>
      <c r="L387" s="5" t="s">
        <v>84</v>
      </c>
      <c r="M387" s="5" t="s">
        <v>13</v>
      </c>
      <c r="N387" s="5" t="s">
        <v>58</v>
      </c>
      <c r="O387" s="5" t="s">
        <v>13</v>
      </c>
      <c r="P387" s="5">
        <v>0</v>
      </c>
      <c r="Q387" s="5">
        <v>100</v>
      </c>
      <c r="R387" s="5">
        <v>0</v>
      </c>
      <c r="S387" s="5">
        <v>0</v>
      </c>
      <c r="T387" s="5" t="s">
        <v>1673</v>
      </c>
      <c r="U387" s="5" t="s">
        <v>4458</v>
      </c>
      <c r="V387" s="5" t="s">
        <v>2535</v>
      </c>
      <c r="W387" s="5">
        <v>0</v>
      </c>
      <c r="X387" s="5">
        <v>0</v>
      </c>
      <c r="Y387" s="5">
        <v>0</v>
      </c>
      <c r="Z387" s="5" t="s">
        <v>2537</v>
      </c>
      <c r="AA387" s="5" t="s">
        <v>2160</v>
      </c>
      <c r="AB387" s="5" t="s">
        <v>19</v>
      </c>
      <c r="AC387" s="5" t="s">
        <v>19</v>
      </c>
      <c r="AD387" s="5" t="s">
        <v>19</v>
      </c>
      <c r="AE387" s="5" t="s">
        <v>1746</v>
      </c>
      <c r="AF387" s="5" t="s">
        <v>12</v>
      </c>
      <c r="AG387" s="5">
        <v>5</v>
      </c>
      <c r="AH387" s="5">
        <v>5</v>
      </c>
      <c r="AI387" s="5">
        <v>0</v>
      </c>
      <c r="AJ387" s="5">
        <v>500</v>
      </c>
      <c r="AK387" s="5">
        <v>0</v>
      </c>
      <c r="AL387" s="5" t="s">
        <v>12</v>
      </c>
      <c r="AM387" s="5" t="s">
        <v>12</v>
      </c>
      <c r="AN387" s="5" t="s">
        <v>12</v>
      </c>
      <c r="AO387" s="5" t="s">
        <v>11</v>
      </c>
      <c r="AP387" s="5" t="s">
        <v>11</v>
      </c>
      <c r="AQ387" s="5" t="s">
        <v>53</v>
      </c>
      <c r="AR387" s="5" t="s">
        <v>52</v>
      </c>
    </row>
    <row r="388" spans="1:44" ht="31.5" x14ac:dyDescent="0.25">
      <c r="A388" s="10">
        <v>46096</v>
      </c>
      <c r="B388" s="5" t="s">
        <v>364</v>
      </c>
      <c r="C388" s="5" t="s">
        <v>2539</v>
      </c>
      <c r="D388" s="5" t="s">
        <v>11</v>
      </c>
      <c r="E388" s="5" t="s">
        <v>8</v>
      </c>
      <c r="F388" s="5" t="s">
        <v>8</v>
      </c>
      <c r="G388" s="5" t="s">
        <v>4459</v>
      </c>
      <c r="H388" s="5" t="s">
        <v>4460</v>
      </c>
      <c r="I388" s="6" t="str">
        <f>HYPERLINK("http://maps.yandex.ru/?ll=38.11579,53.5014&amp;spn=0.011598,0.004531&amp;z=17&amp;l=map&amp;pt=38.11579,53.5014", "53.50144//38.11579")</f>
        <v>53.50144//38.11579</v>
      </c>
      <c r="J388" s="5" t="s">
        <v>168</v>
      </c>
      <c r="K388" s="6" t="str">
        <f>HYPERLINK("http://maps.yandex.ru/?ll=34.26471,57.69296&amp;spn=0.011598,0.004531&amp;z=17&amp;l=map&amp;pt=34.26471,57.69296", "57.692966//34.26471")</f>
        <v>57.692966//34.26471</v>
      </c>
      <c r="L388" s="5" t="s">
        <v>50</v>
      </c>
      <c r="M388" s="5" t="s">
        <v>457</v>
      </c>
      <c r="N388" s="5" t="s">
        <v>323</v>
      </c>
      <c r="O388" s="5" t="s">
        <v>539</v>
      </c>
      <c r="P388" s="5">
        <v>35</v>
      </c>
      <c r="Q388" s="5">
        <v>58</v>
      </c>
      <c r="R388" s="5">
        <v>7</v>
      </c>
      <c r="S388" s="5">
        <v>596.63699999999994</v>
      </c>
      <c r="T388" s="5" t="s">
        <v>4461</v>
      </c>
      <c r="U388" s="5" t="s">
        <v>4462</v>
      </c>
      <c r="V388" s="5" t="s">
        <v>4463</v>
      </c>
      <c r="W388" s="5">
        <v>24.86</v>
      </c>
      <c r="X388" s="5">
        <v>71.12</v>
      </c>
      <c r="Y388" s="5">
        <v>111</v>
      </c>
      <c r="Z388" s="5" t="s">
        <v>2542</v>
      </c>
      <c r="AA388" s="5" t="s">
        <v>2127</v>
      </c>
      <c r="AB388" s="5" t="s">
        <v>4464</v>
      </c>
      <c r="AC388" s="5" t="s">
        <v>1673</v>
      </c>
      <c r="AD388" s="5" t="s">
        <v>19</v>
      </c>
      <c r="AE388" s="5" t="s">
        <v>1736</v>
      </c>
      <c r="AF388" s="5" t="s">
        <v>4465</v>
      </c>
      <c r="AG388" s="5">
        <v>175</v>
      </c>
      <c r="AH388" s="5">
        <v>4</v>
      </c>
      <c r="AI388" s="5">
        <v>171</v>
      </c>
      <c r="AJ388" s="5">
        <v>27.87</v>
      </c>
      <c r="AK388" s="5">
        <v>27.23</v>
      </c>
      <c r="AL388" s="5" t="s">
        <v>12</v>
      </c>
      <c r="AM388" s="5" t="s">
        <v>12</v>
      </c>
      <c r="AN388" s="5" t="s">
        <v>12</v>
      </c>
      <c r="AO388" s="5" t="s">
        <v>11</v>
      </c>
      <c r="AP388" s="5" t="s">
        <v>11</v>
      </c>
      <c r="AQ388" s="5" t="s">
        <v>53</v>
      </c>
      <c r="AR388" s="5" t="s">
        <v>52</v>
      </c>
    </row>
    <row r="389" spans="1:44" ht="31.5" x14ac:dyDescent="0.25">
      <c r="A389" s="10">
        <v>46096</v>
      </c>
      <c r="B389" s="5" t="s">
        <v>362</v>
      </c>
      <c r="C389" s="5" t="s">
        <v>2543</v>
      </c>
      <c r="D389" s="5" t="s">
        <v>11</v>
      </c>
      <c r="E389" s="5" t="s">
        <v>7</v>
      </c>
      <c r="F389" s="5" t="s">
        <v>7</v>
      </c>
      <c r="G389" s="5" t="s">
        <v>4466</v>
      </c>
      <c r="H389" s="5" t="s">
        <v>4467</v>
      </c>
      <c r="I389" s="6" t="str">
        <f>HYPERLINK("http://maps.yandex.ru/?ll=88.152336,56.20099&amp;spn=0.011598,0.004531&amp;z=17&amp;l=map&amp;pt=88.152336,56.20099", "56.200996//88.152336")</f>
        <v>56.200996//88.152336</v>
      </c>
      <c r="J389" s="5" t="s">
        <v>497</v>
      </c>
      <c r="K389" s="6" t="str">
        <f>HYPERLINK("http://maps.yandex.ru/?ll=92.97986,56.1986&amp;spn=0.011598,0.004531&amp;z=17&amp;l=map&amp;pt=92.97986,56.1986", "56.19864//92.97986")</f>
        <v>56.19864//92.97986</v>
      </c>
      <c r="L389" s="5" t="s">
        <v>162</v>
      </c>
      <c r="M389" s="5" t="s">
        <v>719</v>
      </c>
      <c r="N389" s="5" t="s">
        <v>718</v>
      </c>
      <c r="O389" s="5" t="s">
        <v>13</v>
      </c>
      <c r="P389" s="5">
        <v>28</v>
      </c>
      <c r="Q389" s="5">
        <v>72</v>
      </c>
      <c r="R389" s="5">
        <v>0</v>
      </c>
      <c r="S389" s="5">
        <v>368.97500000000002</v>
      </c>
      <c r="T389" s="5" t="s">
        <v>1535</v>
      </c>
      <c r="U389" s="5" t="s">
        <v>4468</v>
      </c>
      <c r="V389" s="5" t="s">
        <v>4469</v>
      </c>
      <c r="W389" s="5">
        <v>15.37</v>
      </c>
      <c r="X389" s="5">
        <v>54.33</v>
      </c>
      <c r="Y389" s="5">
        <v>84</v>
      </c>
      <c r="Z389" s="5" t="s">
        <v>1528</v>
      </c>
      <c r="AA389" s="5" t="s">
        <v>277</v>
      </c>
      <c r="AB389" s="5" t="s">
        <v>19</v>
      </c>
      <c r="AC389" s="5" t="s">
        <v>19</v>
      </c>
      <c r="AD389" s="5" t="s">
        <v>19</v>
      </c>
      <c r="AE389" s="5" t="s">
        <v>1688</v>
      </c>
      <c r="AF389" s="5" t="s">
        <v>4470</v>
      </c>
      <c r="AG389" s="5">
        <v>146</v>
      </c>
      <c r="AH389" s="5">
        <v>16</v>
      </c>
      <c r="AI389" s="5">
        <v>130</v>
      </c>
      <c r="AJ389" s="5">
        <v>38.83</v>
      </c>
      <c r="AK389" s="5">
        <v>34.57</v>
      </c>
      <c r="AL389" s="5" t="s">
        <v>12</v>
      </c>
      <c r="AM389" s="5" t="s">
        <v>12</v>
      </c>
      <c r="AN389" s="5" t="s">
        <v>12</v>
      </c>
      <c r="AO389" s="5" t="s">
        <v>11</v>
      </c>
      <c r="AP389" s="5" t="s">
        <v>11</v>
      </c>
      <c r="AQ389" s="5" t="s">
        <v>53</v>
      </c>
      <c r="AR389" s="5" t="s">
        <v>52</v>
      </c>
    </row>
    <row r="390" spans="1:44" ht="31.5" x14ac:dyDescent="0.25">
      <c r="A390" s="10">
        <v>46096</v>
      </c>
      <c r="B390" s="5" t="s">
        <v>360</v>
      </c>
      <c r="C390" s="5" t="s">
        <v>2545</v>
      </c>
      <c r="D390" s="5" t="s">
        <v>11</v>
      </c>
      <c r="E390" s="5" t="s">
        <v>8</v>
      </c>
      <c r="F390" s="5" t="s">
        <v>8</v>
      </c>
      <c r="G390" s="5" t="s">
        <v>4471</v>
      </c>
      <c r="H390" s="5" t="s">
        <v>4472</v>
      </c>
      <c r="I390" s="6" t="str">
        <f>HYPERLINK("http://maps.yandex.ru/?ll=38.11577,53.501&amp;spn=0.011598,0.004531&amp;z=17&amp;l=map&amp;pt=38.11577,53.501", "53.5015//38.11577")</f>
        <v>53.5015//38.11577</v>
      </c>
      <c r="J390" s="5" t="s">
        <v>168</v>
      </c>
      <c r="K390" s="6" t="str">
        <f>HYPERLINK("http://maps.yandex.ru/?ll=34.264767,57.69296&amp;spn=0.011598,0.004531&amp;z=17&amp;l=map&amp;pt=34.264767,57.69296", "57.692966//34.264767")</f>
        <v>57.692966//34.264767</v>
      </c>
      <c r="L390" s="5" t="s">
        <v>50</v>
      </c>
      <c r="M390" s="5" t="s">
        <v>1406</v>
      </c>
      <c r="N390" s="5" t="s">
        <v>323</v>
      </c>
      <c r="O390" s="5" t="s">
        <v>322</v>
      </c>
      <c r="P390" s="5">
        <v>41</v>
      </c>
      <c r="Q390" s="5">
        <v>58</v>
      </c>
      <c r="R390" s="5">
        <v>1</v>
      </c>
      <c r="S390" s="5">
        <v>632.76199999999994</v>
      </c>
      <c r="T390" s="5" t="s">
        <v>12</v>
      </c>
      <c r="U390" s="5" t="s">
        <v>12</v>
      </c>
      <c r="V390" s="5" t="s">
        <v>12</v>
      </c>
      <c r="W390" s="5">
        <v>26.37</v>
      </c>
      <c r="X390" s="5">
        <v>64.83</v>
      </c>
      <c r="Y390" s="5">
        <v>125</v>
      </c>
      <c r="Z390" s="5" t="s">
        <v>1688</v>
      </c>
      <c r="AA390" s="5" t="s">
        <v>1974</v>
      </c>
      <c r="AB390" s="5" t="s">
        <v>1993</v>
      </c>
      <c r="AC390" s="5" t="s">
        <v>1673</v>
      </c>
      <c r="AD390" s="5" t="s">
        <v>19</v>
      </c>
      <c r="AE390" s="5" t="s">
        <v>2054</v>
      </c>
      <c r="AF390" s="5" t="s">
        <v>12</v>
      </c>
      <c r="AG390" s="5"/>
      <c r="AH390" s="5"/>
      <c r="AI390" s="5"/>
      <c r="AJ390" s="5"/>
      <c r="AK390" s="5"/>
      <c r="AL390" s="5" t="s">
        <v>1616</v>
      </c>
      <c r="AM390" s="5" t="s">
        <v>4473</v>
      </c>
      <c r="AN390" s="5" t="s">
        <v>1756</v>
      </c>
      <c r="AO390" s="5" t="s">
        <v>115</v>
      </c>
      <c r="AP390" s="5" t="s">
        <v>114</v>
      </c>
      <c r="AQ390" s="5" t="s">
        <v>99</v>
      </c>
      <c r="AR390" s="5" t="s">
        <v>98</v>
      </c>
    </row>
    <row r="391" spans="1:44" ht="15.75" x14ac:dyDescent="0.25">
      <c r="A391" s="10">
        <v>46096</v>
      </c>
      <c r="B391" s="5" t="s">
        <v>357</v>
      </c>
      <c r="C391" s="5" t="s">
        <v>2547</v>
      </c>
      <c r="D391" s="5" t="s">
        <v>11</v>
      </c>
      <c r="E391" s="5" t="s">
        <v>8</v>
      </c>
      <c r="F391" s="5" t="s">
        <v>8</v>
      </c>
      <c r="G391" s="5" t="s">
        <v>11</v>
      </c>
      <c r="H391" s="5" t="s">
        <v>11</v>
      </c>
      <c r="I391" s="6" t="str">
        <f>HYPERLINK("http://maps.yandex.ru/?ll=,&amp;spn=0.011598,0.004531&amp;z=17&amp;l=map&amp;pt=,", "")</f>
        <v/>
      </c>
      <c r="J391" s="5" t="s">
        <v>84</v>
      </c>
      <c r="K391" s="6" t="str">
        <f>HYPERLINK("http://maps.yandex.ru/?ll=,&amp;spn=0.011598,0.004531&amp;z=17&amp;l=map&amp;pt=,", "")</f>
        <v/>
      </c>
      <c r="L391" s="5" t="s">
        <v>84</v>
      </c>
      <c r="M391" s="5" t="s">
        <v>13</v>
      </c>
      <c r="N391" s="5" t="s">
        <v>13</v>
      </c>
      <c r="O391" s="5" t="s">
        <v>58</v>
      </c>
      <c r="P391" s="5">
        <v>0</v>
      </c>
      <c r="Q391" s="5">
        <v>0</v>
      </c>
      <c r="R391" s="5">
        <v>100</v>
      </c>
      <c r="S391" s="5">
        <v>0</v>
      </c>
      <c r="T391" s="5" t="s">
        <v>12</v>
      </c>
      <c r="U391" s="5" t="s">
        <v>12</v>
      </c>
      <c r="V391" s="5" t="s">
        <v>12</v>
      </c>
      <c r="W391" s="5">
        <v>0</v>
      </c>
      <c r="X391" s="5">
        <v>0</v>
      </c>
      <c r="Y391" s="5">
        <v>0</v>
      </c>
      <c r="Z391" s="5" t="s">
        <v>12</v>
      </c>
      <c r="AA391" s="5" t="s">
        <v>12</v>
      </c>
      <c r="AB391" s="5" t="s">
        <v>19</v>
      </c>
      <c r="AC391" s="5" t="s">
        <v>19</v>
      </c>
      <c r="AD391" s="5" t="s">
        <v>19</v>
      </c>
      <c r="AE391" s="5" t="s">
        <v>12</v>
      </c>
      <c r="AF391" s="5" t="s">
        <v>12</v>
      </c>
      <c r="AG391" s="5"/>
      <c r="AH391" s="5"/>
      <c r="AI391" s="5"/>
      <c r="AJ391" s="5"/>
      <c r="AK391" s="5"/>
      <c r="AL391" s="5" t="s">
        <v>12</v>
      </c>
      <c r="AM391" s="5" t="s">
        <v>12</v>
      </c>
      <c r="AN391" s="5" t="s">
        <v>12</v>
      </c>
      <c r="AO391" s="5" t="s">
        <v>115</v>
      </c>
      <c r="AP391" s="5" t="s">
        <v>114</v>
      </c>
      <c r="AQ391" s="5" t="s">
        <v>99</v>
      </c>
      <c r="AR391" s="5" t="s">
        <v>98</v>
      </c>
    </row>
    <row r="392" spans="1:44" ht="31.5" x14ac:dyDescent="0.25">
      <c r="A392" s="10">
        <v>46096</v>
      </c>
      <c r="B392" s="5" t="s">
        <v>356</v>
      </c>
      <c r="C392" s="5" t="s">
        <v>2548</v>
      </c>
      <c r="D392" s="5" t="s">
        <v>11</v>
      </c>
      <c r="E392" s="5" t="s">
        <v>8</v>
      </c>
      <c r="F392" s="5" t="s">
        <v>8</v>
      </c>
      <c r="G392" s="5" t="s">
        <v>4474</v>
      </c>
      <c r="H392" s="5" t="s">
        <v>3121</v>
      </c>
      <c r="I392" s="6" t="str">
        <f>HYPERLINK("http://maps.yandex.ru/?ll=36.57657,56.4737&amp;spn=0.011598,0.004531&amp;z=17&amp;l=map&amp;pt=36.57657,56.4737", "56.47374//36.57657")</f>
        <v>56.47374//36.57657</v>
      </c>
      <c r="J392" s="5" t="s">
        <v>56</v>
      </c>
      <c r="K392" s="6" t="str">
        <f>HYPERLINK("http://maps.yandex.ru/?ll=37.17152,56.02651&amp;spn=0.011598,0.004531&amp;z=17&amp;l=map&amp;pt=37.17152,56.02651", "56.026516//37.17152")</f>
        <v>56.026516//37.17152</v>
      </c>
      <c r="L392" s="5" t="s">
        <v>56</v>
      </c>
      <c r="M392" s="5" t="s">
        <v>537</v>
      </c>
      <c r="N392" s="5" t="s">
        <v>185</v>
      </c>
      <c r="O392" s="5" t="s">
        <v>456</v>
      </c>
      <c r="P392" s="5">
        <v>39</v>
      </c>
      <c r="Q392" s="5">
        <v>56</v>
      </c>
      <c r="R392" s="5">
        <v>5</v>
      </c>
      <c r="S392" s="5">
        <v>526.16600000000005</v>
      </c>
      <c r="T392" s="5" t="s">
        <v>12</v>
      </c>
      <c r="U392" s="5" t="s">
        <v>12</v>
      </c>
      <c r="V392" s="5" t="s">
        <v>12</v>
      </c>
      <c r="W392" s="5">
        <v>21.92</v>
      </c>
      <c r="X392" s="5">
        <v>56.24</v>
      </c>
      <c r="Y392" s="5">
        <v>123</v>
      </c>
      <c r="Z392" s="5" t="s">
        <v>1688</v>
      </c>
      <c r="AA392" s="5" t="s">
        <v>1549</v>
      </c>
      <c r="AB392" s="5" t="s">
        <v>19</v>
      </c>
      <c r="AC392" s="5" t="s">
        <v>19</v>
      </c>
      <c r="AD392" s="5" t="s">
        <v>19</v>
      </c>
      <c r="AE392" s="5" t="s">
        <v>1711</v>
      </c>
      <c r="AF392" s="5" t="s">
        <v>12</v>
      </c>
      <c r="AG392" s="5"/>
      <c r="AH392" s="5"/>
      <c r="AI392" s="5"/>
      <c r="AJ392" s="5"/>
      <c r="AK392" s="5"/>
      <c r="AL392" s="5" t="s">
        <v>2550</v>
      </c>
      <c r="AM392" s="5" t="s">
        <v>4475</v>
      </c>
      <c r="AN392" s="5" t="s">
        <v>1615</v>
      </c>
      <c r="AO392" s="5" t="s">
        <v>115</v>
      </c>
      <c r="AP392" s="5" t="s">
        <v>114</v>
      </c>
      <c r="AQ392" s="5" t="s">
        <v>99</v>
      </c>
      <c r="AR392" s="5" t="s">
        <v>98</v>
      </c>
    </row>
    <row r="393" spans="1:44" ht="15.75" x14ac:dyDescent="0.25">
      <c r="A393" s="10">
        <v>46096</v>
      </c>
      <c r="B393" s="5" t="s">
        <v>354</v>
      </c>
      <c r="C393" s="5" t="s">
        <v>2551</v>
      </c>
      <c r="D393" s="5" t="s">
        <v>11</v>
      </c>
      <c r="E393" s="5" t="s">
        <v>0</v>
      </c>
      <c r="F393" s="5" t="s">
        <v>0</v>
      </c>
      <c r="G393" s="5" t="s">
        <v>11</v>
      </c>
      <c r="H393" s="5" t="s">
        <v>11</v>
      </c>
      <c r="I393" s="6" t="str">
        <f>HYPERLINK("http://maps.yandex.ru/?ll=,&amp;spn=0.011598,0.004531&amp;z=17&amp;l=map&amp;pt=,", "")</f>
        <v/>
      </c>
      <c r="J393" s="5" t="s">
        <v>84</v>
      </c>
      <c r="K393" s="6" t="str">
        <f>HYPERLINK("http://maps.yandex.ru/?ll=,&amp;spn=0.011598,0.004531&amp;z=17&amp;l=map&amp;pt=,", "")</f>
        <v/>
      </c>
      <c r="L393" s="5" t="s">
        <v>84</v>
      </c>
      <c r="M393" s="5" t="s">
        <v>13</v>
      </c>
      <c r="N393" s="5" t="s">
        <v>1130</v>
      </c>
      <c r="O393" s="5" t="s">
        <v>247</v>
      </c>
      <c r="P393" s="5">
        <v>0</v>
      </c>
      <c r="Q393" s="5">
        <v>63</v>
      </c>
      <c r="R393" s="5">
        <v>37</v>
      </c>
      <c r="S393" s="5">
        <v>0</v>
      </c>
      <c r="T393" s="5" t="s">
        <v>1673</v>
      </c>
      <c r="U393" s="5" t="s">
        <v>2552</v>
      </c>
      <c r="V393" s="5" t="s">
        <v>2553</v>
      </c>
      <c r="W393" s="5">
        <v>0</v>
      </c>
      <c r="X393" s="5">
        <v>0</v>
      </c>
      <c r="Y393" s="5">
        <v>0</v>
      </c>
      <c r="Z393" s="5" t="s">
        <v>2555</v>
      </c>
      <c r="AA393" s="5" t="s">
        <v>4416</v>
      </c>
      <c r="AB393" s="5" t="s">
        <v>19</v>
      </c>
      <c r="AC393" s="5" t="s">
        <v>19</v>
      </c>
      <c r="AD393" s="5" t="s">
        <v>19</v>
      </c>
      <c r="AE393" s="5" t="s">
        <v>1889</v>
      </c>
      <c r="AF393" s="5" t="s">
        <v>12</v>
      </c>
      <c r="AG393" s="5">
        <v>8</v>
      </c>
      <c r="AH393" s="5">
        <v>7</v>
      </c>
      <c r="AI393" s="5">
        <v>1</v>
      </c>
      <c r="AJ393" s="5">
        <v>800</v>
      </c>
      <c r="AK393" s="5">
        <v>100</v>
      </c>
      <c r="AL393" s="5" t="s">
        <v>12</v>
      </c>
      <c r="AM393" s="5" t="s">
        <v>12</v>
      </c>
      <c r="AN393" s="5" t="s">
        <v>12</v>
      </c>
      <c r="AO393" s="5" t="s">
        <v>11</v>
      </c>
      <c r="AP393" s="5" t="s">
        <v>11</v>
      </c>
      <c r="AQ393" s="5" t="s">
        <v>123</v>
      </c>
      <c r="AR393" s="5" t="s">
        <v>122</v>
      </c>
    </row>
    <row r="394" spans="1:44" ht="31.5" x14ac:dyDescent="0.25">
      <c r="A394" s="10">
        <v>46096</v>
      </c>
      <c r="B394" s="5" t="s">
        <v>353</v>
      </c>
      <c r="C394" s="5" t="s">
        <v>2556</v>
      </c>
      <c r="D394" s="5" t="s">
        <v>11</v>
      </c>
      <c r="E394" s="5" t="s">
        <v>3</v>
      </c>
      <c r="F394" s="5" t="s">
        <v>3</v>
      </c>
      <c r="G394" s="5" t="s">
        <v>3103</v>
      </c>
      <c r="H394" s="5" t="s">
        <v>4476</v>
      </c>
      <c r="I394" s="6" t="str">
        <f>HYPERLINK("http://maps.yandex.ru/?ll=37.724117,44.76212&amp;spn=0.011598,0.004531&amp;z=17&amp;l=map&amp;pt=37.724117,44.76212", "44.762123//37.724117")</f>
        <v>44.762123//37.724117</v>
      </c>
      <c r="J394" s="5" t="s">
        <v>88</v>
      </c>
      <c r="K394" s="6" t="str">
        <f>HYPERLINK("http://maps.yandex.ru/?ll=40.43696,50.137&amp;spn=0.011598,0.004531&amp;z=17&amp;l=map&amp;pt=40.43696,50.137", "50.1376//40.43696")</f>
        <v>50.1376//40.43696</v>
      </c>
      <c r="L394" s="5" t="s">
        <v>101</v>
      </c>
      <c r="M394" s="5" t="s">
        <v>3144</v>
      </c>
      <c r="N394" s="5" t="s">
        <v>1298</v>
      </c>
      <c r="O394" s="5" t="s">
        <v>783</v>
      </c>
      <c r="P394" s="5">
        <v>41</v>
      </c>
      <c r="Q394" s="5">
        <v>27</v>
      </c>
      <c r="R394" s="5">
        <v>32</v>
      </c>
      <c r="S394" s="5">
        <v>799.18399999999997</v>
      </c>
      <c r="T394" s="5" t="s">
        <v>2499</v>
      </c>
      <c r="U394" s="5" t="s">
        <v>4477</v>
      </c>
      <c r="V394" s="5" t="s">
        <v>4478</v>
      </c>
      <c r="W394" s="5">
        <v>33.299999999999997</v>
      </c>
      <c r="X394" s="5">
        <v>82.17</v>
      </c>
      <c r="Y394" s="5">
        <v>195</v>
      </c>
      <c r="Z394" s="5" t="s">
        <v>2005</v>
      </c>
      <c r="AA394" s="5" t="s">
        <v>2229</v>
      </c>
      <c r="AB394" s="5" t="s">
        <v>19</v>
      </c>
      <c r="AC394" s="5" t="s">
        <v>19</v>
      </c>
      <c r="AD394" s="5" t="s">
        <v>19</v>
      </c>
      <c r="AE394" s="5" t="s">
        <v>1623</v>
      </c>
      <c r="AF394" s="5" t="s">
        <v>4479</v>
      </c>
      <c r="AG394" s="5">
        <v>281</v>
      </c>
      <c r="AH394" s="5">
        <v>0</v>
      </c>
      <c r="AI394" s="5">
        <v>281</v>
      </c>
      <c r="AJ394" s="5">
        <v>36.4</v>
      </c>
      <c r="AK394" s="5">
        <v>36.4</v>
      </c>
      <c r="AL394" s="5" t="s">
        <v>12</v>
      </c>
      <c r="AM394" s="5" t="s">
        <v>12</v>
      </c>
      <c r="AN394" s="5" t="s">
        <v>12</v>
      </c>
      <c r="AO394" s="5" t="s">
        <v>11</v>
      </c>
      <c r="AP394" s="5" t="s">
        <v>11</v>
      </c>
      <c r="AQ394" s="5" t="s">
        <v>123</v>
      </c>
      <c r="AR394" s="5" t="s">
        <v>122</v>
      </c>
    </row>
    <row r="395" spans="1:44" ht="31.5" x14ac:dyDescent="0.25">
      <c r="A395" s="10">
        <v>46096</v>
      </c>
      <c r="B395" s="5" t="s">
        <v>1234</v>
      </c>
      <c r="C395" s="5" t="s">
        <v>2817</v>
      </c>
      <c r="D395" s="5" t="s">
        <v>11</v>
      </c>
      <c r="E395" s="5" t="s">
        <v>8</v>
      </c>
      <c r="F395" s="5" t="s">
        <v>8</v>
      </c>
      <c r="G395" s="5" t="s">
        <v>3103</v>
      </c>
      <c r="H395" s="5" t="s">
        <v>4480</v>
      </c>
      <c r="I395" s="6" t="str">
        <f>HYPERLINK("http://maps.yandex.ru/?ll=39.84792,47.2153&amp;spn=0.011598,0.004531&amp;z=17&amp;l=map&amp;pt=39.84792,47.2153", "47.21533//39.84792")</f>
        <v>47.21533//39.84792</v>
      </c>
      <c r="J395" s="5" t="s">
        <v>64</v>
      </c>
      <c r="K395" s="6" t="str">
        <f>HYPERLINK("http://maps.yandex.ru/?ll=39.547276,45.21225&amp;spn=0.011598,0.004531&amp;z=17&amp;l=map&amp;pt=39.547276,45.21225", "45.212254//39.547276")</f>
        <v>45.212254//39.547276</v>
      </c>
      <c r="L395" s="5" t="s">
        <v>88</v>
      </c>
      <c r="M395" s="5" t="s">
        <v>1503</v>
      </c>
      <c r="N395" s="5" t="s">
        <v>615</v>
      </c>
      <c r="O395" s="5" t="s">
        <v>785</v>
      </c>
      <c r="P395" s="5">
        <v>62</v>
      </c>
      <c r="Q395" s="5">
        <v>21</v>
      </c>
      <c r="R395" s="5">
        <v>17</v>
      </c>
      <c r="S395" s="5">
        <v>1659.6510000000001</v>
      </c>
      <c r="T395" s="5" t="s">
        <v>12</v>
      </c>
      <c r="U395" s="5" t="s">
        <v>12</v>
      </c>
      <c r="V395" s="5" t="s">
        <v>12</v>
      </c>
      <c r="W395" s="5">
        <v>69.150000000000006</v>
      </c>
      <c r="X395" s="5">
        <v>111.08</v>
      </c>
      <c r="Y395" s="5">
        <v>198</v>
      </c>
      <c r="Z395" s="5" t="s">
        <v>1974</v>
      </c>
      <c r="AA395" s="5" t="s">
        <v>1974</v>
      </c>
      <c r="AB395" s="5" t="s">
        <v>19</v>
      </c>
      <c r="AC395" s="5" t="s">
        <v>19</v>
      </c>
      <c r="AD395" s="5" t="s">
        <v>19</v>
      </c>
      <c r="AE395" s="5" t="s">
        <v>19</v>
      </c>
      <c r="AF395" s="5" t="s">
        <v>12</v>
      </c>
      <c r="AG395" s="5"/>
      <c r="AH395" s="5"/>
      <c r="AI395" s="5"/>
      <c r="AJ395" s="5"/>
      <c r="AK395" s="5"/>
      <c r="AL395" s="5" t="s">
        <v>12</v>
      </c>
      <c r="AM395" s="5" t="s">
        <v>12</v>
      </c>
      <c r="AN395" s="5" t="s">
        <v>12</v>
      </c>
      <c r="AO395" s="5" t="s">
        <v>115</v>
      </c>
      <c r="AP395" s="5" t="s">
        <v>114</v>
      </c>
      <c r="AQ395" s="5" t="s">
        <v>99</v>
      </c>
      <c r="AR395" s="5" t="s">
        <v>98</v>
      </c>
    </row>
    <row r="396" spans="1:44" ht="31.5" x14ac:dyDescent="0.25">
      <c r="A396" s="10">
        <v>46096</v>
      </c>
      <c r="B396" s="5" t="s">
        <v>1233</v>
      </c>
      <c r="C396" s="5" t="s">
        <v>2818</v>
      </c>
      <c r="D396" s="5" t="s">
        <v>11</v>
      </c>
      <c r="E396" s="5" t="s">
        <v>8</v>
      </c>
      <c r="F396" s="5" t="s">
        <v>8</v>
      </c>
      <c r="G396" s="5" t="s">
        <v>4481</v>
      </c>
      <c r="H396" s="5" t="s">
        <v>4482</v>
      </c>
      <c r="I396" s="6" t="str">
        <f>HYPERLINK("http://maps.yandex.ru/?ll=37.484497,54.8061&amp;spn=0.011598,0.004531&amp;z=17&amp;l=map&amp;pt=37.484497,54.8061", "54.80614//37.484497")</f>
        <v>54.80614//37.484497</v>
      </c>
      <c r="J396" s="5" t="s">
        <v>168</v>
      </c>
      <c r="K396" s="6" t="str">
        <f>HYPERLINK("http://maps.yandex.ru/?ll=37.49311,55.33337&amp;spn=0.011598,0.004531&amp;z=17&amp;l=map&amp;pt=37.49311,55.33337", "55.333378//37.49311")</f>
        <v>55.333378//37.49311</v>
      </c>
      <c r="L396" s="5" t="s">
        <v>56</v>
      </c>
      <c r="M396" s="5" t="s">
        <v>4483</v>
      </c>
      <c r="N396" s="5" t="s">
        <v>4484</v>
      </c>
      <c r="O396" s="5" t="s">
        <v>13</v>
      </c>
      <c r="P396" s="5">
        <v>27</v>
      </c>
      <c r="Q396" s="5">
        <v>73</v>
      </c>
      <c r="R396" s="5">
        <v>0</v>
      </c>
      <c r="S396" s="5">
        <v>362.78800000000001</v>
      </c>
      <c r="T396" s="5" t="s">
        <v>2348</v>
      </c>
      <c r="U396" s="5" t="s">
        <v>4485</v>
      </c>
      <c r="V396" s="5" t="s">
        <v>4486</v>
      </c>
      <c r="W396" s="5">
        <v>15.12</v>
      </c>
      <c r="X396" s="5">
        <v>56.63</v>
      </c>
      <c r="Y396" s="5">
        <v>109</v>
      </c>
      <c r="Z396" s="5" t="s">
        <v>1722</v>
      </c>
      <c r="AA396" s="5" t="s">
        <v>1738</v>
      </c>
      <c r="AB396" s="5" t="s">
        <v>19</v>
      </c>
      <c r="AC396" s="5" t="s">
        <v>19</v>
      </c>
      <c r="AD396" s="5" t="s">
        <v>19</v>
      </c>
      <c r="AE396" s="5" t="s">
        <v>1717</v>
      </c>
      <c r="AF396" s="5" t="s">
        <v>4487</v>
      </c>
      <c r="AG396" s="5">
        <v>111</v>
      </c>
      <c r="AH396" s="5">
        <v>3</v>
      </c>
      <c r="AI396" s="5">
        <v>108</v>
      </c>
      <c r="AJ396" s="5">
        <v>30.33</v>
      </c>
      <c r="AK396" s="5">
        <v>29.51</v>
      </c>
      <c r="AL396" s="5" t="s">
        <v>12</v>
      </c>
      <c r="AM396" s="5" t="s">
        <v>12</v>
      </c>
      <c r="AN396" s="5" t="s">
        <v>12</v>
      </c>
      <c r="AO396" s="5" t="s">
        <v>11</v>
      </c>
      <c r="AP396" s="5" t="s">
        <v>11</v>
      </c>
      <c r="AQ396" s="5" t="s">
        <v>53</v>
      </c>
      <c r="AR396" s="5" t="s">
        <v>52</v>
      </c>
    </row>
    <row r="397" spans="1:44" ht="31.5" x14ac:dyDescent="0.25">
      <c r="A397" s="10">
        <v>46096</v>
      </c>
      <c r="B397" s="5" t="s">
        <v>1232</v>
      </c>
      <c r="C397" s="5" t="s">
        <v>2820</v>
      </c>
      <c r="D397" s="5" t="s">
        <v>11</v>
      </c>
      <c r="E397" s="5" t="s">
        <v>8</v>
      </c>
      <c r="F397" s="5" t="s">
        <v>8</v>
      </c>
      <c r="G397" s="5" t="s">
        <v>3103</v>
      </c>
      <c r="H397" s="5" t="s">
        <v>4488</v>
      </c>
      <c r="I397" s="6" t="str">
        <f>HYPERLINK("http://maps.yandex.ru/?ll=39.843685,47.21&amp;spn=0.011598,0.004531&amp;z=17&amp;l=map&amp;pt=39.843685,47.21", "47.217//39.843685")</f>
        <v>47.217//39.843685</v>
      </c>
      <c r="J397" s="5" t="s">
        <v>64</v>
      </c>
      <c r="K397" s="6" t="str">
        <f>HYPERLINK("http://maps.yandex.ru/?ll=39.547405,45.21233&amp;spn=0.011598,0.004531&amp;z=17&amp;l=map&amp;pt=39.547405,45.21233", "45.212334//39.547405")</f>
        <v>45.212334//39.547405</v>
      </c>
      <c r="L397" s="5" t="s">
        <v>88</v>
      </c>
      <c r="M397" s="5" t="s">
        <v>1434</v>
      </c>
      <c r="N397" s="5" t="s">
        <v>474</v>
      </c>
      <c r="O397" s="5" t="s">
        <v>3420</v>
      </c>
      <c r="P397" s="5">
        <v>62</v>
      </c>
      <c r="Q397" s="5">
        <v>22</v>
      </c>
      <c r="R397" s="5">
        <v>16</v>
      </c>
      <c r="S397" s="5">
        <v>1680.845</v>
      </c>
      <c r="T397" s="5" t="s">
        <v>1517</v>
      </c>
      <c r="U397" s="5" t="s">
        <v>4489</v>
      </c>
      <c r="V397" s="5" t="s">
        <v>4490</v>
      </c>
      <c r="W397" s="5">
        <v>70.040000000000006</v>
      </c>
      <c r="X397" s="5">
        <v>112.85</v>
      </c>
      <c r="Y397" s="5">
        <v>176</v>
      </c>
      <c r="Z397" s="5" t="s">
        <v>2821</v>
      </c>
      <c r="AA397" s="5" t="s">
        <v>2541</v>
      </c>
      <c r="AB397" s="5" t="s">
        <v>19</v>
      </c>
      <c r="AC397" s="5" t="s">
        <v>19</v>
      </c>
      <c r="AD397" s="5" t="s">
        <v>19</v>
      </c>
      <c r="AE397" s="5" t="s">
        <v>2769</v>
      </c>
      <c r="AF397" s="5" t="s">
        <v>4491</v>
      </c>
      <c r="AG397" s="5">
        <v>86</v>
      </c>
      <c r="AH397" s="5">
        <v>0</v>
      </c>
      <c r="AI397" s="5">
        <v>86</v>
      </c>
      <c r="AJ397" s="5">
        <v>27.48</v>
      </c>
      <c r="AK397" s="5">
        <v>27.48</v>
      </c>
      <c r="AL397" s="5" t="s">
        <v>12</v>
      </c>
      <c r="AM397" s="5" t="s">
        <v>12</v>
      </c>
      <c r="AN397" s="5" t="s">
        <v>12</v>
      </c>
      <c r="AO397" s="5" t="s">
        <v>11</v>
      </c>
      <c r="AP397" s="5" t="s">
        <v>11</v>
      </c>
      <c r="AQ397" s="5" t="s">
        <v>53</v>
      </c>
      <c r="AR397" s="5" t="s">
        <v>52</v>
      </c>
    </row>
    <row r="398" spans="1:44" ht="31.5" x14ac:dyDescent="0.25">
      <c r="A398" s="10">
        <v>46096</v>
      </c>
      <c r="B398" s="5" t="s">
        <v>1231</v>
      </c>
      <c r="C398" s="5" t="s">
        <v>2822</v>
      </c>
      <c r="D398" s="5" t="s">
        <v>11</v>
      </c>
      <c r="E398" s="5" t="s">
        <v>8</v>
      </c>
      <c r="F398" s="5" t="s">
        <v>8</v>
      </c>
      <c r="G398" s="5" t="s">
        <v>3103</v>
      </c>
      <c r="H398" s="5" t="s">
        <v>4492</v>
      </c>
      <c r="I398" s="6" t="str">
        <f>HYPERLINK("http://maps.yandex.ru/?ll=48.28932,53.1230&amp;spn=0.011598,0.004531&amp;z=17&amp;l=map&amp;pt=48.28932,53.1230", "53.12306//48.28932")</f>
        <v>53.12306//48.28932</v>
      </c>
      <c r="J398" s="5" t="s">
        <v>76</v>
      </c>
      <c r="K398" s="6" t="str">
        <f>HYPERLINK("http://maps.yandex.ru/?ll=50.152103,53.08538&amp;spn=0.011598,0.004531&amp;z=17&amp;l=map&amp;pt=50.152103,53.08538", "53.085384//50.152103")</f>
        <v>53.085384//50.152103</v>
      </c>
      <c r="L398" s="5" t="s">
        <v>76</v>
      </c>
      <c r="M398" s="5" t="s">
        <v>447</v>
      </c>
      <c r="N398" s="5" t="s">
        <v>908</v>
      </c>
      <c r="O398" s="5" t="s">
        <v>279</v>
      </c>
      <c r="P398" s="5">
        <v>24</v>
      </c>
      <c r="Q398" s="5">
        <v>45</v>
      </c>
      <c r="R398" s="5">
        <v>31</v>
      </c>
      <c r="S398" s="5">
        <v>488.71699999999998</v>
      </c>
      <c r="T398" s="5" t="s">
        <v>1405</v>
      </c>
      <c r="U398" s="5" t="s">
        <v>4493</v>
      </c>
      <c r="V398" s="5" t="s">
        <v>4494</v>
      </c>
      <c r="W398" s="5">
        <v>20.36</v>
      </c>
      <c r="X398" s="5">
        <v>86.44</v>
      </c>
      <c r="Y398" s="5">
        <v>146</v>
      </c>
      <c r="Z398" s="5" t="s">
        <v>2824</v>
      </c>
      <c r="AA398" s="5" t="s">
        <v>3672</v>
      </c>
      <c r="AB398" s="5" t="s">
        <v>19</v>
      </c>
      <c r="AC398" s="5" t="s">
        <v>19</v>
      </c>
      <c r="AD398" s="5" t="s">
        <v>19</v>
      </c>
      <c r="AE398" s="5" t="s">
        <v>4495</v>
      </c>
      <c r="AF398" s="5" t="s">
        <v>4496</v>
      </c>
      <c r="AG398" s="5">
        <v>63</v>
      </c>
      <c r="AH398" s="5">
        <v>2</v>
      </c>
      <c r="AI398" s="5">
        <v>61</v>
      </c>
      <c r="AJ398" s="5">
        <v>28.77</v>
      </c>
      <c r="AK398" s="5">
        <v>27.85</v>
      </c>
      <c r="AL398" s="5" t="s">
        <v>12</v>
      </c>
      <c r="AM398" s="5" t="s">
        <v>12</v>
      </c>
      <c r="AN398" s="5" t="s">
        <v>12</v>
      </c>
      <c r="AO398" s="5" t="s">
        <v>11</v>
      </c>
      <c r="AP398" s="5" t="s">
        <v>11</v>
      </c>
      <c r="AQ398" s="5" t="s">
        <v>53</v>
      </c>
      <c r="AR398" s="5" t="s">
        <v>52</v>
      </c>
    </row>
    <row r="399" spans="1:44" ht="31.5" x14ac:dyDescent="0.25">
      <c r="A399" s="10">
        <v>46096</v>
      </c>
      <c r="B399" s="5" t="s">
        <v>1230</v>
      </c>
      <c r="C399" s="5" t="s">
        <v>2826</v>
      </c>
      <c r="D399" s="5" t="s">
        <v>11</v>
      </c>
      <c r="E399" s="5" t="s">
        <v>6</v>
      </c>
      <c r="F399" s="5" t="s">
        <v>6</v>
      </c>
      <c r="G399" s="5" t="s">
        <v>3103</v>
      </c>
      <c r="H399" s="5" t="s">
        <v>4497</v>
      </c>
      <c r="I399" s="6" t="str">
        <f>HYPERLINK("http://maps.yandex.ru/?ll=44.670258,48.1399&amp;spn=0.011598,0.004531&amp;z=17&amp;l=map&amp;pt=44.670258,48.1399", "48.13999//44.670258")</f>
        <v>48.13999//44.670258</v>
      </c>
      <c r="J399" s="5" t="s">
        <v>95</v>
      </c>
      <c r="K399" s="6" t="str">
        <f>HYPERLINK("http://maps.yandex.ru/?ll=43.02072,44.23537&amp;spn=0.011598,0.004531&amp;z=17&amp;l=map&amp;pt=43.02072,44.23537", "44.235374//43.02072")</f>
        <v>44.235374//43.02072</v>
      </c>
      <c r="L399" s="5" t="s">
        <v>208</v>
      </c>
      <c r="M399" s="5" t="s">
        <v>244</v>
      </c>
      <c r="N399" s="5" t="s">
        <v>1132</v>
      </c>
      <c r="O399" s="5" t="s">
        <v>1204</v>
      </c>
      <c r="P399" s="5">
        <v>36</v>
      </c>
      <c r="Q399" s="5">
        <v>14</v>
      </c>
      <c r="R399" s="5">
        <v>50</v>
      </c>
      <c r="S399" s="5">
        <v>603.23</v>
      </c>
      <c r="T399" s="5" t="s">
        <v>1576</v>
      </c>
      <c r="U399" s="5" t="s">
        <v>4498</v>
      </c>
      <c r="V399" s="5" t="s">
        <v>4499</v>
      </c>
      <c r="W399" s="5">
        <v>25.13</v>
      </c>
      <c r="X399" s="5">
        <v>69.06</v>
      </c>
      <c r="Y399" s="5">
        <v>129</v>
      </c>
      <c r="Z399" s="5" t="s">
        <v>2503</v>
      </c>
      <c r="AA399" s="5" t="s">
        <v>3672</v>
      </c>
      <c r="AB399" s="5" t="s">
        <v>19</v>
      </c>
      <c r="AC399" s="5" t="s">
        <v>19</v>
      </c>
      <c r="AD399" s="5" t="s">
        <v>19</v>
      </c>
      <c r="AE399" s="5" t="s">
        <v>2653</v>
      </c>
      <c r="AF399" s="5" t="s">
        <v>4500</v>
      </c>
      <c r="AG399" s="5">
        <v>232</v>
      </c>
      <c r="AH399" s="5">
        <v>1</v>
      </c>
      <c r="AI399" s="5">
        <v>231</v>
      </c>
      <c r="AJ399" s="5">
        <v>37.85</v>
      </c>
      <c r="AK399" s="5">
        <v>37.68</v>
      </c>
      <c r="AL399" s="5" t="s">
        <v>12</v>
      </c>
      <c r="AM399" s="5" t="s">
        <v>12</v>
      </c>
      <c r="AN399" s="5" t="s">
        <v>12</v>
      </c>
      <c r="AO399" s="5" t="s">
        <v>11</v>
      </c>
      <c r="AP399" s="5" t="s">
        <v>11</v>
      </c>
      <c r="AQ399" s="5" t="s">
        <v>53</v>
      </c>
      <c r="AR399" s="5" t="s">
        <v>52</v>
      </c>
    </row>
    <row r="400" spans="1:44" ht="15.75" x14ac:dyDescent="0.25">
      <c r="A400" s="10">
        <v>46096</v>
      </c>
      <c r="B400" s="5" t="s">
        <v>1228</v>
      </c>
      <c r="C400" s="5" t="s">
        <v>2827</v>
      </c>
      <c r="D400" s="5" t="s">
        <v>11</v>
      </c>
      <c r="E400" s="5" t="s">
        <v>6</v>
      </c>
      <c r="F400" s="5" t="s">
        <v>6</v>
      </c>
      <c r="G400" s="5" t="s">
        <v>11</v>
      </c>
      <c r="H400" s="5" t="s">
        <v>11</v>
      </c>
      <c r="I400" s="6" t="str">
        <f>HYPERLINK("http://maps.yandex.ru/?ll=,&amp;spn=0.011598,0.004531&amp;z=17&amp;l=map&amp;pt=,", "")</f>
        <v/>
      </c>
      <c r="J400" s="5" t="s">
        <v>84</v>
      </c>
      <c r="K400" s="6" t="str">
        <f>HYPERLINK("http://maps.yandex.ru/?ll=,&amp;spn=0.011598,0.004531&amp;z=17&amp;l=map&amp;pt=,", "")</f>
        <v/>
      </c>
      <c r="L400" s="5" t="s">
        <v>84</v>
      </c>
      <c r="M400" s="5" t="s">
        <v>13</v>
      </c>
      <c r="N400" s="5" t="s">
        <v>13</v>
      </c>
      <c r="O400" s="5" t="s">
        <v>58</v>
      </c>
      <c r="P400" s="5">
        <v>0</v>
      </c>
      <c r="Q400" s="5">
        <v>0</v>
      </c>
      <c r="R400" s="5">
        <v>100</v>
      </c>
      <c r="S400" s="5">
        <v>0</v>
      </c>
      <c r="T400" s="5" t="s">
        <v>12</v>
      </c>
      <c r="U400" s="5" t="s">
        <v>12</v>
      </c>
      <c r="V400" s="5" t="s">
        <v>12</v>
      </c>
      <c r="W400" s="5">
        <v>0</v>
      </c>
      <c r="X400" s="5">
        <v>0</v>
      </c>
      <c r="Y400" s="5">
        <v>0</v>
      </c>
      <c r="Z400" s="5" t="s">
        <v>12</v>
      </c>
      <c r="AA400" s="5" t="s">
        <v>12</v>
      </c>
      <c r="AB400" s="5" t="s">
        <v>19</v>
      </c>
      <c r="AC400" s="5" t="s">
        <v>19</v>
      </c>
      <c r="AD400" s="5" t="s">
        <v>19</v>
      </c>
      <c r="AE400" s="5" t="s">
        <v>12</v>
      </c>
      <c r="AF400" s="5" t="s">
        <v>12</v>
      </c>
      <c r="AG400" s="5"/>
      <c r="AH400" s="5">
        <v>0</v>
      </c>
      <c r="AI400" s="5"/>
      <c r="AJ400" s="5"/>
      <c r="AK400" s="5"/>
      <c r="AL400" s="5" t="s">
        <v>12</v>
      </c>
      <c r="AM400" s="5" t="s">
        <v>12</v>
      </c>
      <c r="AN400" s="5" t="s">
        <v>12</v>
      </c>
      <c r="AO400" s="5" t="s">
        <v>11</v>
      </c>
      <c r="AP400" s="5" t="s">
        <v>11</v>
      </c>
      <c r="AQ400" s="5" t="s">
        <v>53</v>
      </c>
      <c r="AR400" s="5" t="s">
        <v>52</v>
      </c>
    </row>
    <row r="401" spans="1:44" ht="15.75" x14ac:dyDescent="0.25">
      <c r="A401" s="10">
        <v>46096</v>
      </c>
      <c r="B401" s="5" t="s">
        <v>1225</v>
      </c>
      <c r="C401" s="5" t="s">
        <v>2828</v>
      </c>
      <c r="D401" s="5" t="s">
        <v>11</v>
      </c>
      <c r="E401" s="5" t="s">
        <v>6</v>
      </c>
      <c r="F401" s="5" t="s">
        <v>6</v>
      </c>
      <c r="G401" s="5" t="s">
        <v>11</v>
      </c>
      <c r="H401" s="5" t="s">
        <v>11</v>
      </c>
      <c r="I401" s="6" t="str">
        <f>HYPERLINK("http://maps.yandex.ru/?ll=,&amp;spn=0.011598,0.004531&amp;z=17&amp;l=map&amp;pt=,", "")</f>
        <v/>
      </c>
      <c r="J401" s="5" t="s">
        <v>84</v>
      </c>
      <c r="K401" s="6" t="str">
        <f>HYPERLINK("http://maps.yandex.ru/?ll=,&amp;spn=0.011598,0.004531&amp;z=17&amp;l=map&amp;pt=,", "")</f>
        <v/>
      </c>
      <c r="L401" s="5" t="s">
        <v>84</v>
      </c>
      <c r="M401" s="5" t="s">
        <v>13</v>
      </c>
      <c r="N401" s="5" t="s">
        <v>58</v>
      </c>
      <c r="O401" s="5" t="s">
        <v>13</v>
      </c>
      <c r="P401" s="5">
        <v>0</v>
      </c>
      <c r="Q401" s="5">
        <v>100</v>
      </c>
      <c r="R401" s="5">
        <v>0</v>
      </c>
      <c r="S401" s="5">
        <v>0</v>
      </c>
      <c r="T401" s="5" t="s">
        <v>1673</v>
      </c>
      <c r="U401" s="5" t="s">
        <v>4501</v>
      </c>
      <c r="V401" s="5" t="s">
        <v>2829</v>
      </c>
      <c r="W401" s="5">
        <v>0</v>
      </c>
      <c r="X401" s="5">
        <v>0</v>
      </c>
      <c r="Y401" s="5">
        <v>0</v>
      </c>
      <c r="Z401" s="5" t="s">
        <v>2507</v>
      </c>
      <c r="AA401" s="5" t="s">
        <v>3841</v>
      </c>
      <c r="AB401" s="5" t="s">
        <v>19</v>
      </c>
      <c r="AC401" s="5" t="s">
        <v>19</v>
      </c>
      <c r="AD401" s="5" t="s">
        <v>19</v>
      </c>
      <c r="AE401" s="5" t="s">
        <v>1746</v>
      </c>
      <c r="AF401" s="5" t="s">
        <v>12</v>
      </c>
      <c r="AG401" s="5">
        <v>7</v>
      </c>
      <c r="AH401" s="5">
        <v>7</v>
      </c>
      <c r="AI401" s="5">
        <v>0</v>
      </c>
      <c r="AJ401" s="5">
        <v>700</v>
      </c>
      <c r="AK401" s="5">
        <v>0</v>
      </c>
      <c r="AL401" s="5" t="s">
        <v>12</v>
      </c>
      <c r="AM401" s="5" t="s">
        <v>12</v>
      </c>
      <c r="AN401" s="5" t="s">
        <v>12</v>
      </c>
      <c r="AO401" s="5" t="s">
        <v>11</v>
      </c>
      <c r="AP401" s="5" t="s">
        <v>11</v>
      </c>
      <c r="AQ401" s="5" t="s">
        <v>53</v>
      </c>
      <c r="AR401" s="5" t="s">
        <v>52</v>
      </c>
    </row>
    <row r="402" spans="1:44" ht="31.5" x14ac:dyDescent="0.25">
      <c r="A402" s="10">
        <v>46096</v>
      </c>
      <c r="B402" s="5" t="s">
        <v>1224</v>
      </c>
      <c r="C402" s="5" t="s">
        <v>2830</v>
      </c>
      <c r="D402" s="5" t="s">
        <v>11</v>
      </c>
      <c r="E402" s="5" t="s">
        <v>6</v>
      </c>
      <c r="F402" s="5" t="s">
        <v>6</v>
      </c>
      <c r="G402" s="5" t="s">
        <v>4502</v>
      </c>
      <c r="H402" s="5" t="s">
        <v>4503</v>
      </c>
      <c r="I402" s="6" t="str">
        <f>HYPERLINK("http://maps.yandex.ru/?ll=38.892998,52.37632&amp;spn=0.011598,0.004531&amp;z=17&amp;l=map&amp;pt=38.892998,52.37632", "52.376328//38.892998")</f>
        <v>52.376328//38.892998</v>
      </c>
      <c r="J402" s="5" t="s">
        <v>151</v>
      </c>
      <c r="K402" s="6" t="str">
        <f>HYPERLINK("http://maps.yandex.ru/?ll=37.23195,55.7737&amp;spn=0.011598,0.004531&amp;z=17&amp;l=map&amp;pt=37.23195,55.7737", "55.77376//37.23195")</f>
        <v>55.77376//37.23195</v>
      </c>
      <c r="L402" s="5" t="s">
        <v>56</v>
      </c>
      <c r="M402" s="5" t="s">
        <v>1454</v>
      </c>
      <c r="N402" s="5" t="s">
        <v>1503</v>
      </c>
      <c r="O402" s="5" t="s">
        <v>1043</v>
      </c>
      <c r="P402" s="5">
        <v>21</v>
      </c>
      <c r="Q402" s="5">
        <v>62</v>
      </c>
      <c r="R402" s="5">
        <v>17</v>
      </c>
      <c r="S402" s="5">
        <v>352.916</v>
      </c>
      <c r="T402" s="5" t="s">
        <v>1802</v>
      </c>
      <c r="U402" s="5" t="s">
        <v>4504</v>
      </c>
      <c r="V402" s="5" t="s">
        <v>4505</v>
      </c>
      <c r="W402" s="5">
        <v>14.71</v>
      </c>
      <c r="X402" s="5">
        <v>70.88</v>
      </c>
      <c r="Y402" s="5">
        <v>217</v>
      </c>
      <c r="Z402" s="5" t="s">
        <v>1802</v>
      </c>
      <c r="AA402" s="5" t="s">
        <v>1680</v>
      </c>
      <c r="AB402" s="5" t="s">
        <v>4506</v>
      </c>
      <c r="AC402" s="5" t="s">
        <v>1673</v>
      </c>
      <c r="AD402" s="5" t="s">
        <v>19</v>
      </c>
      <c r="AE402" s="5" t="s">
        <v>1823</v>
      </c>
      <c r="AF402" s="5" t="s">
        <v>2027</v>
      </c>
      <c r="AG402" s="5">
        <v>130</v>
      </c>
      <c r="AH402" s="5">
        <v>1</v>
      </c>
      <c r="AI402" s="5">
        <v>129</v>
      </c>
      <c r="AJ402" s="5">
        <v>28.02</v>
      </c>
      <c r="AK402" s="5">
        <v>27.8</v>
      </c>
      <c r="AL402" s="5" t="s">
        <v>12</v>
      </c>
      <c r="AM402" s="5" t="s">
        <v>12</v>
      </c>
      <c r="AN402" s="5" t="s">
        <v>12</v>
      </c>
      <c r="AO402" s="5" t="s">
        <v>11</v>
      </c>
      <c r="AP402" s="5" t="s">
        <v>11</v>
      </c>
      <c r="AQ402" s="5" t="s">
        <v>53</v>
      </c>
      <c r="AR402" s="5" t="s">
        <v>52</v>
      </c>
    </row>
    <row r="403" spans="1:44" ht="31.5" x14ac:dyDescent="0.25">
      <c r="A403" s="10">
        <v>46096</v>
      </c>
      <c r="B403" s="5" t="s">
        <v>1223</v>
      </c>
      <c r="C403" s="5" t="s">
        <v>2831</v>
      </c>
      <c r="D403" s="5" t="s">
        <v>11</v>
      </c>
      <c r="E403" s="5" t="s">
        <v>6</v>
      </c>
      <c r="F403" s="5" t="s">
        <v>6</v>
      </c>
      <c r="G403" s="5" t="s">
        <v>4507</v>
      </c>
      <c r="H403" s="5" t="s">
        <v>4508</v>
      </c>
      <c r="I403" s="6" t="str">
        <f>HYPERLINK("http://maps.yandex.ru/?ll=37.955975,55.01162&amp;spn=0.011598,0.004531&amp;z=17&amp;l=map&amp;pt=37.955975,55.01162", "55.011623//37.955975")</f>
        <v>55.011623//37.955975</v>
      </c>
      <c r="J403" s="5" t="s">
        <v>56</v>
      </c>
      <c r="K403" s="6" t="str">
        <f>HYPERLINK("http://maps.yandex.ru/?ll=39.525307,52.6143&amp;spn=0.011598,0.004531&amp;z=17&amp;l=map&amp;pt=39.525307,52.6143", "52.61435//39.525307")</f>
        <v>52.61435//39.525307</v>
      </c>
      <c r="L403" s="5" t="s">
        <v>151</v>
      </c>
      <c r="M403" s="5" t="s">
        <v>1422</v>
      </c>
      <c r="N403" s="5" t="s">
        <v>4218</v>
      </c>
      <c r="O403" s="5" t="s">
        <v>1384</v>
      </c>
      <c r="P403" s="5">
        <v>15</v>
      </c>
      <c r="Q403" s="5">
        <v>75</v>
      </c>
      <c r="R403" s="5">
        <v>11</v>
      </c>
      <c r="S403" s="5">
        <v>295.40699999999998</v>
      </c>
      <c r="T403" s="5" t="s">
        <v>2232</v>
      </c>
      <c r="U403" s="5" t="s">
        <v>4509</v>
      </c>
      <c r="V403" s="5" t="s">
        <v>4510</v>
      </c>
      <c r="W403" s="5">
        <v>12.31</v>
      </c>
      <c r="X403" s="5">
        <v>84.37</v>
      </c>
      <c r="Y403" s="5">
        <v>126</v>
      </c>
      <c r="Z403" s="5" t="s">
        <v>2832</v>
      </c>
      <c r="AA403" s="5" t="s">
        <v>3934</v>
      </c>
      <c r="AB403" s="5" t="s">
        <v>19</v>
      </c>
      <c r="AC403" s="5" t="s">
        <v>19</v>
      </c>
      <c r="AD403" s="5" t="s">
        <v>19</v>
      </c>
      <c r="AE403" s="5" t="s">
        <v>2033</v>
      </c>
      <c r="AF403" s="5" t="s">
        <v>4511</v>
      </c>
      <c r="AG403" s="5">
        <v>124</v>
      </c>
      <c r="AH403" s="5">
        <v>0</v>
      </c>
      <c r="AI403" s="5">
        <v>124</v>
      </c>
      <c r="AJ403" s="5">
        <v>33.51</v>
      </c>
      <c r="AK403" s="5">
        <v>33.51</v>
      </c>
      <c r="AL403" s="5" t="s">
        <v>12</v>
      </c>
      <c r="AM403" s="5" t="s">
        <v>12</v>
      </c>
      <c r="AN403" s="5" t="s">
        <v>12</v>
      </c>
      <c r="AO403" s="5" t="s">
        <v>11</v>
      </c>
      <c r="AP403" s="5" t="s">
        <v>11</v>
      </c>
      <c r="AQ403" s="5" t="s">
        <v>53</v>
      </c>
      <c r="AR403" s="5" t="s">
        <v>52</v>
      </c>
    </row>
    <row r="404" spans="1:44" ht="31.5" x14ac:dyDescent="0.25">
      <c r="A404" s="10">
        <v>46096</v>
      </c>
      <c r="B404" s="5" t="s">
        <v>1222</v>
      </c>
      <c r="C404" s="5" t="s">
        <v>2833</v>
      </c>
      <c r="D404" s="5" t="s">
        <v>11</v>
      </c>
      <c r="E404" s="5" t="s">
        <v>0</v>
      </c>
      <c r="F404" s="5" t="s">
        <v>0</v>
      </c>
      <c r="G404" s="5" t="s">
        <v>3103</v>
      </c>
      <c r="H404" s="5" t="s">
        <v>3121</v>
      </c>
      <c r="I404" s="6" t="str">
        <f>HYPERLINK("http://maps.yandex.ru/?ll=38.11846,55.3711&amp;spn=0.011598,0.004531&amp;z=17&amp;l=map&amp;pt=38.11846,55.3711", "55.37112//38.11846")</f>
        <v>55.37112//38.11846</v>
      </c>
      <c r="J404" s="5" t="s">
        <v>56</v>
      </c>
      <c r="K404" s="6" t="str">
        <f>HYPERLINK("http://maps.yandex.ru/?ll=45.207603,53.6550&amp;spn=0.011598,0.004531&amp;z=17&amp;l=map&amp;pt=45.207603,53.6550", "53.65501//45.207603")</f>
        <v>53.65501//45.207603</v>
      </c>
      <c r="L404" s="5" t="s">
        <v>94</v>
      </c>
      <c r="M404" s="5" t="s">
        <v>1229</v>
      </c>
      <c r="N404" s="5" t="s">
        <v>1085</v>
      </c>
      <c r="O404" s="5" t="s">
        <v>1398</v>
      </c>
      <c r="P404" s="5">
        <v>30</v>
      </c>
      <c r="Q404" s="5">
        <v>19</v>
      </c>
      <c r="R404" s="5">
        <v>51</v>
      </c>
      <c r="S404" s="5">
        <v>305.66300000000001</v>
      </c>
      <c r="T404" s="5" t="s">
        <v>12</v>
      </c>
      <c r="U404" s="5" t="s">
        <v>12</v>
      </c>
      <c r="V404" s="5" t="s">
        <v>12</v>
      </c>
      <c r="W404" s="5">
        <v>12.74</v>
      </c>
      <c r="X404" s="5">
        <v>42.24</v>
      </c>
      <c r="Y404" s="5">
        <v>116</v>
      </c>
      <c r="Z404" s="5" t="s">
        <v>1579</v>
      </c>
      <c r="AA404" s="5" t="s">
        <v>1515</v>
      </c>
      <c r="AB404" s="5" t="s">
        <v>2487</v>
      </c>
      <c r="AC404" s="5" t="s">
        <v>1673</v>
      </c>
      <c r="AD404" s="5" t="s">
        <v>19</v>
      </c>
      <c r="AE404" s="5" t="s">
        <v>1591</v>
      </c>
      <c r="AF404" s="5" t="s">
        <v>12</v>
      </c>
      <c r="AG404" s="5"/>
      <c r="AH404" s="5"/>
      <c r="AI404" s="5"/>
      <c r="AJ404" s="5"/>
      <c r="AK404" s="5"/>
      <c r="AL404" s="5" t="s">
        <v>4512</v>
      </c>
      <c r="AM404" s="5" t="s">
        <v>4513</v>
      </c>
      <c r="AN404" s="5" t="s">
        <v>2365</v>
      </c>
      <c r="AO404" s="5" t="s">
        <v>115</v>
      </c>
      <c r="AP404" s="5" t="s">
        <v>114</v>
      </c>
      <c r="AQ404" s="5" t="s">
        <v>99</v>
      </c>
      <c r="AR404" s="5" t="s">
        <v>98</v>
      </c>
    </row>
    <row r="405" spans="1:44" ht="31.5" x14ac:dyDescent="0.25">
      <c r="A405" s="10">
        <v>46096</v>
      </c>
      <c r="B405" s="5" t="s">
        <v>1221</v>
      </c>
      <c r="C405" s="5" t="s">
        <v>2834</v>
      </c>
      <c r="D405" s="5" t="s">
        <v>11</v>
      </c>
      <c r="E405" s="5" t="s">
        <v>0</v>
      </c>
      <c r="F405" s="5" t="s">
        <v>0</v>
      </c>
      <c r="G405" s="5" t="s">
        <v>3103</v>
      </c>
      <c r="H405" s="5" t="s">
        <v>4514</v>
      </c>
      <c r="I405" s="6" t="str">
        <f>HYPERLINK("http://maps.yandex.ru/?ll=30.398079,59.9004&amp;spn=0.011598,0.004531&amp;z=17&amp;l=map&amp;pt=30.398079,59.9004", "59.90047//30.398079")</f>
        <v>59.90047//30.398079</v>
      </c>
      <c r="J405" s="5" t="s">
        <v>23</v>
      </c>
      <c r="K405" s="6" t="str">
        <f>HYPERLINK("http://maps.yandex.ru/?ll=30.652256,59.64248&amp;spn=0.011598,0.004531&amp;z=17&amp;l=map&amp;pt=30.652256,59.64248", "59.642483//30.652256")</f>
        <v>59.642483//30.652256</v>
      </c>
      <c r="L405" s="5" t="s">
        <v>22</v>
      </c>
      <c r="M405" s="5" t="s">
        <v>33</v>
      </c>
      <c r="N405" s="5" t="s">
        <v>3581</v>
      </c>
      <c r="O405" s="5" t="s">
        <v>13</v>
      </c>
      <c r="P405" s="5">
        <v>4</v>
      </c>
      <c r="Q405" s="5">
        <v>96</v>
      </c>
      <c r="R405" s="5">
        <v>0</v>
      </c>
      <c r="S405" s="5">
        <v>44.000999999999998</v>
      </c>
      <c r="T405" s="5" t="s">
        <v>12</v>
      </c>
      <c r="U405" s="5" t="s">
        <v>12</v>
      </c>
      <c r="V405" s="5" t="s">
        <v>12</v>
      </c>
      <c r="W405" s="5">
        <v>1.83</v>
      </c>
      <c r="X405" s="5">
        <v>44.87</v>
      </c>
      <c r="Y405" s="5">
        <v>89</v>
      </c>
      <c r="Z405" s="5" t="s">
        <v>1600</v>
      </c>
      <c r="AA405" s="5" t="s">
        <v>2467</v>
      </c>
      <c r="AB405" s="5" t="s">
        <v>19</v>
      </c>
      <c r="AC405" s="5" t="s">
        <v>19</v>
      </c>
      <c r="AD405" s="5" t="s">
        <v>19</v>
      </c>
      <c r="AE405" s="5" t="s">
        <v>3008</v>
      </c>
      <c r="AF405" s="5" t="s">
        <v>12</v>
      </c>
      <c r="AG405" s="5"/>
      <c r="AH405" s="5"/>
      <c r="AI405" s="5"/>
      <c r="AJ405" s="5"/>
      <c r="AK405" s="5"/>
      <c r="AL405" s="5" t="s">
        <v>12</v>
      </c>
      <c r="AM405" s="5" t="s">
        <v>12</v>
      </c>
      <c r="AN405" s="5" t="s">
        <v>12</v>
      </c>
      <c r="AO405" s="5" t="s">
        <v>115</v>
      </c>
      <c r="AP405" s="5" t="s">
        <v>114</v>
      </c>
      <c r="AQ405" s="5" t="s">
        <v>99</v>
      </c>
      <c r="AR405" s="5" t="s">
        <v>98</v>
      </c>
    </row>
    <row r="406" spans="1:44" ht="31.5" x14ac:dyDescent="0.25">
      <c r="A406" s="10">
        <v>46096</v>
      </c>
      <c r="B406" s="5" t="s">
        <v>1219</v>
      </c>
      <c r="C406" s="5" t="s">
        <v>2836</v>
      </c>
      <c r="D406" s="5" t="s">
        <v>11</v>
      </c>
      <c r="E406" s="5" t="s">
        <v>8</v>
      </c>
      <c r="F406" s="5" t="s">
        <v>8</v>
      </c>
      <c r="G406" s="5" t="s">
        <v>4515</v>
      </c>
      <c r="H406" s="5" t="s">
        <v>3159</v>
      </c>
      <c r="I406" s="6" t="str">
        <f>HYPERLINK("http://maps.yandex.ru/?ll=39.202625,52.14488&amp;spn=0.011598,0.004531&amp;z=17&amp;l=map&amp;pt=39.202625,52.14488", "52.144882//39.202625")</f>
        <v>52.144882//39.202625</v>
      </c>
      <c r="J406" s="5" t="s">
        <v>151</v>
      </c>
      <c r="K406" s="6" t="str">
        <f>HYPERLINK("http://maps.yandex.ru/?ll=35.30047,56.9719&amp;spn=0.011598,0.004531&amp;z=17&amp;l=map&amp;pt=35.30047,56.9719", "56.97193//35.30047")</f>
        <v>56.97193//35.30047</v>
      </c>
      <c r="L406" s="5" t="s">
        <v>50</v>
      </c>
      <c r="M406" s="5" t="s">
        <v>3420</v>
      </c>
      <c r="N406" s="5" t="s">
        <v>1364</v>
      </c>
      <c r="O406" s="5" t="s">
        <v>1150</v>
      </c>
      <c r="P406" s="5">
        <v>16</v>
      </c>
      <c r="Q406" s="5">
        <v>54</v>
      </c>
      <c r="R406" s="5">
        <v>30</v>
      </c>
      <c r="S406" s="5">
        <v>270.49799999999999</v>
      </c>
      <c r="T406" s="5" t="s">
        <v>409</v>
      </c>
      <c r="U406" s="5" t="s">
        <v>4516</v>
      </c>
      <c r="V406" s="5" t="s">
        <v>4517</v>
      </c>
      <c r="W406" s="5">
        <v>11.27</v>
      </c>
      <c r="X406" s="5">
        <v>70.45</v>
      </c>
      <c r="Y406" s="5">
        <v>106</v>
      </c>
      <c r="Z406" s="5" t="s">
        <v>2837</v>
      </c>
      <c r="AA406" s="5" t="s">
        <v>4518</v>
      </c>
      <c r="AB406" s="5" t="s">
        <v>2175</v>
      </c>
      <c r="AC406" s="5" t="s">
        <v>1673</v>
      </c>
      <c r="AD406" s="5" t="s">
        <v>19</v>
      </c>
      <c r="AE406" s="5" t="s">
        <v>1857</v>
      </c>
      <c r="AF406" s="5" t="s">
        <v>4519</v>
      </c>
      <c r="AG406" s="5">
        <v>199</v>
      </c>
      <c r="AH406" s="5">
        <v>2</v>
      </c>
      <c r="AI406" s="5">
        <v>197</v>
      </c>
      <c r="AJ406" s="5">
        <v>27.99</v>
      </c>
      <c r="AK406" s="5">
        <v>27.71</v>
      </c>
      <c r="AL406" s="5" t="s">
        <v>12</v>
      </c>
      <c r="AM406" s="5" t="s">
        <v>12</v>
      </c>
      <c r="AN406" s="5" t="s">
        <v>12</v>
      </c>
      <c r="AO406" s="5" t="s">
        <v>11</v>
      </c>
      <c r="AP406" s="5" t="s">
        <v>11</v>
      </c>
      <c r="AQ406" s="5" t="s">
        <v>123</v>
      </c>
      <c r="AR406" s="5" t="s">
        <v>122</v>
      </c>
    </row>
    <row r="407" spans="1:44" ht="31.5" x14ac:dyDescent="0.25">
      <c r="A407" s="10">
        <v>46096</v>
      </c>
      <c r="B407" s="5" t="s">
        <v>1217</v>
      </c>
      <c r="C407" s="5" t="s">
        <v>2838</v>
      </c>
      <c r="D407" s="5" t="s">
        <v>11</v>
      </c>
      <c r="E407" s="5" t="s">
        <v>3</v>
      </c>
      <c r="F407" s="5" t="s">
        <v>3</v>
      </c>
      <c r="G407" s="5" t="s">
        <v>3103</v>
      </c>
      <c r="H407" s="5" t="s">
        <v>4520</v>
      </c>
      <c r="I407" s="6" t="str">
        <f>HYPERLINK("http://maps.yandex.ru/?ll=39.672234,46.57737&amp;spn=0.011598,0.004531&amp;z=17&amp;l=map&amp;pt=39.672234,46.57737", "46.577377//39.672234")</f>
        <v>46.577377//39.672234</v>
      </c>
      <c r="J407" s="5" t="s">
        <v>88</v>
      </c>
      <c r="K407" s="6" t="str">
        <f>HYPERLINK("http://maps.yandex.ru/?ll=38.824226,52.4309&amp;spn=0.011598,0.004531&amp;z=17&amp;l=map&amp;pt=38.824226,52.4309", "52.43093//38.824226")</f>
        <v>52.43093//38.824226</v>
      </c>
      <c r="L407" s="5" t="s">
        <v>151</v>
      </c>
      <c r="M407" s="5" t="s">
        <v>27</v>
      </c>
      <c r="N407" s="5" t="s">
        <v>1383</v>
      </c>
      <c r="O407" s="5" t="s">
        <v>1370</v>
      </c>
      <c r="P407" s="5">
        <v>37</v>
      </c>
      <c r="Q407" s="5">
        <v>56</v>
      </c>
      <c r="R407" s="5">
        <v>7</v>
      </c>
      <c r="S407" s="5">
        <v>683.07299999999998</v>
      </c>
      <c r="T407" s="5" t="s">
        <v>2066</v>
      </c>
      <c r="U407" s="5" t="s">
        <v>4521</v>
      </c>
      <c r="V407" s="5" t="s">
        <v>4522</v>
      </c>
      <c r="W407" s="5">
        <v>28.46</v>
      </c>
      <c r="X407" s="5">
        <v>76.73</v>
      </c>
      <c r="Y407" s="5">
        <v>154</v>
      </c>
      <c r="Z407" s="5" t="s">
        <v>2264</v>
      </c>
      <c r="AA407" s="5" t="s">
        <v>2554</v>
      </c>
      <c r="AB407" s="5" t="s">
        <v>3863</v>
      </c>
      <c r="AC407" s="5" t="s">
        <v>1673</v>
      </c>
      <c r="AD407" s="5" t="s">
        <v>19</v>
      </c>
      <c r="AE407" s="5" t="s">
        <v>4523</v>
      </c>
      <c r="AF407" s="5" t="s">
        <v>4524</v>
      </c>
      <c r="AG407" s="5">
        <v>231</v>
      </c>
      <c r="AH407" s="5">
        <v>2</v>
      </c>
      <c r="AI407" s="5">
        <v>229</v>
      </c>
      <c r="AJ407" s="5">
        <v>31.82</v>
      </c>
      <c r="AK407" s="5">
        <v>31.54</v>
      </c>
      <c r="AL407" s="5" t="s">
        <v>12</v>
      </c>
      <c r="AM407" s="5" t="s">
        <v>12</v>
      </c>
      <c r="AN407" s="5" t="s">
        <v>12</v>
      </c>
      <c r="AO407" s="5" t="s">
        <v>11</v>
      </c>
      <c r="AP407" s="5" t="s">
        <v>11</v>
      </c>
      <c r="AQ407" s="5" t="s">
        <v>123</v>
      </c>
      <c r="AR407" s="5" t="s">
        <v>122</v>
      </c>
    </row>
    <row r="408" spans="1:44" ht="15.75" x14ac:dyDescent="0.25">
      <c r="A408" s="10">
        <v>46096</v>
      </c>
      <c r="B408" s="5" t="s">
        <v>1215</v>
      </c>
      <c r="C408" s="5" t="s">
        <v>2840</v>
      </c>
      <c r="D408" s="5" t="s">
        <v>11</v>
      </c>
      <c r="E408" s="5" t="s">
        <v>8</v>
      </c>
      <c r="F408" s="5" t="s">
        <v>8</v>
      </c>
      <c r="G408" s="5" t="s">
        <v>11</v>
      </c>
      <c r="H408" s="5" t="s">
        <v>11</v>
      </c>
      <c r="I408" s="6" t="str">
        <f>HYPERLINK("http://maps.yandex.ru/?ll=,&amp;spn=0.011598,0.004531&amp;z=17&amp;l=map&amp;pt=,", "")</f>
        <v/>
      </c>
      <c r="J408" s="5" t="s">
        <v>84</v>
      </c>
      <c r="K408" s="6" t="str">
        <f>HYPERLINK("http://maps.yandex.ru/?ll=,&amp;spn=0.011598,0.004531&amp;z=17&amp;l=map&amp;pt=,", "")</f>
        <v/>
      </c>
      <c r="L408" s="5" t="s">
        <v>84</v>
      </c>
      <c r="M408" s="5" t="s">
        <v>13</v>
      </c>
      <c r="N408" s="5" t="s">
        <v>13</v>
      </c>
      <c r="O408" s="5" t="s">
        <v>58</v>
      </c>
      <c r="P408" s="5">
        <v>0</v>
      </c>
      <c r="Q408" s="5">
        <v>0</v>
      </c>
      <c r="R408" s="5">
        <v>100</v>
      </c>
      <c r="S408" s="5">
        <v>0</v>
      </c>
      <c r="T408" s="5" t="s">
        <v>12</v>
      </c>
      <c r="U408" s="5" t="s">
        <v>12</v>
      </c>
      <c r="V408" s="5" t="s">
        <v>12</v>
      </c>
      <c r="W408" s="5">
        <v>0</v>
      </c>
      <c r="X408" s="5">
        <v>0</v>
      </c>
      <c r="Y408" s="5">
        <v>0</v>
      </c>
      <c r="Z408" s="5" t="s">
        <v>12</v>
      </c>
      <c r="AA408" s="5" t="s">
        <v>12</v>
      </c>
      <c r="AB408" s="5" t="s">
        <v>19</v>
      </c>
      <c r="AC408" s="5" t="s">
        <v>19</v>
      </c>
      <c r="AD408" s="5" t="s">
        <v>19</v>
      </c>
      <c r="AE408" s="5" t="s">
        <v>12</v>
      </c>
      <c r="AF408" s="5" t="s">
        <v>12</v>
      </c>
      <c r="AG408" s="5"/>
      <c r="AH408" s="5">
        <v>0</v>
      </c>
      <c r="AI408" s="5"/>
      <c r="AJ408" s="5"/>
      <c r="AK408" s="5"/>
      <c r="AL408" s="5" t="s">
        <v>12</v>
      </c>
      <c r="AM408" s="5" t="s">
        <v>12</v>
      </c>
      <c r="AN408" s="5" t="s">
        <v>12</v>
      </c>
      <c r="AO408" s="5" t="s">
        <v>11</v>
      </c>
      <c r="AP408" s="5" t="s">
        <v>11</v>
      </c>
      <c r="AQ408" s="5" t="s">
        <v>123</v>
      </c>
      <c r="AR408" s="5" t="s">
        <v>122</v>
      </c>
    </row>
    <row r="409" spans="1:44" ht="15.75" x14ac:dyDescent="0.25">
      <c r="A409" s="10">
        <v>46096</v>
      </c>
      <c r="B409" s="5" t="s">
        <v>1214</v>
      </c>
      <c r="C409" s="5" t="s">
        <v>2841</v>
      </c>
      <c r="D409" s="5" t="s">
        <v>11</v>
      </c>
      <c r="E409" s="5" t="s">
        <v>6</v>
      </c>
      <c r="F409" s="5" t="s">
        <v>6</v>
      </c>
      <c r="G409" s="5" t="s">
        <v>11</v>
      </c>
      <c r="H409" s="5" t="s">
        <v>11</v>
      </c>
      <c r="I409" s="6" t="str">
        <f>HYPERLINK("http://maps.yandex.ru/?ll=,&amp;spn=0.011598,0.004531&amp;z=17&amp;l=map&amp;pt=,", "")</f>
        <v/>
      </c>
      <c r="J409" s="5" t="s">
        <v>84</v>
      </c>
      <c r="K409" s="6" t="str">
        <f>HYPERLINK("http://maps.yandex.ru/?ll=,&amp;spn=0.011598,0.004531&amp;z=17&amp;l=map&amp;pt=,", "")</f>
        <v/>
      </c>
      <c r="L409" s="5" t="s">
        <v>84</v>
      </c>
      <c r="M409" s="5" t="s">
        <v>13</v>
      </c>
      <c r="N409" s="5" t="s">
        <v>13</v>
      </c>
      <c r="O409" s="5" t="s">
        <v>58</v>
      </c>
      <c r="P409" s="5">
        <v>0</v>
      </c>
      <c r="Q409" s="5">
        <v>0</v>
      </c>
      <c r="R409" s="5">
        <v>100</v>
      </c>
      <c r="S409" s="5">
        <v>0</v>
      </c>
      <c r="T409" s="5" t="s">
        <v>12</v>
      </c>
      <c r="U409" s="5" t="s">
        <v>12</v>
      </c>
      <c r="V409" s="5" t="s">
        <v>12</v>
      </c>
      <c r="W409" s="5">
        <v>0</v>
      </c>
      <c r="X409" s="5">
        <v>0</v>
      </c>
      <c r="Y409" s="5">
        <v>0</v>
      </c>
      <c r="Z409" s="5" t="s">
        <v>12</v>
      </c>
      <c r="AA409" s="5" t="s">
        <v>12</v>
      </c>
      <c r="AB409" s="5" t="s">
        <v>19</v>
      </c>
      <c r="AC409" s="5" t="s">
        <v>19</v>
      </c>
      <c r="AD409" s="5" t="s">
        <v>19</v>
      </c>
      <c r="AE409" s="5" t="s">
        <v>12</v>
      </c>
      <c r="AF409" s="5" t="s">
        <v>12</v>
      </c>
      <c r="AG409" s="5"/>
      <c r="AH409" s="5">
        <v>0</v>
      </c>
      <c r="AI409" s="5"/>
      <c r="AJ409" s="5"/>
      <c r="AK409" s="5"/>
      <c r="AL409" s="5" t="s">
        <v>12</v>
      </c>
      <c r="AM409" s="5" t="s">
        <v>12</v>
      </c>
      <c r="AN409" s="5" t="s">
        <v>12</v>
      </c>
      <c r="AO409" s="5" t="s">
        <v>11</v>
      </c>
      <c r="AP409" s="5" t="s">
        <v>11</v>
      </c>
      <c r="AQ409" s="5" t="s">
        <v>18</v>
      </c>
      <c r="AR409" s="5" t="s">
        <v>17</v>
      </c>
    </row>
    <row r="410" spans="1:44" ht="31.5" x14ac:dyDescent="0.25">
      <c r="A410" s="10">
        <v>46096</v>
      </c>
      <c r="B410" s="5" t="s">
        <v>1213</v>
      </c>
      <c r="C410" s="5" t="s">
        <v>2842</v>
      </c>
      <c r="D410" s="5" t="s">
        <v>11</v>
      </c>
      <c r="E410" s="5" t="s">
        <v>8</v>
      </c>
      <c r="F410" s="5" t="s">
        <v>8</v>
      </c>
      <c r="G410" s="5" t="s">
        <v>4525</v>
      </c>
      <c r="H410" s="5" t="s">
        <v>4526</v>
      </c>
      <c r="I410" s="6" t="str">
        <f>HYPERLINK("http://maps.yandex.ru/?ll=49.420116,53.32858&amp;spn=0.011598,0.004531&amp;z=17&amp;l=map&amp;pt=49.420116,53.32858", "53.328587//49.420116")</f>
        <v>53.328587//49.420116</v>
      </c>
      <c r="J410" s="5" t="s">
        <v>76</v>
      </c>
      <c r="K410" s="6" t="str">
        <f>HYPERLINK("http://maps.yandex.ru/?ll=39.20591,51.8172&amp;spn=0.011598,0.004531&amp;z=17&amp;l=map&amp;pt=39.20591,51.8172", "51.81728//39.20591")</f>
        <v>51.81728//39.20591</v>
      </c>
      <c r="L410" s="5" t="s">
        <v>101</v>
      </c>
      <c r="M410" s="5" t="s">
        <v>1053</v>
      </c>
      <c r="N410" s="5" t="s">
        <v>4527</v>
      </c>
      <c r="O410" s="5" t="s">
        <v>4361</v>
      </c>
      <c r="P410" s="5">
        <v>49</v>
      </c>
      <c r="Q410" s="5">
        <v>43</v>
      </c>
      <c r="R410" s="5">
        <v>8</v>
      </c>
      <c r="S410" s="5">
        <v>744.66499999999996</v>
      </c>
      <c r="T410" s="5" t="s">
        <v>12</v>
      </c>
      <c r="U410" s="5" t="s">
        <v>12</v>
      </c>
      <c r="V410" s="5" t="s">
        <v>12</v>
      </c>
      <c r="W410" s="5">
        <v>31.03</v>
      </c>
      <c r="X410" s="5">
        <v>63.82</v>
      </c>
      <c r="Y410" s="5">
        <v>99</v>
      </c>
      <c r="Z410" s="5" t="s">
        <v>1945</v>
      </c>
      <c r="AA410" s="5" t="s">
        <v>1579</v>
      </c>
      <c r="AB410" s="5" t="s">
        <v>19</v>
      </c>
      <c r="AC410" s="5" t="s">
        <v>19</v>
      </c>
      <c r="AD410" s="5" t="s">
        <v>19</v>
      </c>
      <c r="AE410" s="5" t="s">
        <v>1807</v>
      </c>
      <c r="AF410" s="5" t="s">
        <v>12</v>
      </c>
      <c r="AG410" s="5"/>
      <c r="AH410" s="5"/>
      <c r="AI410" s="5"/>
      <c r="AJ410" s="5"/>
      <c r="AK410" s="5"/>
      <c r="AL410" s="5" t="s">
        <v>12</v>
      </c>
      <c r="AM410" s="5" t="s">
        <v>12</v>
      </c>
      <c r="AN410" s="5" t="s">
        <v>12</v>
      </c>
      <c r="AO410" s="5" t="s">
        <v>115</v>
      </c>
      <c r="AP410" s="5" t="s">
        <v>114</v>
      </c>
      <c r="AQ410" s="5" t="s">
        <v>99</v>
      </c>
      <c r="AR410" s="5" t="s">
        <v>98</v>
      </c>
    </row>
    <row r="411" spans="1:44" ht="31.5" x14ac:dyDescent="0.25">
      <c r="A411" s="10">
        <v>46096</v>
      </c>
      <c r="B411" s="5" t="s">
        <v>1210</v>
      </c>
      <c r="C411" s="5" t="s">
        <v>2843</v>
      </c>
      <c r="D411" s="5" t="s">
        <v>11</v>
      </c>
      <c r="E411" s="5" t="s">
        <v>3</v>
      </c>
      <c r="F411" s="5" t="s">
        <v>3</v>
      </c>
      <c r="G411" s="5" t="s">
        <v>3103</v>
      </c>
      <c r="H411" s="5" t="s">
        <v>4528</v>
      </c>
      <c r="I411" s="6" t="str">
        <f>HYPERLINK("http://maps.yandex.ru/?ll=39.101925,45.0498&amp;spn=0.011598,0.004531&amp;z=17&amp;l=map&amp;pt=39.101925,45.0498", "45.04984//39.101925")</f>
        <v>45.04984//39.101925</v>
      </c>
      <c r="J411" s="5" t="s">
        <v>88</v>
      </c>
      <c r="K411" s="6" t="str">
        <f>HYPERLINK("http://maps.yandex.ru/?ll=43.13769,44.17171&amp;spn=0.011598,0.004531&amp;z=17&amp;l=map&amp;pt=43.13769,44.17171", "44.171715//43.13769")</f>
        <v>44.171715//43.13769</v>
      </c>
      <c r="L411" s="5" t="s">
        <v>208</v>
      </c>
      <c r="M411" s="5" t="s">
        <v>4529</v>
      </c>
      <c r="N411" s="5" t="s">
        <v>1168</v>
      </c>
      <c r="O411" s="5" t="s">
        <v>13</v>
      </c>
      <c r="P411" s="5">
        <v>27</v>
      </c>
      <c r="Q411" s="5">
        <v>73</v>
      </c>
      <c r="R411" s="5">
        <v>0</v>
      </c>
      <c r="S411" s="5">
        <v>404.16199999999998</v>
      </c>
      <c r="T411" s="5" t="s">
        <v>12</v>
      </c>
      <c r="U411" s="5" t="s">
        <v>12</v>
      </c>
      <c r="V411" s="5" t="s">
        <v>12</v>
      </c>
      <c r="W411" s="5">
        <v>16.84</v>
      </c>
      <c r="X411" s="5">
        <v>63.45</v>
      </c>
      <c r="Y411" s="5">
        <v>117</v>
      </c>
      <c r="Z411" s="5" t="s">
        <v>2317</v>
      </c>
      <c r="AA411" s="5" t="s">
        <v>2200</v>
      </c>
      <c r="AB411" s="5" t="s">
        <v>19</v>
      </c>
      <c r="AC411" s="5" t="s">
        <v>19</v>
      </c>
      <c r="AD411" s="5" t="s">
        <v>19</v>
      </c>
      <c r="AE411" s="5" t="s">
        <v>1756</v>
      </c>
      <c r="AF411" s="5" t="s">
        <v>12</v>
      </c>
      <c r="AG411" s="5"/>
      <c r="AH411" s="5"/>
      <c r="AI411" s="5"/>
      <c r="AJ411" s="5"/>
      <c r="AK411" s="5"/>
      <c r="AL411" s="5" t="s">
        <v>4530</v>
      </c>
      <c r="AM411" s="5" t="s">
        <v>4531</v>
      </c>
      <c r="AN411" s="5" t="s">
        <v>1746</v>
      </c>
      <c r="AO411" s="5" t="s">
        <v>115</v>
      </c>
      <c r="AP411" s="5" t="s">
        <v>114</v>
      </c>
      <c r="AQ411" s="5" t="s">
        <v>99</v>
      </c>
      <c r="AR411" s="5" t="s">
        <v>98</v>
      </c>
    </row>
    <row r="412" spans="1:44" ht="31.5" x14ac:dyDescent="0.25">
      <c r="A412" s="10">
        <v>46096</v>
      </c>
      <c r="B412" s="5" t="s">
        <v>1208</v>
      </c>
      <c r="C412" s="5" t="s">
        <v>2845</v>
      </c>
      <c r="D412" s="5" t="s">
        <v>11</v>
      </c>
      <c r="E412" s="5" t="s">
        <v>8</v>
      </c>
      <c r="F412" s="5" t="s">
        <v>8</v>
      </c>
      <c r="G412" s="5" t="s">
        <v>4532</v>
      </c>
      <c r="H412" s="5" t="s">
        <v>4533</v>
      </c>
      <c r="I412" s="6" t="str">
        <f>HYPERLINK("http://maps.yandex.ru/?ll=40.432465,50.09522&amp;spn=0.011598,0.004531&amp;z=17&amp;l=map&amp;pt=40.432465,50.09522", "50.095226//40.432465")</f>
        <v>50.095226//40.432465</v>
      </c>
      <c r="J412" s="5" t="s">
        <v>101</v>
      </c>
      <c r="K412" s="6" t="str">
        <f>HYPERLINK("http://maps.yandex.ru/?ll=39.235874,45.3076&amp;spn=0.011598,0.004531&amp;z=17&amp;l=map&amp;pt=39.235874,45.3076", "45.30769//39.235874")</f>
        <v>45.30769//39.235874</v>
      </c>
      <c r="L412" s="5" t="s">
        <v>88</v>
      </c>
      <c r="M412" s="5" t="s">
        <v>3459</v>
      </c>
      <c r="N412" s="5" t="s">
        <v>4534</v>
      </c>
      <c r="O412" s="5" t="s">
        <v>719</v>
      </c>
      <c r="P412" s="5">
        <v>48</v>
      </c>
      <c r="Q412" s="5">
        <v>23</v>
      </c>
      <c r="R412" s="5">
        <v>28</v>
      </c>
      <c r="S412" s="5">
        <v>746.97900000000004</v>
      </c>
      <c r="T412" s="5" t="s">
        <v>12</v>
      </c>
      <c r="U412" s="5" t="s">
        <v>12</v>
      </c>
      <c r="V412" s="5" t="s">
        <v>12</v>
      </c>
      <c r="W412" s="5">
        <v>31.12</v>
      </c>
      <c r="X412" s="5">
        <v>64.56</v>
      </c>
      <c r="Y412" s="5">
        <v>100</v>
      </c>
      <c r="Z412" s="5" t="s">
        <v>1559</v>
      </c>
      <c r="AA412" s="5" t="s">
        <v>1959</v>
      </c>
      <c r="AB412" s="5" t="s">
        <v>19</v>
      </c>
      <c r="AC412" s="5" t="s">
        <v>19</v>
      </c>
      <c r="AD412" s="5" t="s">
        <v>19</v>
      </c>
      <c r="AE412" s="5" t="s">
        <v>2225</v>
      </c>
      <c r="AF412" s="5" t="s">
        <v>12</v>
      </c>
      <c r="AG412" s="5"/>
      <c r="AH412" s="5"/>
      <c r="AI412" s="5"/>
      <c r="AJ412" s="5"/>
      <c r="AK412" s="5"/>
      <c r="AL412" s="5" t="s">
        <v>1617</v>
      </c>
      <c r="AM412" s="5" t="s">
        <v>4535</v>
      </c>
      <c r="AN412" s="5" t="s">
        <v>1756</v>
      </c>
      <c r="AO412" s="5" t="s">
        <v>115</v>
      </c>
      <c r="AP412" s="5" t="s">
        <v>114</v>
      </c>
      <c r="AQ412" s="5" t="s">
        <v>99</v>
      </c>
      <c r="AR412" s="5" t="s">
        <v>98</v>
      </c>
    </row>
    <row r="413" spans="1:44" ht="31.5" x14ac:dyDescent="0.25">
      <c r="A413" s="10">
        <v>46096</v>
      </c>
      <c r="B413" s="5" t="s">
        <v>1207</v>
      </c>
      <c r="C413" s="5" t="s">
        <v>2846</v>
      </c>
      <c r="D413" s="5" t="s">
        <v>11</v>
      </c>
      <c r="E413" s="5" t="s">
        <v>6</v>
      </c>
      <c r="F413" s="5" t="s">
        <v>6</v>
      </c>
      <c r="G413" s="5" t="s">
        <v>4536</v>
      </c>
      <c r="H413" s="5" t="s">
        <v>4537</v>
      </c>
      <c r="I413" s="6" t="str">
        <f>HYPERLINK("http://maps.yandex.ru/?ll=132.85788,48.89277&amp;spn=0.011598,0.004531&amp;z=17&amp;l=map&amp;pt=132.85788,48.89277", "48.892773//132.85788")</f>
        <v>48.892773//132.85788</v>
      </c>
      <c r="J413" s="5" t="s">
        <v>142</v>
      </c>
      <c r="K413" s="6" t="str">
        <f>HYPERLINK("http://maps.yandex.ru/?ll=128.35574,51.50059&amp;spn=0.011598,0.004531&amp;z=17&amp;l=map&amp;pt=128.35574,51.50059", "51.500595//128.35574")</f>
        <v>51.500595//128.35574</v>
      </c>
      <c r="L413" s="5" t="s">
        <v>143</v>
      </c>
      <c r="M413" s="5" t="s">
        <v>1019</v>
      </c>
      <c r="N413" s="5" t="s">
        <v>4538</v>
      </c>
      <c r="O413" s="5" t="s">
        <v>13</v>
      </c>
      <c r="P413" s="5">
        <v>28</v>
      </c>
      <c r="Q413" s="5">
        <v>72</v>
      </c>
      <c r="R413" s="5">
        <v>0</v>
      </c>
      <c r="S413" s="5">
        <v>534.55499999999995</v>
      </c>
      <c r="T413" s="5" t="s">
        <v>2448</v>
      </c>
      <c r="U413" s="5" t="s">
        <v>4539</v>
      </c>
      <c r="V413" s="5" t="s">
        <v>4540</v>
      </c>
      <c r="W413" s="5">
        <v>22.27</v>
      </c>
      <c r="X413" s="5">
        <v>79.47</v>
      </c>
      <c r="Y413" s="5">
        <v>113</v>
      </c>
      <c r="Z413" s="5" t="s">
        <v>2847</v>
      </c>
      <c r="AA413" s="5" t="s">
        <v>4541</v>
      </c>
      <c r="AB413" s="5" t="s">
        <v>1512</v>
      </c>
      <c r="AC413" s="5" t="s">
        <v>1671</v>
      </c>
      <c r="AD413" s="5" t="s">
        <v>19</v>
      </c>
      <c r="AE413" s="5" t="s">
        <v>1710</v>
      </c>
      <c r="AF413" s="5" t="s">
        <v>4542</v>
      </c>
      <c r="AG413" s="5">
        <v>174</v>
      </c>
      <c r="AH413" s="5">
        <v>3</v>
      </c>
      <c r="AI413" s="5">
        <v>171</v>
      </c>
      <c r="AJ413" s="5">
        <v>32.1</v>
      </c>
      <c r="AK413" s="5">
        <v>31.55</v>
      </c>
      <c r="AL413" s="5" t="s">
        <v>12</v>
      </c>
      <c r="AM413" s="5" t="s">
        <v>12</v>
      </c>
      <c r="AN413" s="5" t="s">
        <v>12</v>
      </c>
      <c r="AO413" s="5" t="s">
        <v>11</v>
      </c>
      <c r="AP413" s="5" t="s">
        <v>11</v>
      </c>
      <c r="AQ413" s="5" t="s">
        <v>53</v>
      </c>
      <c r="AR413" s="5" t="s">
        <v>52</v>
      </c>
    </row>
    <row r="414" spans="1:44" ht="15.75" x14ac:dyDescent="0.25">
      <c r="A414" s="10">
        <v>46096</v>
      </c>
      <c r="B414" s="5" t="s">
        <v>1206</v>
      </c>
      <c r="C414" s="5" t="s">
        <v>2848</v>
      </c>
      <c r="D414" s="5" t="s">
        <v>11</v>
      </c>
      <c r="E414" s="5" t="s">
        <v>0</v>
      </c>
      <c r="F414" s="5" t="s">
        <v>0</v>
      </c>
      <c r="G414" s="5" t="s">
        <v>11</v>
      </c>
      <c r="H414" s="5" t="s">
        <v>11</v>
      </c>
      <c r="I414" s="6" t="str">
        <f>HYPERLINK("http://maps.yandex.ru/?ll=,&amp;spn=0.011598,0.004531&amp;z=17&amp;l=map&amp;pt=,", "")</f>
        <v/>
      </c>
      <c r="J414" s="5" t="s">
        <v>84</v>
      </c>
      <c r="K414" s="6" t="str">
        <f>HYPERLINK("http://maps.yandex.ru/?ll=,&amp;spn=0.011598,0.004531&amp;z=17&amp;l=map&amp;pt=,", "")</f>
        <v/>
      </c>
      <c r="L414" s="5" t="s">
        <v>84</v>
      </c>
      <c r="M414" s="5" t="s">
        <v>13</v>
      </c>
      <c r="N414" s="5" t="s">
        <v>1346</v>
      </c>
      <c r="O414" s="5" t="s">
        <v>1079</v>
      </c>
      <c r="P414" s="5">
        <v>0</v>
      </c>
      <c r="Q414" s="5">
        <v>77</v>
      </c>
      <c r="R414" s="5">
        <v>23</v>
      </c>
      <c r="S414" s="5">
        <v>0</v>
      </c>
      <c r="T414" s="5" t="s">
        <v>1673</v>
      </c>
      <c r="U414" s="5" t="s">
        <v>4543</v>
      </c>
      <c r="V414" s="5" t="s">
        <v>2849</v>
      </c>
      <c r="W414" s="5">
        <v>0</v>
      </c>
      <c r="X414" s="5">
        <v>0</v>
      </c>
      <c r="Y414" s="5">
        <v>0</v>
      </c>
      <c r="Z414" s="5" t="s">
        <v>1541</v>
      </c>
      <c r="AA414" s="5" t="s">
        <v>1542</v>
      </c>
      <c r="AB414" s="5" t="s">
        <v>19</v>
      </c>
      <c r="AC414" s="5" t="s">
        <v>19</v>
      </c>
      <c r="AD414" s="5" t="s">
        <v>19</v>
      </c>
      <c r="AE414" s="5" t="s">
        <v>1929</v>
      </c>
      <c r="AF414" s="5" t="s">
        <v>12</v>
      </c>
      <c r="AG414" s="5">
        <v>4</v>
      </c>
      <c r="AH414" s="5">
        <v>1</v>
      </c>
      <c r="AI414" s="5">
        <v>3</v>
      </c>
      <c r="AJ414" s="5">
        <v>400</v>
      </c>
      <c r="AK414" s="5">
        <v>300</v>
      </c>
      <c r="AL414" s="5" t="s">
        <v>12</v>
      </c>
      <c r="AM414" s="5" t="s">
        <v>12</v>
      </c>
      <c r="AN414" s="5" t="s">
        <v>12</v>
      </c>
      <c r="AO414" s="5" t="s">
        <v>11</v>
      </c>
      <c r="AP414" s="5" t="s">
        <v>11</v>
      </c>
      <c r="AQ414" s="5" t="s">
        <v>53</v>
      </c>
      <c r="AR414" s="5" t="s">
        <v>52</v>
      </c>
    </row>
    <row r="415" spans="1:44" ht="31.5" x14ac:dyDescent="0.25">
      <c r="A415" s="10">
        <v>46096</v>
      </c>
      <c r="B415" s="5" t="s">
        <v>1205</v>
      </c>
      <c r="C415" s="5" t="s">
        <v>2850</v>
      </c>
      <c r="D415" s="5" t="s">
        <v>11</v>
      </c>
      <c r="E415" s="5" t="s">
        <v>8</v>
      </c>
      <c r="F415" s="5" t="s">
        <v>8</v>
      </c>
      <c r="G415" s="5" t="s">
        <v>4544</v>
      </c>
      <c r="H415" s="5" t="s">
        <v>4545</v>
      </c>
      <c r="I415" s="6" t="str">
        <f>HYPERLINK("http://maps.yandex.ru/?ll=50.156433,53.08477&amp;spn=0.011598,0.004531&amp;z=17&amp;l=map&amp;pt=50.156433,53.08477", "53.084778//50.156433")</f>
        <v>53.084778//50.156433</v>
      </c>
      <c r="J415" s="5" t="s">
        <v>76</v>
      </c>
      <c r="K415" s="6" t="str">
        <f>HYPERLINK("http://maps.yandex.ru/?ll=45.814495,51.6401&amp;spn=0.011598,0.004531&amp;z=17&amp;l=map&amp;pt=45.814495,51.6401", "51.64015//45.814495")</f>
        <v>51.64015//45.814495</v>
      </c>
      <c r="L415" s="5" t="s">
        <v>213</v>
      </c>
      <c r="M415" s="5" t="s">
        <v>4546</v>
      </c>
      <c r="N415" s="5" t="s">
        <v>517</v>
      </c>
      <c r="O415" s="5" t="s">
        <v>4217</v>
      </c>
      <c r="P415" s="5">
        <v>33</v>
      </c>
      <c r="Q415" s="5">
        <v>53</v>
      </c>
      <c r="R415" s="5">
        <v>15</v>
      </c>
      <c r="S415" s="5">
        <v>561.67100000000005</v>
      </c>
      <c r="T415" s="5" t="s">
        <v>1596</v>
      </c>
      <c r="U415" s="5" t="s">
        <v>4547</v>
      </c>
      <c r="V415" s="5" t="s">
        <v>4548</v>
      </c>
      <c r="W415" s="5">
        <v>23.4</v>
      </c>
      <c r="X415" s="5">
        <v>71.349999999999994</v>
      </c>
      <c r="Y415" s="5">
        <v>147</v>
      </c>
      <c r="Z415" s="5" t="s">
        <v>2851</v>
      </c>
      <c r="AA415" s="5" t="s">
        <v>1735</v>
      </c>
      <c r="AB415" s="5" t="s">
        <v>4549</v>
      </c>
      <c r="AC415" s="5" t="s">
        <v>1671</v>
      </c>
      <c r="AD415" s="5" t="s">
        <v>4550</v>
      </c>
      <c r="AE415" s="5" t="s">
        <v>2219</v>
      </c>
      <c r="AF415" s="5" t="s">
        <v>3348</v>
      </c>
      <c r="AG415" s="5">
        <v>149</v>
      </c>
      <c r="AH415" s="5">
        <v>1</v>
      </c>
      <c r="AI415" s="5">
        <v>148</v>
      </c>
      <c r="AJ415" s="5">
        <v>27.24</v>
      </c>
      <c r="AK415" s="5">
        <v>27.06</v>
      </c>
      <c r="AL415" s="5" t="s">
        <v>12</v>
      </c>
      <c r="AM415" s="5" t="s">
        <v>12</v>
      </c>
      <c r="AN415" s="5" t="s">
        <v>12</v>
      </c>
      <c r="AO415" s="5" t="s">
        <v>11</v>
      </c>
      <c r="AP415" s="5" t="s">
        <v>11</v>
      </c>
      <c r="AQ415" s="5" t="s">
        <v>123</v>
      </c>
      <c r="AR415" s="5" t="s">
        <v>122</v>
      </c>
    </row>
    <row r="416" spans="1:44" ht="31.5" x14ac:dyDescent="0.25">
      <c r="A416" s="10">
        <v>46096</v>
      </c>
      <c r="B416" s="5" t="s">
        <v>1203</v>
      </c>
      <c r="C416" s="5" t="s">
        <v>2852</v>
      </c>
      <c r="D416" s="5" t="s">
        <v>11</v>
      </c>
      <c r="E416" s="5" t="s">
        <v>8</v>
      </c>
      <c r="F416" s="5" t="s">
        <v>8</v>
      </c>
      <c r="G416" s="5" t="s">
        <v>4551</v>
      </c>
      <c r="H416" s="5" t="s">
        <v>4552</v>
      </c>
      <c r="I416" s="6" t="str">
        <f>HYPERLINK("http://maps.yandex.ru/?ll=55.763172,54.69939&amp;spn=0.011598,0.004531&amp;z=17&amp;l=map&amp;pt=55.763172,54.69939", "54.699394//55.763172")</f>
        <v>54.699394//55.763172</v>
      </c>
      <c r="J416" s="5" t="s">
        <v>34</v>
      </c>
      <c r="K416" s="6" t="str">
        <f>HYPERLINK("http://maps.yandex.ru/?ll=61.616714,55.307&amp;spn=0.011598,0.004531&amp;z=17&amp;l=map&amp;pt=61.616714,55.307", "55.3078//61.616714")</f>
        <v>55.3078//61.616714</v>
      </c>
      <c r="L416" s="5" t="s">
        <v>227</v>
      </c>
      <c r="M416" s="5" t="s">
        <v>445</v>
      </c>
      <c r="N416" s="5" t="s">
        <v>1438</v>
      </c>
      <c r="O416" s="5" t="s">
        <v>13</v>
      </c>
      <c r="P416" s="5">
        <v>30</v>
      </c>
      <c r="Q416" s="5">
        <v>70</v>
      </c>
      <c r="R416" s="5">
        <v>0</v>
      </c>
      <c r="S416" s="5">
        <v>483.53199999999998</v>
      </c>
      <c r="T416" s="5" t="s">
        <v>12</v>
      </c>
      <c r="U416" s="5" t="s">
        <v>12</v>
      </c>
      <c r="V416" s="5" t="s">
        <v>12</v>
      </c>
      <c r="W416" s="5">
        <v>20.149999999999999</v>
      </c>
      <c r="X416" s="5">
        <v>67.28</v>
      </c>
      <c r="Y416" s="5">
        <v>106</v>
      </c>
      <c r="Z416" s="5" t="s">
        <v>2317</v>
      </c>
      <c r="AA416" s="5" t="s">
        <v>1938</v>
      </c>
      <c r="AB416" s="5" t="s">
        <v>19</v>
      </c>
      <c r="AC416" s="5" t="s">
        <v>19</v>
      </c>
      <c r="AD416" s="5" t="s">
        <v>19</v>
      </c>
      <c r="AE416" s="5" t="s">
        <v>1807</v>
      </c>
      <c r="AF416" s="5" t="s">
        <v>12</v>
      </c>
      <c r="AG416" s="5"/>
      <c r="AH416" s="5"/>
      <c r="AI416" s="5"/>
      <c r="AJ416" s="5"/>
      <c r="AK416" s="5"/>
      <c r="AL416" s="5" t="s">
        <v>4553</v>
      </c>
      <c r="AM416" s="5" t="s">
        <v>4554</v>
      </c>
      <c r="AN416" s="5" t="s">
        <v>1673</v>
      </c>
      <c r="AO416" s="5" t="s">
        <v>115</v>
      </c>
      <c r="AP416" s="5" t="s">
        <v>114</v>
      </c>
      <c r="AQ416" s="5" t="s">
        <v>99</v>
      </c>
      <c r="AR416" s="5" t="s">
        <v>98</v>
      </c>
    </row>
    <row r="417" spans="1:44" ht="31.5" x14ac:dyDescent="0.25">
      <c r="A417" s="10">
        <v>46096</v>
      </c>
      <c r="B417" s="5" t="s">
        <v>1202</v>
      </c>
      <c r="C417" s="5" t="s">
        <v>2853</v>
      </c>
      <c r="D417" s="5" t="s">
        <v>11</v>
      </c>
      <c r="E417" s="5" t="s">
        <v>3</v>
      </c>
      <c r="F417" s="5" t="s">
        <v>3</v>
      </c>
      <c r="G417" s="5" t="s">
        <v>4555</v>
      </c>
      <c r="H417" s="5" t="s">
        <v>4556</v>
      </c>
      <c r="I417" s="6" t="str">
        <f>HYPERLINK("http://maps.yandex.ru/?ll=52.35527,52.6572&amp;spn=0.011598,0.004531&amp;z=17&amp;l=map&amp;pt=52.35527,52.6572", "52.65725//52.35527")</f>
        <v>52.65725//52.35527</v>
      </c>
      <c r="J417" s="5" t="s">
        <v>300</v>
      </c>
      <c r="K417" s="6" t="str">
        <f>HYPERLINK("http://maps.yandex.ru/?ll=55.170025,51.86388&amp;spn=0.011598,0.004531&amp;z=17&amp;l=map&amp;pt=55.170025,51.86388", "51.863884//55.170025")</f>
        <v>51.863884//55.170025</v>
      </c>
      <c r="L417" s="5" t="s">
        <v>300</v>
      </c>
      <c r="M417" s="5" t="s">
        <v>1246</v>
      </c>
      <c r="N417" s="5" t="s">
        <v>4557</v>
      </c>
      <c r="O417" s="5" t="s">
        <v>13</v>
      </c>
      <c r="P417" s="5">
        <v>14</v>
      </c>
      <c r="Q417" s="5">
        <v>86</v>
      </c>
      <c r="R417" s="5">
        <v>0</v>
      </c>
      <c r="S417" s="5">
        <v>237.172</v>
      </c>
      <c r="T417" s="5" t="s">
        <v>12</v>
      </c>
      <c r="U417" s="5" t="s">
        <v>12</v>
      </c>
      <c r="V417" s="5" t="s">
        <v>12</v>
      </c>
      <c r="W417" s="5">
        <v>9.8800000000000008</v>
      </c>
      <c r="X417" s="5">
        <v>70.489999999999995</v>
      </c>
      <c r="Y417" s="5">
        <v>97</v>
      </c>
      <c r="Z417" s="5" t="s">
        <v>1731</v>
      </c>
      <c r="AA417" s="5" t="s">
        <v>2221</v>
      </c>
      <c r="AB417" s="5" t="s">
        <v>19</v>
      </c>
      <c r="AC417" s="5" t="s">
        <v>19</v>
      </c>
      <c r="AD417" s="5" t="s">
        <v>19</v>
      </c>
      <c r="AE417" s="5" t="s">
        <v>1615</v>
      </c>
      <c r="AF417" s="5" t="s">
        <v>12</v>
      </c>
      <c r="AG417" s="5"/>
      <c r="AH417" s="5"/>
      <c r="AI417" s="5"/>
      <c r="AJ417" s="5"/>
      <c r="AK417" s="5"/>
      <c r="AL417" s="5" t="s">
        <v>2854</v>
      </c>
      <c r="AM417" s="5" t="s">
        <v>4558</v>
      </c>
      <c r="AN417" s="5" t="s">
        <v>1870</v>
      </c>
      <c r="AO417" s="5" t="s">
        <v>115</v>
      </c>
      <c r="AP417" s="5" t="s">
        <v>114</v>
      </c>
      <c r="AQ417" s="5" t="s">
        <v>99</v>
      </c>
      <c r="AR417" s="5" t="s">
        <v>98</v>
      </c>
    </row>
    <row r="418" spans="1:44" ht="31.5" x14ac:dyDescent="0.25">
      <c r="A418" s="10">
        <v>46096</v>
      </c>
      <c r="B418" s="5" t="s">
        <v>1147</v>
      </c>
      <c r="C418" s="5" t="s">
        <v>2855</v>
      </c>
      <c r="D418" s="5" t="s">
        <v>11</v>
      </c>
      <c r="E418" s="5" t="s">
        <v>7</v>
      </c>
      <c r="F418" s="5" t="s">
        <v>7</v>
      </c>
      <c r="G418" s="5" t="s">
        <v>4559</v>
      </c>
      <c r="H418" s="5" t="s">
        <v>4560</v>
      </c>
      <c r="I418" s="6" t="str">
        <f>HYPERLINK("http://maps.yandex.ru/?ll=41.35421,55.68392&amp;spn=0.011598,0.004531&amp;z=17&amp;l=map&amp;pt=41.35421,55.68392", "55.683926//41.35421")</f>
        <v>55.683926//41.35421</v>
      </c>
      <c r="J418" s="5" t="s">
        <v>49</v>
      </c>
      <c r="K418" s="6" t="str">
        <f>HYPERLINK("http://maps.yandex.ru/?ll=49.274345,55.875&amp;spn=0.011598,0.004531&amp;z=17&amp;l=map&amp;pt=49.274345,55.875", "55.8753//49.274345")</f>
        <v>55.8753//49.274345</v>
      </c>
      <c r="L418" s="5" t="s">
        <v>28</v>
      </c>
      <c r="M418" s="5" t="s">
        <v>219</v>
      </c>
      <c r="N418" s="5" t="s">
        <v>4561</v>
      </c>
      <c r="O418" s="5" t="s">
        <v>449</v>
      </c>
      <c r="P418" s="5">
        <v>36</v>
      </c>
      <c r="Q418" s="5">
        <v>63</v>
      </c>
      <c r="R418" s="5">
        <v>2</v>
      </c>
      <c r="S418" s="5">
        <v>615.86099999999999</v>
      </c>
      <c r="T418" s="5" t="s">
        <v>12</v>
      </c>
      <c r="U418" s="5" t="s">
        <v>12</v>
      </c>
      <c r="V418" s="5" t="s">
        <v>12</v>
      </c>
      <c r="W418" s="5">
        <v>25.66</v>
      </c>
      <c r="X418" s="5">
        <v>72.2</v>
      </c>
      <c r="Y418" s="5">
        <v>100</v>
      </c>
      <c r="Z418" s="5" t="s">
        <v>1986</v>
      </c>
      <c r="AA418" s="5" t="s">
        <v>2136</v>
      </c>
      <c r="AB418" s="5" t="s">
        <v>19</v>
      </c>
      <c r="AC418" s="5" t="s">
        <v>19</v>
      </c>
      <c r="AD418" s="5" t="s">
        <v>19</v>
      </c>
      <c r="AE418" s="5" t="s">
        <v>1671</v>
      </c>
      <c r="AF418" s="5" t="s">
        <v>12</v>
      </c>
      <c r="AG418" s="5"/>
      <c r="AH418" s="5"/>
      <c r="AI418" s="5"/>
      <c r="AJ418" s="5"/>
      <c r="AK418" s="5"/>
      <c r="AL418" s="5" t="s">
        <v>12</v>
      </c>
      <c r="AM418" s="5" t="s">
        <v>12</v>
      </c>
      <c r="AN418" s="5" t="s">
        <v>12</v>
      </c>
      <c r="AO418" s="5" t="s">
        <v>115</v>
      </c>
      <c r="AP418" s="5" t="s">
        <v>114</v>
      </c>
      <c r="AQ418" s="5" t="s">
        <v>99</v>
      </c>
      <c r="AR418" s="5" t="s">
        <v>98</v>
      </c>
    </row>
    <row r="419" spans="1:44" ht="31.5" x14ac:dyDescent="0.25">
      <c r="A419" s="10">
        <v>46096</v>
      </c>
      <c r="B419" s="5" t="s">
        <v>1145</v>
      </c>
      <c r="C419" s="5" t="s">
        <v>2856</v>
      </c>
      <c r="D419" s="5" t="s">
        <v>11</v>
      </c>
      <c r="E419" s="5" t="s">
        <v>8</v>
      </c>
      <c r="F419" s="5" t="s">
        <v>8</v>
      </c>
      <c r="G419" s="5" t="s">
        <v>4562</v>
      </c>
      <c r="H419" s="5" t="s">
        <v>4563</v>
      </c>
      <c r="I419" s="6" t="str">
        <f>HYPERLINK("http://maps.yandex.ru/?ll=38.892197,52.376&amp;spn=0.011598,0.004531&amp;z=17&amp;l=map&amp;pt=38.892197,52.376", "52.3765//38.892197")</f>
        <v>52.3765//38.892197</v>
      </c>
      <c r="J419" s="5" t="s">
        <v>151</v>
      </c>
      <c r="K419" s="6" t="str">
        <f>HYPERLINK("http://maps.yandex.ru/?ll=38.502247,55.84599&amp;spn=0.011598,0.004531&amp;z=17&amp;l=map&amp;pt=38.502247,55.84599", "55.845993//38.502247")</f>
        <v>55.845993//38.502247</v>
      </c>
      <c r="L419" s="5" t="s">
        <v>56</v>
      </c>
      <c r="M419" s="5" t="s">
        <v>138</v>
      </c>
      <c r="N419" s="5" t="s">
        <v>1058</v>
      </c>
      <c r="O419" s="5" t="s">
        <v>696</v>
      </c>
      <c r="P419" s="5">
        <v>17</v>
      </c>
      <c r="Q419" s="5">
        <v>64</v>
      </c>
      <c r="R419" s="5">
        <v>19</v>
      </c>
      <c r="S419" s="5">
        <v>268.447</v>
      </c>
      <c r="T419" s="5" t="s">
        <v>4564</v>
      </c>
      <c r="U419" s="5" t="s">
        <v>4565</v>
      </c>
      <c r="V419" s="5" t="s">
        <v>4566</v>
      </c>
      <c r="W419" s="5">
        <v>11.19</v>
      </c>
      <c r="X419" s="5">
        <v>65.739999999999995</v>
      </c>
      <c r="Y419" s="5">
        <v>154</v>
      </c>
      <c r="Z419" s="5" t="s">
        <v>1373</v>
      </c>
      <c r="AA419" s="5" t="s">
        <v>1373</v>
      </c>
      <c r="AB419" s="5" t="s">
        <v>4567</v>
      </c>
      <c r="AC419" s="5" t="s">
        <v>1615</v>
      </c>
      <c r="AD419" s="5" t="s">
        <v>19</v>
      </c>
      <c r="AE419" s="5" t="s">
        <v>4567</v>
      </c>
      <c r="AF419" s="5" t="s">
        <v>4568</v>
      </c>
      <c r="AG419" s="5">
        <v>134</v>
      </c>
      <c r="AH419" s="5">
        <v>1</v>
      </c>
      <c r="AI419" s="5">
        <v>133</v>
      </c>
      <c r="AJ419" s="5">
        <v>27.74</v>
      </c>
      <c r="AK419" s="5">
        <v>27.54</v>
      </c>
      <c r="AL419" s="5" t="s">
        <v>12</v>
      </c>
      <c r="AM419" s="5" t="s">
        <v>12</v>
      </c>
      <c r="AN419" s="5" t="s">
        <v>12</v>
      </c>
      <c r="AO419" s="5" t="s">
        <v>11</v>
      </c>
      <c r="AP419" s="5" t="s">
        <v>11</v>
      </c>
      <c r="AQ419" s="5" t="s">
        <v>123</v>
      </c>
      <c r="AR419" s="5" t="s">
        <v>122</v>
      </c>
    </row>
    <row r="420" spans="1:44" ht="15.75" x14ac:dyDescent="0.25">
      <c r="A420" s="10">
        <v>46096</v>
      </c>
      <c r="B420" s="5" t="s">
        <v>1144</v>
      </c>
      <c r="C420" s="5" t="s">
        <v>2857</v>
      </c>
      <c r="D420" s="5" t="s">
        <v>11</v>
      </c>
      <c r="E420" s="5" t="s">
        <v>8</v>
      </c>
      <c r="F420" s="5" t="s">
        <v>8</v>
      </c>
      <c r="G420" s="5" t="s">
        <v>4569</v>
      </c>
      <c r="H420" s="5" t="s">
        <v>4570</v>
      </c>
      <c r="I420" s="6" t="str">
        <f>HYPERLINK("http://maps.yandex.ru/?ll=48.253483,52.741&amp;spn=0.011598,0.004531&amp;z=17&amp;l=map&amp;pt=48.253483,52.741", "52.7411//48.253483")</f>
        <v>52.7411//48.253483</v>
      </c>
      <c r="J420" s="5" t="s">
        <v>213</v>
      </c>
      <c r="K420" s="6" t="str">
        <f>HYPERLINK("http://maps.yandex.ru/?ll=41.77758,48.360&amp;spn=0.011598,0.004531&amp;z=17&amp;l=map&amp;pt=41.77758,48.360", "48.3603//41.77758")</f>
        <v>48.3603//41.77758</v>
      </c>
      <c r="L420" s="5" t="s">
        <v>64</v>
      </c>
      <c r="M420" s="5" t="s">
        <v>1053</v>
      </c>
      <c r="N420" s="5" t="s">
        <v>48</v>
      </c>
      <c r="O420" s="5" t="s">
        <v>839</v>
      </c>
      <c r="P420" s="5">
        <v>49</v>
      </c>
      <c r="Q420" s="5">
        <v>31</v>
      </c>
      <c r="R420" s="5">
        <v>20</v>
      </c>
      <c r="S420" s="5">
        <v>824.95500000000004</v>
      </c>
      <c r="T420" s="5" t="s">
        <v>2939</v>
      </c>
      <c r="U420" s="5" t="s">
        <v>2858</v>
      </c>
      <c r="V420" s="5" t="s">
        <v>4571</v>
      </c>
      <c r="W420" s="5">
        <v>34.369999999999997</v>
      </c>
      <c r="X420" s="5">
        <v>70.69</v>
      </c>
      <c r="Y420" s="5">
        <v>106</v>
      </c>
      <c r="Z420" s="5" t="s">
        <v>1528</v>
      </c>
      <c r="AA420" s="5" t="s">
        <v>4572</v>
      </c>
      <c r="AB420" s="5" t="s">
        <v>19</v>
      </c>
      <c r="AC420" s="5" t="s">
        <v>19</v>
      </c>
      <c r="AD420" s="5" t="s">
        <v>19</v>
      </c>
      <c r="AE420" s="5" t="s">
        <v>158</v>
      </c>
      <c r="AF420" s="5" t="s">
        <v>4573</v>
      </c>
      <c r="AG420" s="5">
        <v>283</v>
      </c>
      <c r="AH420" s="5">
        <v>0</v>
      </c>
      <c r="AI420" s="5">
        <v>283</v>
      </c>
      <c r="AJ420" s="5">
        <v>33.61</v>
      </c>
      <c r="AK420" s="5">
        <v>33.61</v>
      </c>
      <c r="AL420" s="5" t="s">
        <v>12</v>
      </c>
      <c r="AM420" s="5" t="s">
        <v>12</v>
      </c>
      <c r="AN420" s="5" t="s">
        <v>12</v>
      </c>
      <c r="AO420" s="5" t="s">
        <v>11</v>
      </c>
      <c r="AP420" s="5" t="s">
        <v>11</v>
      </c>
      <c r="AQ420" s="5" t="s">
        <v>123</v>
      </c>
      <c r="AR420" s="5" t="s">
        <v>122</v>
      </c>
    </row>
    <row r="421" spans="1:44" ht="31.5" x14ac:dyDescent="0.25">
      <c r="A421" s="10">
        <v>46096</v>
      </c>
      <c r="B421" s="5" t="s">
        <v>1143</v>
      </c>
      <c r="C421" s="5" t="s">
        <v>2861</v>
      </c>
      <c r="D421" s="5" t="s">
        <v>11</v>
      </c>
      <c r="E421" s="5" t="s">
        <v>8</v>
      </c>
      <c r="F421" s="5" t="s">
        <v>8</v>
      </c>
      <c r="G421" s="5" t="s">
        <v>3103</v>
      </c>
      <c r="H421" s="5" t="s">
        <v>4574</v>
      </c>
      <c r="I421" s="6" t="str">
        <f>HYPERLINK("http://maps.yandex.ru/?ll=37.231598,55.77375&amp;spn=0.011598,0.004531&amp;z=17&amp;l=map&amp;pt=37.231598,55.77375", "55.773754//37.231598")</f>
        <v>55.773754//37.231598</v>
      </c>
      <c r="J421" s="5" t="s">
        <v>56</v>
      </c>
      <c r="K421" s="6" t="str">
        <f>HYPERLINK("http://maps.yandex.ru/?ll=40.6003,52.9724&amp;spn=0.011598,0.004531&amp;z=17&amp;l=map&amp;pt=40.6003,52.9724", "52.97243//40.6003")</f>
        <v>52.97243//40.6003</v>
      </c>
      <c r="L421" s="5" t="s">
        <v>284</v>
      </c>
      <c r="M421" s="5" t="s">
        <v>4546</v>
      </c>
      <c r="N421" s="5" t="s">
        <v>234</v>
      </c>
      <c r="O421" s="5" t="s">
        <v>653</v>
      </c>
      <c r="P421" s="5">
        <v>33</v>
      </c>
      <c r="Q421" s="5">
        <v>64</v>
      </c>
      <c r="R421" s="5">
        <v>3</v>
      </c>
      <c r="S421" s="5">
        <v>497.13400000000001</v>
      </c>
      <c r="T421" s="5" t="s">
        <v>2599</v>
      </c>
      <c r="U421" s="5" t="s">
        <v>4575</v>
      </c>
      <c r="V421" s="5" t="s">
        <v>4576</v>
      </c>
      <c r="W421" s="5">
        <v>20.71</v>
      </c>
      <c r="X421" s="5">
        <v>63.17</v>
      </c>
      <c r="Y421" s="5">
        <v>176</v>
      </c>
      <c r="Z421" s="5" t="s">
        <v>2218</v>
      </c>
      <c r="AA421" s="5" t="s">
        <v>1985</v>
      </c>
      <c r="AB421" s="5" t="s">
        <v>19</v>
      </c>
      <c r="AC421" s="5" t="s">
        <v>19</v>
      </c>
      <c r="AD421" s="5" t="s">
        <v>19</v>
      </c>
      <c r="AE421" s="5" t="s">
        <v>1579</v>
      </c>
      <c r="AF421" s="5" t="s">
        <v>4005</v>
      </c>
      <c r="AG421" s="5">
        <v>135</v>
      </c>
      <c r="AH421" s="5">
        <v>2</v>
      </c>
      <c r="AI421" s="5">
        <v>133</v>
      </c>
      <c r="AJ421" s="5">
        <v>25.38</v>
      </c>
      <c r="AK421" s="5">
        <v>25</v>
      </c>
      <c r="AL421" s="5" t="s">
        <v>12</v>
      </c>
      <c r="AM421" s="5" t="s">
        <v>12</v>
      </c>
      <c r="AN421" s="5" t="s">
        <v>12</v>
      </c>
      <c r="AO421" s="5" t="s">
        <v>11</v>
      </c>
      <c r="AP421" s="5" t="s">
        <v>11</v>
      </c>
      <c r="AQ421" s="5" t="s">
        <v>123</v>
      </c>
      <c r="AR421" s="5" t="s">
        <v>122</v>
      </c>
    </row>
    <row r="422" spans="1:44" ht="31.5" x14ac:dyDescent="0.25">
      <c r="A422" s="10">
        <v>46096</v>
      </c>
      <c r="B422" s="5" t="s">
        <v>1141</v>
      </c>
      <c r="C422" s="5" t="s">
        <v>2925</v>
      </c>
      <c r="D422" s="5" t="s">
        <v>11</v>
      </c>
      <c r="E422" s="5" t="s">
        <v>0</v>
      </c>
      <c r="F422" s="5" t="s">
        <v>0</v>
      </c>
      <c r="G422" s="5" t="s">
        <v>4577</v>
      </c>
      <c r="H422" s="5" t="s">
        <v>4578</v>
      </c>
      <c r="I422" s="6" t="str">
        <f>HYPERLINK("http://maps.yandex.ru/?ll=36.809406,53.4352&amp;spn=0.011598,0.004531&amp;z=17&amp;l=map&amp;pt=36.809406,53.4352", "53.43527//36.809406")</f>
        <v>53.43527//36.809406</v>
      </c>
      <c r="J422" s="5" t="s">
        <v>168</v>
      </c>
      <c r="K422" s="6" t="str">
        <f>HYPERLINK("http://maps.yandex.ru/?ll=39.21279,51.8448&amp;spn=0.011598,0.004531&amp;z=17&amp;l=map&amp;pt=39.21279,51.8448", "51.84482//39.21279")</f>
        <v>51.84482//39.21279</v>
      </c>
      <c r="L422" s="5" t="s">
        <v>101</v>
      </c>
      <c r="M422" s="5" t="s">
        <v>719</v>
      </c>
      <c r="N422" s="5" t="s">
        <v>605</v>
      </c>
      <c r="O422" s="5" t="s">
        <v>201</v>
      </c>
      <c r="P422" s="5">
        <v>28</v>
      </c>
      <c r="Q422" s="5">
        <v>63</v>
      </c>
      <c r="R422" s="5">
        <v>9</v>
      </c>
      <c r="S422" s="5">
        <v>454.93</v>
      </c>
      <c r="T422" s="5" t="s">
        <v>2824</v>
      </c>
      <c r="U422" s="5" t="s">
        <v>4579</v>
      </c>
      <c r="V422" s="5" t="s">
        <v>4580</v>
      </c>
      <c r="W422" s="5">
        <v>18.96</v>
      </c>
      <c r="X422" s="5">
        <v>66.91</v>
      </c>
      <c r="Y422" s="5">
        <v>180</v>
      </c>
      <c r="Z422" s="5" t="s">
        <v>12</v>
      </c>
      <c r="AA422" s="5" t="s">
        <v>12</v>
      </c>
      <c r="AB422" s="5" t="s">
        <v>19</v>
      </c>
      <c r="AC422" s="5" t="s">
        <v>19</v>
      </c>
      <c r="AD422" s="5" t="s">
        <v>19</v>
      </c>
      <c r="AE422" s="5" t="s">
        <v>12</v>
      </c>
      <c r="AF422" s="5" t="s">
        <v>12</v>
      </c>
      <c r="AG422" s="5">
        <v>155</v>
      </c>
      <c r="AH422" s="5">
        <v>1</v>
      </c>
      <c r="AI422" s="5">
        <v>154</v>
      </c>
      <c r="AJ422" s="5">
        <v>30.75</v>
      </c>
      <c r="AK422" s="5">
        <v>30.56</v>
      </c>
      <c r="AL422" s="5" t="s">
        <v>12</v>
      </c>
      <c r="AM422" s="5" t="s">
        <v>12</v>
      </c>
      <c r="AN422" s="5" t="s">
        <v>12</v>
      </c>
      <c r="AO422" s="5" t="s">
        <v>11</v>
      </c>
      <c r="AP422" s="5" t="s">
        <v>11</v>
      </c>
      <c r="AQ422" s="5" t="s">
        <v>123</v>
      </c>
      <c r="AR422" s="5" t="s">
        <v>122</v>
      </c>
    </row>
    <row r="423" spans="1:44" ht="15.75" x14ac:dyDescent="0.25">
      <c r="A423" s="10">
        <v>46096</v>
      </c>
      <c r="B423" s="5" t="s">
        <v>1140</v>
      </c>
      <c r="C423" s="5" t="s">
        <v>2926</v>
      </c>
      <c r="D423" s="5" t="s">
        <v>11</v>
      </c>
      <c r="E423" s="5" t="s">
        <v>6</v>
      </c>
      <c r="F423" s="5" t="s">
        <v>6</v>
      </c>
      <c r="G423" s="5" t="s">
        <v>11</v>
      </c>
      <c r="H423" s="5" t="s">
        <v>11</v>
      </c>
      <c r="I423" s="6" t="str">
        <f>HYPERLINK("http://maps.yandex.ru/?ll=,&amp;spn=0.011598,0.004531&amp;z=17&amp;l=map&amp;pt=,", "")</f>
        <v/>
      </c>
      <c r="J423" s="5" t="s">
        <v>84</v>
      </c>
      <c r="K423" s="6" t="str">
        <f>HYPERLINK("http://maps.yandex.ru/?ll=,&amp;spn=0.011598,0.004531&amp;z=17&amp;l=map&amp;pt=,", "")</f>
        <v/>
      </c>
      <c r="L423" s="5" t="s">
        <v>84</v>
      </c>
      <c r="M423" s="5" t="s">
        <v>13</v>
      </c>
      <c r="N423" s="5" t="s">
        <v>13</v>
      </c>
      <c r="O423" s="5" t="s">
        <v>58</v>
      </c>
      <c r="P423" s="5">
        <v>0</v>
      </c>
      <c r="Q423" s="5">
        <v>0</v>
      </c>
      <c r="R423" s="5">
        <v>100</v>
      </c>
      <c r="S423" s="5">
        <v>0</v>
      </c>
      <c r="T423" s="5" t="s">
        <v>12</v>
      </c>
      <c r="U423" s="5" t="s">
        <v>12</v>
      </c>
      <c r="V423" s="5" t="s">
        <v>12</v>
      </c>
      <c r="W423" s="5">
        <v>0</v>
      </c>
      <c r="X423" s="5">
        <v>0</v>
      </c>
      <c r="Y423" s="5">
        <v>0</v>
      </c>
      <c r="Z423" s="5" t="s">
        <v>12</v>
      </c>
      <c r="AA423" s="5" t="s">
        <v>12</v>
      </c>
      <c r="AB423" s="5" t="s">
        <v>19</v>
      </c>
      <c r="AC423" s="5" t="s">
        <v>19</v>
      </c>
      <c r="AD423" s="5" t="s">
        <v>19</v>
      </c>
      <c r="AE423" s="5" t="s">
        <v>12</v>
      </c>
      <c r="AF423" s="5" t="s">
        <v>12</v>
      </c>
      <c r="AG423" s="5"/>
      <c r="AH423" s="5">
        <v>0</v>
      </c>
      <c r="AI423" s="5"/>
      <c r="AJ423" s="5"/>
      <c r="AK423" s="5"/>
      <c r="AL423" s="5" t="s">
        <v>12</v>
      </c>
      <c r="AM423" s="5" t="s">
        <v>12</v>
      </c>
      <c r="AN423" s="5" t="s">
        <v>12</v>
      </c>
      <c r="AO423" s="5" t="s">
        <v>11</v>
      </c>
      <c r="AP423" s="5" t="s">
        <v>11</v>
      </c>
      <c r="AQ423" s="5" t="s">
        <v>123</v>
      </c>
      <c r="AR423" s="5" t="s">
        <v>122</v>
      </c>
    </row>
    <row r="424" spans="1:44" ht="31.5" x14ac:dyDescent="0.25">
      <c r="A424" s="10">
        <v>46096</v>
      </c>
      <c r="B424" s="5" t="s">
        <v>1139</v>
      </c>
      <c r="C424" s="5" t="s">
        <v>2927</v>
      </c>
      <c r="D424" s="5" t="s">
        <v>11</v>
      </c>
      <c r="E424" s="5" t="s">
        <v>40</v>
      </c>
      <c r="F424" s="5" t="s">
        <v>11</v>
      </c>
      <c r="G424" s="5" t="s">
        <v>3103</v>
      </c>
      <c r="H424" s="5" t="s">
        <v>4581</v>
      </c>
      <c r="I424" s="6" t="str">
        <f>HYPERLINK("http://maps.yandex.ru/?ll=39.852787,47.83323&amp;spn=0.011598,0.004531&amp;z=17&amp;l=map&amp;pt=39.852787,47.83323", "47.833237//39.852787")</f>
        <v>47.833237//39.852787</v>
      </c>
      <c r="J424" s="5" t="s">
        <v>64</v>
      </c>
      <c r="K424" s="6" t="str">
        <f>HYPERLINK("http://maps.yandex.ru/?ll=44.46133,48.777&amp;spn=0.011598,0.004531&amp;z=17&amp;l=map&amp;pt=44.46133,48.777", "48.7775//44.46133")</f>
        <v>48.7775//44.46133</v>
      </c>
      <c r="L424" s="5" t="s">
        <v>95</v>
      </c>
      <c r="M424" s="5" t="s">
        <v>4001</v>
      </c>
      <c r="N424" s="5" t="s">
        <v>4018</v>
      </c>
      <c r="O424" s="5" t="s">
        <v>522</v>
      </c>
      <c r="P424" s="5">
        <v>19</v>
      </c>
      <c r="Q424" s="5">
        <v>68</v>
      </c>
      <c r="R424" s="5">
        <v>13</v>
      </c>
      <c r="S424" s="5">
        <v>329.28500000000003</v>
      </c>
      <c r="T424" s="5" t="s">
        <v>2458</v>
      </c>
      <c r="U424" s="5" t="s">
        <v>4582</v>
      </c>
      <c r="V424" s="5" t="s">
        <v>4583</v>
      </c>
      <c r="W424" s="5">
        <v>13.72</v>
      </c>
      <c r="X424" s="5">
        <v>71.97</v>
      </c>
      <c r="Y424" s="5">
        <v>165</v>
      </c>
      <c r="Z424" s="5" t="s">
        <v>2929</v>
      </c>
      <c r="AA424" s="5" t="s">
        <v>4584</v>
      </c>
      <c r="AB424" s="5" t="s">
        <v>19</v>
      </c>
      <c r="AC424" s="5" t="s">
        <v>19</v>
      </c>
      <c r="AD424" s="5" t="s">
        <v>19</v>
      </c>
      <c r="AE424" s="5" t="s">
        <v>1945</v>
      </c>
      <c r="AF424" s="5" t="s">
        <v>4585</v>
      </c>
      <c r="AG424" s="5">
        <v>136</v>
      </c>
      <c r="AH424" s="5">
        <v>0</v>
      </c>
      <c r="AI424" s="5">
        <v>136</v>
      </c>
      <c r="AJ424" s="5">
        <v>29.82</v>
      </c>
      <c r="AK424" s="5">
        <v>29.82</v>
      </c>
      <c r="AL424" s="5" t="s">
        <v>12</v>
      </c>
      <c r="AM424" s="5" t="s">
        <v>12</v>
      </c>
      <c r="AN424" s="5" t="s">
        <v>12</v>
      </c>
      <c r="AO424" s="5" t="s">
        <v>11</v>
      </c>
      <c r="AP424" s="5" t="s">
        <v>11</v>
      </c>
      <c r="AQ424" s="5" t="s">
        <v>123</v>
      </c>
      <c r="AR424" s="5" t="s">
        <v>122</v>
      </c>
    </row>
    <row r="425" spans="1:44" ht="31.5" x14ac:dyDescent="0.25">
      <c r="A425" s="10">
        <v>46096</v>
      </c>
      <c r="B425" s="5" t="s">
        <v>1137</v>
      </c>
      <c r="C425" s="5" t="s">
        <v>2930</v>
      </c>
      <c r="D425" s="5" t="s">
        <v>11</v>
      </c>
      <c r="E425" s="5" t="s">
        <v>7</v>
      </c>
      <c r="F425" s="5" t="s">
        <v>7</v>
      </c>
      <c r="G425" s="5" t="s">
        <v>4586</v>
      </c>
      <c r="H425" s="5" t="s">
        <v>4587</v>
      </c>
      <c r="I425" s="6" t="str">
        <f>HYPERLINK("http://maps.yandex.ru/?ll=44.51604,48.7846&amp;spn=0.011598,0.004531&amp;z=17&amp;l=map&amp;pt=44.51604,48.7846", "48.78465//44.51604")</f>
        <v>48.78465//44.51604</v>
      </c>
      <c r="J425" s="5" t="s">
        <v>95</v>
      </c>
      <c r="K425" s="6" t="str">
        <f>HYPERLINK("http://maps.yandex.ru/?ll=42.05621,51.29253&amp;spn=0.011598,0.004531&amp;z=17&amp;l=map&amp;pt=42.05621,51.29253", "51.292534//42.05621")</f>
        <v>51.292534//42.05621</v>
      </c>
      <c r="L425" s="5" t="s">
        <v>101</v>
      </c>
      <c r="M425" s="5" t="s">
        <v>872</v>
      </c>
      <c r="N425" s="5" t="s">
        <v>1220</v>
      </c>
      <c r="O425" s="5" t="s">
        <v>13</v>
      </c>
      <c r="P425" s="5">
        <v>23</v>
      </c>
      <c r="Q425" s="5">
        <v>77</v>
      </c>
      <c r="R425" s="5">
        <v>0</v>
      </c>
      <c r="S425" s="5">
        <v>371.988</v>
      </c>
      <c r="T425" s="5" t="s">
        <v>2636</v>
      </c>
      <c r="U425" s="5" t="s">
        <v>4588</v>
      </c>
      <c r="V425" s="5" t="s">
        <v>4589</v>
      </c>
      <c r="W425" s="5">
        <v>15.5</v>
      </c>
      <c r="X425" s="5">
        <v>66.42</v>
      </c>
      <c r="Y425" s="5">
        <v>109</v>
      </c>
      <c r="Z425" s="5" t="s">
        <v>1541</v>
      </c>
      <c r="AA425" s="5" t="s">
        <v>2688</v>
      </c>
      <c r="AB425" s="5" t="s">
        <v>19</v>
      </c>
      <c r="AC425" s="5" t="s">
        <v>19</v>
      </c>
      <c r="AD425" s="5" t="s">
        <v>19</v>
      </c>
      <c r="AE425" s="5" t="s">
        <v>2444</v>
      </c>
      <c r="AF425" s="5" t="s">
        <v>4487</v>
      </c>
      <c r="AG425" s="5"/>
      <c r="AH425" s="5">
        <v>0</v>
      </c>
      <c r="AI425" s="5"/>
      <c r="AJ425" s="5">
        <v>0</v>
      </c>
      <c r="AK425" s="5">
        <v>0</v>
      </c>
      <c r="AL425" s="5" t="s">
        <v>12</v>
      </c>
      <c r="AM425" s="5" t="s">
        <v>12</v>
      </c>
      <c r="AN425" s="5" t="s">
        <v>12</v>
      </c>
      <c r="AO425" s="5" t="s">
        <v>11</v>
      </c>
      <c r="AP425" s="5" t="s">
        <v>11</v>
      </c>
      <c r="AQ425" s="5" t="s">
        <v>92</v>
      </c>
      <c r="AR425" s="5" t="s">
        <v>91</v>
      </c>
    </row>
    <row r="426" spans="1:44" ht="31.5" x14ac:dyDescent="0.25">
      <c r="A426" s="10">
        <v>46096</v>
      </c>
      <c r="B426" s="5" t="s">
        <v>1136</v>
      </c>
      <c r="C426" s="5" t="s">
        <v>2931</v>
      </c>
      <c r="D426" s="5" t="s">
        <v>11</v>
      </c>
      <c r="E426" s="5" t="s">
        <v>4</v>
      </c>
      <c r="F426" s="5" t="s">
        <v>4</v>
      </c>
      <c r="G426" s="5" t="s">
        <v>4590</v>
      </c>
      <c r="H426" s="5" t="s">
        <v>4591</v>
      </c>
      <c r="I426" s="6" t="str">
        <f>HYPERLINK("http://maps.yandex.ru/?ll=65.12934,55.46364&amp;spn=0.011598,0.004531&amp;z=17&amp;l=map&amp;pt=65.12934,55.46364", "55.463642//65.12934")</f>
        <v>55.463642//65.12934</v>
      </c>
      <c r="J426" s="5" t="s">
        <v>361</v>
      </c>
      <c r="K426" s="6" t="str">
        <f>HYPERLINK("http://maps.yandex.ru/?ll=55.903847,54.58133&amp;spn=0.011598,0.004531&amp;z=17&amp;l=map&amp;pt=55.903847,54.58133", "54.581337//55.903847")</f>
        <v>54.581337//55.903847</v>
      </c>
      <c r="L426" s="5" t="s">
        <v>34</v>
      </c>
      <c r="M426" s="5" t="s">
        <v>543</v>
      </c>
      <c r="N426" s="5" t="s">
        <v>267</v>
      </c>
      <c r="O426" s="5" t="s">
        <v>13</v>
      </c>
      <c r="P426" s="5">
        <v>42</v>
      </c>
      <c r="Q426" s="5">
        <v>58</v>
      </c>
      <c r="R426" s="5">
        <v>0</v>
      </c>
      <c r="S426" s="5">
        <v>687.35299999999995</v>
      </c>
      <c r="T426" s="5" t="s">
        <v>2508</v>
      </c>
      <c r="U426" s="5" t="s">
        <v>4592</v>
      </c>
      <c r="V426" s="5" t="s">
        <v>4593</v>
      </c>
      <c r="W426" s="5">
        <v>28.64</v>
      </c>
      <c r="X426" s="5">
        <v>68.13</v>
      </c>
      <c r="Y426" s="5">
        <v>108</v>
      </c>
      <c r="Z426" s="5" t="s">
        <v>2275</v>
      </c>
      <c r="AA426" s="5" t="s">
        <v>2750</v>
      </c>
      <c r="AB426" s="5" t="s">
        <v>2690</v>
      </c>
      <c r="AC426" s="5" t="s">
        <v>1673</v>
      </c>
      <c r="AD426" s="5" t="s">
        <v>19</v>
      </c>
      <c r="AE426" s="5" t="s">
        <v>2602</v>
      </c>
      <c r="AF426" s="5" t="s">
        <v>4594</v>
      </c>
      <c r="AG426" s="5"/>
      <c r="AH426" s="5">
        <v>0</v>
      </c>
      <c r="AI426" s="5"/>
      <c r="AJ426" s="5">
        <v>0</v>
      </c>
      <c r="AK426" s="5">
        <v>0</v>
      </c>
      <c r="AL426" s="5" t="s">
        <v>12</v>
      </c>
      <c r="AM426" s="5" t="s">
        <v>12</v>
      </c>
      <c r="AN426" s="5" t="s">
        <v>12</v>
      </c>
      <c r="AO426" s="5" t="s">
        <v>11</v>
      </c>
      <c r="AP426" s="5" t="s">
        <v>11</v>
      </c>
      <c r="AQ426" s="5" t="s">
        <v>92</v>
      </c>
      <c r="AR426" s="5" t="s">
        <v>91</v>
      </c>
    </row>
    <row r="427" spans="1:44" ht="31.5" x14ac:dyDescent="0.25">
      <c r="A427" s="10">
        <v>46096</v>
      </c>
      <c r="B427" s="5" t="s">
        <v>1151</v>
      </c>
      <c r="C427" s="5" t="s">
        <v>2932</v>
      </c>
      <c r="D427" s="5" t="s">
        <v>11</v>
      </c>
      <c r="E427" s="5" t="s">
        <v>8</v>
      </c>
      <c r="F427" s="5" t="s">
        <v>8</v>
      </c>
      <c r="G427" s="5" t="s">
        <v>4595</v>
      </c>
      <c r="H427" s="5" t="s">
        <v>4596</v>
      </c>
      <c r="I427" s="6" t="str">
        <f>HYPERLINK("http://maps.yandex.ru/?ll=38.649387,45.11501&amp;spn=0.011598,0.004531&amp;z=17&amp;l=map&amp;pt=38.649387,45.11501", "45.115017//38.649387")</f>
        <v>45.115017//38.649387</v>
      </c>
      <c r="J427" s="5" t="s">
        <v>88</v>
      </c>
      <c r="K427" s="6" t="str">
        <f>HYPERLINK("http://maps.yandex.ru/?ll=39.642254,46.60190&amp;spn=0.011598,0.004531&amp;z=17&amp;l=map&amp;pt=39.642254,46.60190", "46.601906//39.642254")</f>
        <v>46.601906//39.642254</v>
      </c>
      <c r="L427" s="5" t="s">
        <v>88</v>
      </c>
      <c r="M427" s="5" t="s">
        <v>994</v>
      </c>
      <c r="N427" s="5" t="s">
        <v>723</v>
      </c>
      <c r="O427" s="5" t="s">
        <v>126</v>
      </c>
      <c r="P427" s="5">
        <v>37</v>
      </c>
      <c r="Q427" s="5">
        <v>52</v>
      </c>
      <c r="R427" s="5">
        <v>12</v>
      </c>
      <c r="S427" s="5">
        <v>577.12099999999998</v>
      </c>
      <c r="T427" s="5" t="s">
        <v>2135</v>
      </c>
      <c r="U427" s="5" t="s">
        <v>4597</v>
      </c>
      <c r="V427" s="5" t="s">
        <v>4598</v>
      </c>
      <c r="W427" s="5">
        <v>24.05</v>
      </c>
      <c r="X427" s="5">
        <v>65.150000000000006</v>
      </c>
      <c r="Y427" s="5">
        <v>123</v>
      </c>
      <c r="Z427" s="5" t="s">
        <v>2934</v>
      </c>
      <c r="AA427" s="5" t="s">
        <v>4599</v>
      </c>
      <c r="AB427" s="5" t="s">
        <v>19</v>
      </c>
      <c r="AC427" s="5" t="s">
        <v>19</v>
      </c>
      <c r="AD427" s="5" t="s">
        <v>19</v>
      </c>
      <c r="AE427" s="5" t="s">
        <v>1545</v>
      </c>
      <c r="AF427" s="5" t="s">
        <v>4600</v>
      </c>
      <c r="AG427" s="5"/>
      <c r="AH427" s="5">
        <v>0</v>
      </c>
      <c r="AI427" s="5"/>
      <c r="AJ427" s="5">
        <v>0</v>
      </c>
      <c r="AK427" s="5">
        <v>0</v>
      </c>
      <c r="AL427" s="5" t="s">
        <v>12</v>
      </c>
      <c r="AM427" s="5" t="s">
        <v>12</v>
      </c>
      <c r="AN427" s="5" t="s">
        <v>12</v>
      </c>
      <c r="AO427" s="5" t="s">
        <v>11</v>
      </c>
      <c r="AP427" s="5" t="s">
        <v>11</v>
      </c>
      <c r="AQ427" s="5" t="s">
        <v>92</v>
      </c>
      <c r="AR427" s="5" t="s">
        <v>91</v>
      </c>
    </row>
    <row r="428" spans="1:44" ht="31.5" x14ac:dyDescent="0.25">
      <c r="A428" s="10">
        <v>46096</v>
      </c>
      <c r="B428" s="5" t="s">
        <v>1148</v>
      </c>
      <c r="C428" s="5" t="s">
        <v>2935</v>
      </c>
      <c r="D428" s="5" t="s">
        <v>11</v>
      </c>
      <c r="E428" s="5" t="s">
        <v>4</v>
      </c>
      <c r="F428" s="5" t="s">
        <v>4</v>
      </c>
      <c r="G428" s="5" t="s">
        <v>4601</v>
      </c>
      <c r="H428" s="5" t="s">
        <v>4602</v>
      </c>
      <c r="I428" s="6" t="str">
        <f>HYPERLINK("http://maps.yandex.ru/?ll=65.097,55.4516&amp;spn=0.011598,0.004531&amp;z=17&amp;l=map&amp;pt=65.097,55.4516", "55.45162//65.097")</f>
        <v>55.45162//65.097</v>
      </c>
      <c r="J428" s="5" t="s">
        <v>361</v>
      </c>
      <c r="K428" s="6" t="str">
        <f>HYPERLINK("http://maps.yandex.ru/?ll=73.20577,55.00124&amp;spn=0.011598,0.004531&amp;z=17&amp;l=map&amp;pt=73.20577,55.00124", "55.001244//73.20577")</f>
        <v>55.001244//73.20577</v>
      </c>
      <c r="L428" s="5" t="s">
        <v>190</v>
      </c>
      <c r="M428" s="5" t="s">
        <v>1059</v>
      </c>
      <c r="N428" s="5" t="s">
        <v>1058</v>
      </c>
      <c r="O428" s="5" t="s">
        <v>13</v>
      </c>
      <c r="P428" s="5">
        <v>36</v>
      </c>
      <c r="Q428" s="5">
        <v>64</v>
      </c>
      <c r="R428" s="5">
        <v>0</v>
      </c>
      <c r="S428" s="5">
        <v>656.39</v>
      </c>
      <c r="T428" s="5" t="s">
        <v>2139</v>
      </c>
      <c r="U428" s="5" t="s">
        <v>4603</v>
      </c>
      <c r="V428" s="5" t="s">
        <v>4604</v>
      </c>
      <c r="W428" s="5">
        <v>27.35</v>
      </c>
      <c r="X428" s="5">
        <v>76.28</v>
      </c>
      <c r="Y428" s="5">
        <v>98</v>
      </c>
      <c r="Z428" s="5" t="s">
        <v>2157</v>
      </c>
      <c r="AA428" s="5" t="s">
        <v>1967</v>
      </c>
      <c r="AB428" s="5" t="s">
        <v>19</v>
      </c>
      <c r="AC428" s="5" t="s">
        <v>19</v>
      </c>
      <c r="AD428" s="5" t="s">
        <v>19</v>
      </c>
      <c r="AE428" s="5" t="s">
        <v>2221</v>
      </c>
      <c r="AF428" s="5" t="s">
        <v>4605</v>
      </c>
      <c r="AG428" s="5"/>
      <c r="AH428" s="5">
        <v>0</v>
      </c>
      <c r="AI428" s="5"/>
      <c r="AJ428" s="5">
        <v>0</v>
      </c>
      <c r="AK428" s="5">
        <v>0</v>
      </c>
      <c r="AL428" s="5" t="s">
        <v>12</v>
      </c>
      <c r="AM428" s="5" t="s">
        <v>12</v>
      </c>
      <c r="AN428" s="5" t="s">
        <v>12</v>
      </c>
      <c r="AO428" s="5" t="s">
        <v>11</v>
      </c>
      <c r="AP428" s="5" t="s">
        <v>11</v>
      </c>
      <c r="AQ428" s="5" t="s">
        <v>92</v>
      </c>
      <c r="AR428" s="5" t="s">
        <v>91</v>
      </c>
    </row>
    <row r="429" spans="1:44" ht="31.5" x14ac:dyDescent="0.25">
      <c r="A429" s="10">
        <v>46096</v>
      </c>
      <c r="B429" s="5" t="s">
        <v>1135</v>
      </c>
      <c r="C429" s="5" t="s">
        <v>2936</v>
      </c>
      <c r="D429" s="5" t="s">
        <v>11</v>
      </c>
      <c r="E429" s="5" t="s">
        <v>3</v>
      </c>
      <c r="F429" s="5" t="s">
        <v>3</v>
      </c>
      <c r="G429" s="5" t="s">
        <v>3103</v>
      </c>
      <c r="H429" s="5" t="s">
        <v>4606</v>
      </c>
      <c r="I429" s="6" t="str">
        <f>HYPERLINK("http://maps.yandex.ru/?ll=41.77918,44.71903&amp;spn=0.011598,0.004531&amp;z=17&amp;l=map&amp;pt=41.77918,44.71903", "44.719032//41.77918")</f>
        <v>44.719032//41.77918</v>
      </c>
      <c r="J429" s="5" t="s">
        <v>208</v>
      </c>
      <c r="K429" s="6" t="str">
        <f>HYPERLINK("http://maps.yandex.ru/?ll=39.98673,50.85416&amp;spn=0.011598,0.004531&amp;z=17&amp;l=map&amp;pt=39.98673,50.85416", "50.854168//39.98673")</f>
        <v>50.854168//39.98673</v>
      </c>
      <c r="L429" s="5" t="s">
        <v>101</v>
      </c>
      <c r="M429" s="5" t="s">
        <v>3269</v>
      </c>
      <c r="N429" s="5" t="s">
        <v>337</v>
      </c>
      <c r="O429" s="5" t="s">
        <v>1374</v>
      </c>
      <c r="P429" s="5">
        <v>42</v>
      </c>
      <c r="Q429" s="5">
        <v>21</v>
      </c>
      <c r="R429" s="5">
        <v>37</v>
      </c>
      <c r="S429" s="5">
        <v>754.93100000000004</v>
      </c>
      <c r="T429" s="5" t="s">
        <v>1799</v>
      </c>
      <c r="U429" s="5" t="s">
        <v>2955</v>
      </c>
      <c r="V429" s="5" t="s">
        <v>4607</v>
      </c>
      <c r="W429" s="5">
        <v>31.46</v>
      </c>
      <c r="X429" s="5">
        <v>74.66</v>
      </c>
      <c r="Y429" s="5">
        <v>155</v>
      </c>
      <c r="Z429" s="5" t="s">
        <v>2204</v>
      </c>
      <c r="AA429" s="5" t="s">
        <v>1782</v>
      </c>
      <c r="AB429" s="5" t="s">
        <v>19</v>
      </c>
      <c r="AC429" s="5" t="s">
        <v>19</v>
      </c>
      <c r="AD429" s="5" t="s">
        <v>19</v>
      </c>
      <c r="AE429" s="5" t="s">
        <v>1367</v>
      </c>
      <c r="AF429" s="5" t="s">
        <v>1437</v>
      </c>
      <c r="AG429" s="5">
        <v>277</v>
      </c>
      <c r="AH429" s="5">
        <v>1</v>
      </c>
      <c r="AI429" s="5">
        <v>276</v>
      </c>
      <c r="AJ429" s="5">
        <v>32.590000000000003</v>
      </c>
      <c r="AK429" s="5">
        <v>32.47</v>
      </c>
      <c r="AL429" s="5" t="s">
        <v>12</v>
      </c>
      <c r="AM429" s="5" t="s">
        <v>12</v>
      </c>
      <c r="AN429" s="5" t="s">
        <v>12</v>
      </c>
      <c r="AO429" s="5" t="s">
        <v>11</v>
      </c>
      <c r="AP429" s="5" t="s">
        <v>11</v>
      </c>
      <c r="AQ429" s="5" t="s">
        <v>18</v>
      </c>
      <c r="AR429" s="5" t="s">
        <v>17</v>
      </c>
    </row>
    <row r="430" spans="1:44" ht="31.5" x14ac:dyDescent="0.25">
      <c r="A430" s="10">
        <v>46096</v>
      </c>
      <c r="B430" s="5" t="s">
        <v>1133</v>
      </c>
      <c r="C430" s="5" t="s">
        <v>2938</v>
      </c>
      <c r="D430" s="5" t="s">
        <v>11</v>
      </c>
      <c r="E430" s="5" t="s">
        <v>7</v>
      </c>
      <c r="F430" s="5" t="s">
        <v>7</v>
      </c>
      <c r="G430" s="5" t="s">
        <v>4608</v>
      </c>
      <c r="H430" s="5" t="s">
        <v>4609</v>
      </c>
      <c r="I430" s="6" t="str">
        <f>HYPERLINK("http://maps.yandex.ru/?ll=53.058197,54.35287&amp;spn=0.011598,0.004531&amp;z=17&amp;l=map&amp;pt=53.058197,54.35287", "54.352875//53.058197")</f>
        <v>54.352875//53.058197</v>
      </c>
      <c r="J430" s="5" t="s">
        <v>28</v>
      </c>
      <c r="K430" s="6" t="str">
        <f>HYPERLINK("http://maps.yandex.ru/?ll=56.071507,54.79686&amp;spn=0.011598,0.004531&amp;z=17&amp;l=map&amp;pt=56.071507,54.79686", "54.796867//56.071507")</f>
        <v>54.796867//56.071507</v>
      </c>
      <c r="L430" s="5" t="s">
        <v>34</v>
      </c>
      <c r="M430" s="5" t="s">
        <v>130</v>
      </c>
      <c r="N430" s="5" t="s">
        <v>1423</v>
      </c>
      <c r="O430" s="5" t="s">
        <v>4610</v>
      </c>
      <c r="P430" s="5">
        <v>8</v>
      </c>
      <c r="Q430" s="5">
        <v>16</v>
      </c>
      <c r="R430" s="5">
        <v>76</v>
      </c>
      <c r="S430" s="5">
        <v>97.451999999999998</v>
      </c>
      <c r="T430" s="5" t="s">
        <v>12</v>
      </c>
      <c r="U430" s="5" t="s">
        <v>12</v>
      </c>
      <c r="V430" s="5" t="s">
        <v>12</v>
      </c>
      <c r="W430" s="5">
        <v>4.0599999999999996</v>
      </c>
      <c r="X430" s="5">
        <v>51.57</v>
      </c>
      <c r="Y430" s="5">
        <v>121</v>
      </c>
      <c r="Z430" s="5" t="s">
        <v>2493</v>
      </c>
      <c r="AA430" s="5" t="s">
        <v>2907</v>
      </c>
      <c r="AB430" s="5" t="s">
        <v>19</v>
      </c>
      <c r="AC430" s="5" t="s">
        <v>19</v>
      </c>
      <c r="AD430" s="5" t="s">
        <v>19</v>
      </c>
      <c r="AE430" s="5" t="s">
        <v>2306</v>
      </c>
      <c r="AF430" s="5" t="s">
        <v>4611</v>
      </c>
      <c r="AG430" s="5"/>
      <c r="AH430" s="5"/>
      <c r="AI430" s="5"/>
      <c r="AJ430" s="5"/>
      <c r="AK430" s="5"/>
      <c r="AL430" s="5" t="s">
        <v>12</v>
      </c>
      <c r="AM430" s="5" t="s">
        <v>12</v>
      </c>
      <c r="AN430" s="5" t="s">
        <v>12</v>
      </c>
      <c r="AO430" s="5" t="s">
        <v>11</v>
      </c>
      <c r="AP430" s="5" t="s">
        <v>11</v>
      </c>
      <c r="AQ430" s="5" t="s">
        <v>43</v>
      </c>
      <c r="AR430" s="5" t="s">
        <v>42</v>
      </c>
    </row>
    <row r="431" spans="1:44" ht="31.5" x14ac:dyDescent="0.25">
      <c r="A431" s="10">
        <v>46096</v>
      </c>
      <c r="B431" s="5" t="s">
        <v>1131</v>
      </c>
      <c r="C431" s="5" t="s">
        <v>2940</v>
      </c>
      <c r="D431" s="5" t="s">
        <v>11</v>
      </c>
      <c r="E431" s="5" t="s">
        <v>3</v>
      </c>
      <c r="F431" s="5" t="s">
        <v>3</v>
      </c>
      <c r="G431" s="5" t="s">
        <v>4612</v>
      </c>
      <c r="H431" s="5" t="s">
        <v>4613</v>
      </c>
      <c r="I431" s="6" t="str">
        <f>HYPERLINK("http://maps.yandex.ru/?ll=37.818893,55.3457&amp;spn=0.011598,0.004531&amp;z=17&amp;l=map&amp;pt=37.818893,55.3457", "55.34579//37.818893")</f>
        <v>55.34579//37.818893</v>
      </c>
      <c r="J431" s="5" t="s">
        <v>56</v>
      </c>
      <c r="K431" s="6" t="str">
        <f>HYPERLINK("http://maps.yandex.ru/?ll=37.818893,55.3457&amp;spn=0.011598,0.004531&amp;z=17&amp;l=map&amp;pt=37.818893,55.3457", "55.34579//37.818893")</f>
        <v>55.34579//37.818893</v>
      </c>
      <c r="L431" s="5" t="s">
        <v>56</v>
      </c>
      <c r="M431" s="5" t="s">
        <v>13</v>
      </c>
      <c r="N431" s="5" t="s">
        <v>1392</v>
      </c>
      <c r="O431" s="5" t="s">
        <v>1198</v>
      </c>
      <c r="P431" s="5">
        <v>0</v>
      </c>
      <c r="Q431" s="5">
        <v>96</v>
      </c>
      <c r="R431" s="5">
        <v>4</v>
      </c>
      <c r="S431" s="5">
        <v>0</v>
      </c>
      <c r="T431" s="5" t="s">
        <v>1673</v>
      </c>
      <c r="U431" s="5" t="s">
        <v>4614</v>
      </c>
      <c r="V431" s="5" t="s">
        <v>2941</v>
      </c>
      <c r="W431" s="5">
        <v>0</v>
      </c>
      <c r="X431" s="5">
        <v>0</v>
      </c>
      <c r="Y431" s="5">
        <v>4</v>
      </c>
      <c r="Z431" s="5" t="s">
        <v>12</v>
      </c>
      <c r="AA431" s="5" t="s">
        <v>12</v>
      </c>
      <c r="AB431" s="5" t="s">
        <v>12</v>
      </c>
      <c r="AC431" s="5" t="s">
        <v>12</v>
      </c>
      <c r="AD431" s="5" t="s">
        <v>12</v>
      </c>
      <c r="AE431" s="5" t="s">
        <v>12</v>
      </c>
      <c r="AF431" s="5" t="s">
        <v>12</v>
      </c>
      <c r="AG431" s="5">
        <v>9</v>
      </c>
      <c r="AH431" s="5">
        <v>6</v>
      </c>
      <c r="AI431" s="5">
        <v>3</v>
      </c>
      <c r="AJ431" s="5">
        <v>900</v>
      </c>
      <c r="AK431" s="5">
        <v>300</v>
      </c>
      <c r="AL431" s="5" t="s">
        <v>12</v>
      </c>
      <c r="AM431" s="5" t="s">
        <v>12</v>
      </c>
      <c r="AN431" s="5" t="s">
        <v>12</v>
      </c>
      <c r="AO431" s="5" t="s">
        <v>11</v>
      </c>
      <c r="AP431" s="5" t="s">
        <v>11</v>
      </c>
      <c r="AQ431" s="5" t="s">
        <v>18</v>
      </c>
      <c r="AR431" s="5" t="s">
        <v>74</v>
      </c>
    </row>
    <row r="432" spans="1:44" ht="31.5" x14ac:dyDescent="0.25">
      <c r="A432" s="10">
        <v>46096</v>
      </c>
      <c r="B432" s="5" t="s">
        <v>1129</v>
      </c>
      <c r="C432" s="5" t="s">
        <v>2942</v>
      </c>
      <c r="D432" s="5" t="s">
        <v>11</v>
      </c>
      <c r="E432" s="5" t="s">
        <v>1</v>
      </c>
      <c r="F432" s="5" t="s">
        <v>1</v>
      </c>
      <c r="G432" s="5" t="s">
        <v>4615</v>
      </c>
      <c r="H432" s="5" t="s">
        <v>4616</v>
      </c>
      <c r="I432" s="6" t="str">
        <f>HYPERLINK("http://maps.yandex.ru/?ll=37.454895,55.96882&amp;spn=0.011598,0.004531&amp;z=17&amp;l=map&amp;pt=37.454895,55.96882", "55.968826//37.454895")</f>
        <v>55.968826//37.454895</v>
      </c>
      <c r="J432" s="5" t="s">
        <v>56</v>
      </c>
      <c r="K432" s="6" t="str">
        <f>HYPERLINK("http://maps.yandex.ru/?ll=38.293423,55.9958&amp;spn=0.011598,0.004531&amp;z=17&amp;l=map&amp;pt=38.293423,55.9958", "55.99583//38.293423")</f>
        <v>55.99583//38.293423</v>
      </c>
      <c r="L432" s="5" t="s">
        <v>56</v>
      </c>
      <c r="M432" s="5" t="s">
        <v>4217</v>
      </c>
      <c r="N432" s="5" t="s">
        <v>945</v>
      </c>
      <c r="O432" s="5" t="s">
        <v>305</v>
      </c>
      <c r="P432" s="5">
        <v>15</v>
      </c>
      <c r="Q432" s="5">
        <v>45</v>
      </c>
      <c r="R432" s="5">
        <v>40</v>
      </c>
      <c r="S432" s="5">
        <v>185.71</v>
      </c>
      <c r="T432" s="5" t="s">
        <v>12</v>
      </c>
      <c r="U432" s="5" t="s">
        <v>12</v>
      </c>
      <c r="V432" s="5" t="s">
        <v>12</v>
      </c>
      <c r="W432" s="5">
        <v>7.74</v>
      </c>
      <c r="X432" s="5">
        <v>53.1</v>
      </c>
      <c r="Y432" s="5">
        <v>98</v>
      </c>
      <c r="Z432" s="5" t="s">
        <v>2306</v>
      </c>
      <c r="AA432" s="5" t="s">
        <v>2086</v>
      </c>
      <c r="AB432" s="5" t="s">
        <v>19</v>
      </c>
      <c r="AC432" s="5" t="s">
        <v>19</v>
      </c>
      <c r="AD432" s="5" t="s">
        <v>19</v>
      </c>
      <c r="AE432" s="5" t="s">
        <v>1718</v>
      </c>
      <c r="AF432" s="5" t="s">
        <v>12</v>
      </c>
      <c r="AG432" s="5"/>
      <c r="AH432" s="5"/>
      <c r="AI432" s="5"/>
      <c r="AJ432" s="5"/>
      <c r="AK432" s="5"/>
      <c r="AL432" s="5" t="s">
        <v>4617</v>
      </c>
      <c r="AM432" s="5" t="s">
        <v>4618</v>
      </c>
      <c r="AN432" s="5" t="s">
        <v>2049</v>
      </c>
      <c r="AO432" s="5" t="s">
        <v>69</v>
      </c>
      <c r="AP432" s="5" t="s">
        <v>68</v>
      </c>
      <c r="AQ432" s="5" t="s">
        <v>67</v>
      </c>
      <c r="AR432" s="5" t="s">
        <v>66</v>
      </c>
    </row>
    <row r="433" spans="1:44" ht="31.5" x14ac:dyDescent="0.25">
      <c r="A433" s="10">
        <v>46096</v>
      </c>
      <c r="B433" s="5" t="s">
        <v>1128</v>
      </c>
      <c r="C433" s="5" t="s">
        <v>2943</v>
      </c>
      <c r="D433" s="5" t="s">
        <v>11</v>
      </c>
      <c r="E433" s="5" t="s">
        <v>1</v>
      </c>
      <c r="F433" s="5" t="s">
        <v>1</v>
      </c>
      <c r="G433" s="5" t="s">
        <v>4619</v>
      </c>
      <c r="H433" s="5" t="s">
        <v>4620</v>
      </c>
      <c r="I433" s="6" t="str">
        <f>HYPERLINK("http://maps.yandex.ru/?ll=38.266827,56.01476&amp;spn=0.011598,0.004531&amp;z=17&amp;l=map&amp;pt=38.266827,56.01476", "56.014767//38.266827")</f>
        <v>56.014767//38.266827</v>
      </c>
      <c r="J433" s="5" t="s">
        <v>56</v>
      </c>
      <c r="K433" s="6" t="str">
        <f>HYPERLINK("http://maps.yandex.ru/?ll=38.293358,55.9958&amp;spn=0.011598,0.004531&amp;z=17&amp;l=map&amp;pt=38.293358,55.9958", "55.99588//38.293358")</f>
        <v>55.99588//38.293358</v>
      </c>
      <c r="L433" s="5" t="s">
        <v>56</v>
      </c>
      <c r="M433" s="5" t="s">
        <v>4092</v>
      </c>
      <c r="N433" s="5" t="s">
        <v>4621</v>
      </c>
      <c r="O433" s="5" t="s">
        <v>1440</v>
      </c>
      <c r="P433" s="5">
        <v>17</v>
      </c>
      <c r="Q433" s="5">
        <v>73</v>
      </c>
      <c r="R433" s="5">
        <v>10</v>
      </c>
      <c r="S433" s="5">
        <v>178.06800000000001</v>
      </c>
      <c r="T433" s="5" t="s">
        <v>1258</v>
      </c>
      <c r="U433" s="5" t="s">
        <v>4622</v>
      </c>
      <c r="V433" s="5" t="s">
        <v>4623</v>
      </c>
      <c r="W433" s="5">
        <v>7.42</v>
      </c>
      <c r="X433" s="5">
        <v>43.96</v>
      </c>
      <c r="Y433" s="5">
        <v>97</v>
      </c>
      <c r="Z433" s="5" t="s">
        <v>1574</v>
      </c>
      <c r="AA433" s="5" t="s">
        <v>4082</v>
      </c>
      <c r="AB433" s="5" t="s">
        <v>19</v>
      </c>
      <c r="AC433" s="5" t="s">
        <v>19</v>
      </c>
      <c r="AD433" s="5" t="s">
        <v>19</v>
      </c>
      <c r="AE433" s="5" t="s">
        <v>2444</v>
      </c>
      <c r="AF433" s="5" t="s">
        <v>4624</v>
      </c>
      <c r="AG433" s="5">
        <v>77</v>
      </c>
      <c r="AH433" s="5">
        <v>10737914800</v>
      </c>
      <c r="AI433" s="5">
        <v>-10737914723</v>
      </c>
      <c r="AJ433" s="5">
        <v>31.82</v>
      </c>
      <c r="AK433" s="5">
        <v>-4437154844.21</v>
      </c>
      <c r="AL433" s="5" t="s">
        <v>12</v>
      </c>
      <c r="AM433" s="5" t="s">
        <v>12</v>
      </c>
      <c r="AN433" s="5" t="s">
        <v>12</v>
      </c>
      <c r="AO433" s="5" t="s">
        <v>11</v>
      </c>
      <c r="AP433" s="5" t="s">
        <v>11</v>
      </c>
      <c r="AQ433" s="5" t="s">
        <v>18</v>
      </c>
      <c r="AR433" s="5" t="s">
        <v>74</v>
      </c>
    </row>
    <row r="434" spans="1:44" ht="31.5" x14ac:dyDescent="0.25">
      <c r="A434" s="10">
        <v>46096</v>
      </c>
      <c r="B434" s="5" t="s">
        <v>1127</v>
      </c>
      <c r="C434" s="5" t="s">
        <v>2944</v>
      </c>
      <c r="D434" s="5" t="s">
        <v>11</v>
      </c>
      <c r="E434" s="5" t="s">
        <v>3</v>
      </c>
      <c r="F434" s="5" t="s">
        <v>3</v>
      </c>
      <c r="G434" s="5" t="s">
        <v>4625</v>
      </c>
      <c r="H434" s="5" t="s">
        <v>4626</v>
      </c>
      <c r="I434" s="6" t="str">
        <f>HYPERLINK("http://maps.yandex.ru/?ll=38.11975,55.37138&amp;spn=0.011598,0.004531&amp;z=17&amp;l=map&amp;pt=38.11975,55.37138", "55.371387//38.11975")</f>
        <v>55.371387//38.11975</v>
      </c>
      <c r="J434" s="5" t="s">
        <v>56</v>
      </c>
      <c r="K434" s="6" t="str">
        <f>HYPERLINK("http://maps.yandex.ru/?ll=38.11859,55.37110&amp;spn=0.011598,0.004531&amp;z=17&amp;l=map&amp;pt=38.11859,55.37110", "55.371105//38.11859")</f>
        <v>55.371105//38.11859</v>
      </c>
      <c r="L434" s="5" t="s">
        <v>56</v>
      </c>
      <c r="M434" s="5" t="s">
        <v>86</v>
      </c>
      <c r="N434" s="5" t="s">
        <v>1536</v>
      </c>
      <c r="O434" s="5" t="s">
        <v>13</v>
      </c>
      <c r="P434" s="5">
        <v>1</v>
      </c>
      <c r="Q434" s="5">
        <v>99</v>
      </c>
      <c r="R434" s="5">
        <v>0</v>
      </c>
      <c r="S434" s="5">
        <v>5.7489999999999997</v>
      </c>
      <c r="T434" s="5" t="s">
        <v>2049</v>
      </c>
      <c r="U434" s="5" t="s">
        <v>4627</v>
      </c>
      <c r="V434" s="5" t="s">
        <v>4628</v>
      </c>
      <c r="W434" s="5">
        <v>0.24</v>
      </c>
      <c r="X434" s="5">
        <v>19.98</v>
      </c>
      <c r="Y434" s="5">
        <v>76</v>
      </c>
      <c r="Z434" s="5" t="s">
        <v>2937</v>
      </c>
      <c r="AA434" s="5" t="s">
        <v>3075</v>
      </c>
      <c r="AB434" s="5" t="s">
        <v>19</v>
      </c>
      <c r="AC434" s="5" t="s">
        <v>19</v>
      </c>
      <c r="AD434" s="5" t="s">
        <v>19</v>
      </c>
      <c r="AE434" s="5" t="s">
        <v>1746</v>
      </c>
      <c r="AF434" s="5" t="s">
        <v>4629</v>
      </c>
      <c r="AG434" s="5"/>
      <c r="AH434" s="5">
        <v>0</v>
      </c>
      <c r="AI434" s="5"/>
      <c r="AJ434" s="5">
        <v>0</v>
      </c>
      <c r="AK434" s="5">
        <v>0</v>
      </c>
      <c r="AL434" s="5" t="s">
        <v>12</v>
      </c>
      <c r="AM434" s="5" t="s">
        <v>12</v>
      </c>
      <c r="AN434" s="5" t="s">
        <v>12</v>
      </c>
      <c r="AO434" s="5" t="s">
        <v>11</v>
      </c>
      <c r="AP434" s="5" t="s">
        <v>11</v>
      </c>
      <c r="AQ434" s="5" t="s">
        <v>92</v>
      </c>
      <c r="AR434" s="5" t="s">
        <v>91</v>
      </c>
    </row>
    <row r="435" spans="1:44" ht="31.5" x14ac:dyDescent="0.25">
      <c r="A435" s="10">
        <v>46096</v>
      </c>
      <c r="B435" s="5" t="s">
        <v>1126</v>
      </c>
      <c r="C435" s="5" t="s">
        <v>2945</v>
      </c>
      <c r="D435" s="5" t="s">
        <v>11</v>
      </c>
      <c r="E435" s="5" t="s">
        <v>3</v>
      </c>
      <c r="F435" s="5" t="s">
        <v>3</v>
      </c>
      <c r="G435" s="5" t="s">
        <v>4630</v>
      </c>
      <c r="H435" s="5" t="s">
        <v>4631</v>
      </c>
      <c r="I435" s="6" t="str">
        <f>HYPERLINK("http://maps.yandex.ru/?ll=42.868816,54.0608&amp;spn=0.011598,0.004531&amp;z=17&amp;l=map&amp;pt=42.868816,54.0608", "54.06088//42.868816")</f>
        <v>54.06088//42.868816</v>
      </c>
      <c r="J435" s="5" t="s">
        <v>467</v>
      </c>
      <c r="K435" s="6" t="str">
        <f>HYPERLINK("http://maps.yandex.ru/?ll=49.372128,53.41179&amp;spn=0.011598,0.004531&amp;z=17&amp;l=map&amp;pt=49.372128,53.41179", "53.411793//49.372128")</f>
        <v>53.411793//49.372128</v>
      </c>
      <c r="L435" s="5" t="s">
        <v>76</v>
      </c>
      <c r="M435" s="5" t="s">
        <v>445</v>
      </c>
      <c r="N435" s="5" t="s">
        <v>1313</v>
      </c>
      <c r="O435" s="5" t="s">
        <v>1216</v>
      </c>
      <c r="P435" s="5">
        <v>30</v>
      </c>
      <c r="Q435" s="5">
        <v>63</v>
      </c>
      <c r="R435" s="5">
        <v>7</v>
      </c>
      <c r="S435" s="5">
        <v>514.77</v>
      </c>
      <c r="T435" s="5" t="s">
        <v>4632</v>
      </c>
      <c r="U435" s="5" t="s">
        <v>4633</v>
      </c>
      <c r="V435" s="5" t="s">
        <v>4634</v>
      </c>
      <c r="W435" s="5">
        <v>21.45</v>
      </c>
      <c r="X435" s="5">
        <v>71.56</v>
      </c>
      <c r="Y435" s="5">
        <v>145</v>
      </c>
      <c r="Z435" s="5" t="s">
        <v>2907</v>
      </c>
      <c r="AA435" s="5" t="s">
        <v>2633</v>
      </c>
      <c r="AB435" s="5" t="s">
        <v>19</v>
      </c>
      <c r="AC435" s="5" t="s">
        <v>19</v>
      </c>
      <c r="AD435" s="5" t="s">
        <v>19</v>
      </c>
      <c r="AE435" s="5" t="s">
        <v>2417</v>
      </c>
      <c r="AF435" s="5" t="s">
        <v>4635</v>
      </c>
      <c r="AG435" s="5"/>
      <c r="AH435" s="5">
        <v>0</v>
      </c>
      <c r="AI435" s="5"/>
      <c r="AJ435" s="5">
        <v>0</v>
      </c>
      <c r="AK435" s="5">
        <v>0</v>
      </c>
      <c r="AL435" s="5" t="s">
        <v>12</v>
      </c>
      <c r="AM435" s="5" t="s">
        <v>12</v>
      </c>
      <c r="AN435" s="5" t="s">
        <v>12</v>
      </c>
      <c r="AO435" s="5" t="s">
        <v>11</v>
      </c>
      <c r="AP435" s="5" t="s">
        <v>11</v>
      </c>
      <c r="AQ435" s="5" t="s">
        <v>31</v>
      </c>
      <c r="AR435" s="5" t="s">
        <v>30</v>
      </c>
    </row>
    <row r="436" spans="1:44" ht="31.5" x14ac:dyDescent="0.25">
      <c r="A436" s="10">
        <v>46096</v>
      </c>
      <c r="B436" s="5" t="s">
        <v>1122</v>
      </c>
      <c r="C436" s="5" t="s">
        <v>2946</v>
      </c>
      <c r="D436" s="5" t="s">
        <v>11</v>
      </c>
      <c r="E436" s="5" t="s">
        <v>5</v>
      </c>
      <c r="F436" s="5" t="s">
        <v>5</v>
      </c>
      <c r="G436" s="5" t="s">
        <v>3103</v>
      </c>
      <c r="H436" s="5" t="s">
        <v>4636</v>
      </c>
      <c r="I436" s="6" t="str">
        <f>HYPERLINK("http://maps.yandex.ru/?ll=48.604736,55.7189&amp;spn=0.011598,0.004531&amp;z=17&amp;l=map&amp;pt=48.604736,55.7189", "55.71899//48.604736")</f>
        <v>55.71899//48.604736</v>
      </c>
      <c r="J436" s="5" t="s">
        <v>28</v>
      </c>
      <c r="K436" s="6" t="str">
        <f>HYPERLINK("http://maps.yandex.ru/?ll=40.83483,52.1975&amp;spn=0.011598,0.004531&amp;z=17&amp;l=map&amp;pt=40.83483,52.1975", "52.19753//40.83483")</f>
        <v>52.19753//40.83483</v>
      </c>
      <c r="L436" s="5" t="s">
        <v>284</v>
      </c>
      <c r="M436" s="5" t="s">
        <v>1082</v>
      </c>
      <c r="N436" s="5" t="s">
        <v>677</v>
      </c>
      <c r="O436" s="5" t="s">
        <v>178</v>
      </c>
      <c r="P436" s="5">
        <v>60</v>
      </c>
      <c r="Q436" s="5">
        <v>36</v>
      </c>
      <c r="R436" s="5">
        <v>3</v>
      </c>
      <c r="S436" s="5">
        <v>903.43200000000002</v>
      </c>
      <c r="T436" s="5" t="s">
        <v>4637</v>
      </c>
      <c r="U436" s="5" t="s">
        <v>4638</v>
      </c>
      <c r="V436" s="5" t="s">
        <v>4639</v>
      </c>
      <c r="W436" s="5">
        <v>37.64</v>
      </c>
      <c r="X436" s="5">
        <v>62.45</v>
      </c>
      <c r="Y436" s="5">
        <v>104</v>
      </c>
      <c r="Z436" s="5" t="s">
        <v>2559</v>
      </c>
      <c r="AA436" s="5" t="s">
        <v>2271</v>
      </c>
      <c r="AB436" s="5" t="s">
        <v>19</v>
      </c>
      <c r="AC436" s="5" t="s">
        <v>19</v>
      </c>
      <c r="AD436" s="5" t="s">
        <v>19</v>
      </c>
      <c r="AE436" s="5" t="s">
        <v>2653</v>
      </c>
      <c r="AF436" s="5" t="s">
        <v>4640</v>
      </c>
      <c r="AG436" s="5">
        <v>236</v>
      </c>
      <c r="AH436" s="5">
        <v>0</v>
      </c>
      <c r="AI436" s="5">
        <v>236</v>
      </c>
      <c r="AJ436" s="5">
        <v>6.73</v>
      </c>
      <c r="AK436" s="5">
        <v>6.73</v>
      </c>
      <c r="AL436" s="5" t="s">
        <v>12</v>
      </c>
      <c r="AM436" s="5" t="s">
        <v>12</v>
      </c>
      <c r="AN436" s="5" t="s">
        <v>12</v>
      </c>
      <c r="AO436" s="5" t="s">
        <v>11</v>
      </c>
      <c r="AP436" s="5" t="s">
        <v>11</v>
      </c>
      <c r="AQ436" s="5" t="s">
        <v>53</v>
      </c>
      <c r="AR436" s="5" t="s">
        <v>52</v>
      </c>
    </row>
    <row r="437" spans="1:44" ht="31.5" x14ac:dyDescent="0.25">
      <c r="A437" s="10">
        <v>46096</v>
      </c>
      <c r="B437" s="5" t="s">
        <v>1118</v>
      </c>
      <c r="C437" s="5" t="s">
        <v>2948</v>
      </c>
      <c r="D437" s="5" t="s">
        <v>11</v>
      </c>
      <c r="E437" s="5" t="s">
        <v>1</v>
      </c>
      <c r="F437" s="5" t="s">
        <v>1</v>
      </c>
      <c r="G437" s="5" t="s">
        <v>4641</v>
      </c>
      <c r="H437" s="5" t="s">
        <v>3451</v>
      </c>
      <c r="I437" s="6" t="str">
        <f>HYPERLINK("http://maps.yandex.ru/?ll=73.366295,61.24553&amp;spn=0.011598,0.004531&amp;z=17&amp;l=map&amp;pt=73.366295,61.24553", "61.245537//73.366295")</f>
        <v>61.245537//73.366295</v>
      </c>
      <c r="J437" s="5" t="s">
        <v>519</v>
      </c>
      <c r="K437" s="6" t="str">
        <f>HYPERLINK("http://maps.yandex.ru/?ll=73.52233,61.2547&amp;spn=0.011598,0.004531&amp;z=17&amp;l=map&amp;pt=73.52233,61.2547", "61.25475//73.52233")</f>
        <v>61.25475//73.52233</v>
      </c>
      <c r="L437" s="5" t="s">
        <v>519</v>
      </c>
      <c r="M437" s="5" t="s">
        <v>238</v>
      </c>
      <c r="N437" s="5" t="s">
        <v>237</v>
      </c>
      <c r="O437" s="5" t="s">
        <v>13</v>
      </c>
      <c r="P437" s="5">
        <v>3</v>
      </c>
      <c r="Q437" s="5">
        <v>97</v>
      </c>
      <c r="R437" s="5">
        <v>0</v>
      </c>
      <c r="S437" s="5">
        <v>13.766999999999999</v>
      </c>
      <c r="T437" s="5" t="s">
        <v>2303</v>
      </c>
      <c r="U437" s="5" t="s">
        <v>2949</v>
      </c>
      <c r="V437" s="5" t="s">
        <v>4642</v>
      </c>
      <c r="W437" s="5">
        <v>0.56999999999999995</v>
      </c>
      <c r="X437" s="5">
        <v>16.91</v>
      </c>
      <c r="Y437" s="5">
        <v>64</v>
      </c>
      <c r="Z437" s="5" t="s">
        <v>2396</v>
      </c>
      <c r="AA437" s="5" t="s">
        <v>4448</v>
      </c>
      <c r="AB437" s="5" t="s">
        <v>19</v>
      </c>
      <c r="AC437" s="5" t="s">
        <v>19</v>
      </c>
      <c r="AD437" s="5" t="s">
        <v>19</v>
      </c>
      <c r="AE437" s="5" t="s">
        <v>2225</v>
      </c>
      <c r="AF437" s="5" t="s">
        <v>4643</v>
      </c>
      <c r="AG437" s="5">
        <v>66</v>
      </c>
      <c r="AH437" s="5">
        <v>55</v>
      </c>
      <c r="AI437" s="5">
        <v>11</v>
      </c>
      <c r="AJ437" s="5">
        <v>507.69</v>
      </c>
      <c r="AK437" s="5">
        <v>84.62</v>
      </c>
      <c r="AL437" s="5" t="s">
        <v>12</v>
      </c>
      <c r="AM437" s="5" t="s">
        <v>12</v>
      </c>
      <c r="AN437" s="5" t="s">
        <v>12</v>
      </c>
      <c r="AO437" s="5" t="s">
        <v>11</v>
      </c>
      <c r="AP437" s="5" t="s">
        <v>11</v>
      </c>
      <c r="AQ437" s="5" t="s">
        <v>53</v>
      </c>
      <c r="AR437" s="5" t="s">
        <v>52</v>
      </c>
    </row>
    <row r="438" spans="1:44" ht="15.75" x14ac:dyDescent="0.25">
      <c r="A438" s="10">
        <v>46096</v>
      </c>
      <c r="B438" s="5" t="s">
        <v>1117</v>
      </c>
      <c r="C438" s="5" t="s">
        <v>2950</v>
      </c>
      <c r="D438" s="5" t="s">
        <v>11</v>
      </c>
      <c r="E438" s="5" t="s">
        <v>11</v>
      </c>
      <c r="F438" s="5" t="s">
        <v>11</v>
      </c>
      <c r="G438" s="5" t="s">
        <v>11</v>
      </c>
      <c r="H438" s="5" t="s">
        <v>11</v>
      </c>
      <c r="I438" s="6" t="str">
        <f>HYPERLINK("http://maps.yandex.ru/?ll=,&amp;spn=0.011598,0.004531&amp;z=17&amp;l=map&amp;pt=,", "")</f>
        <v/>
      </c>
      <c r="J438" s="5" t="s">
        <v>84</v>
      </c>
      <c r="K438" s="6" t="str">
        <f>HYPERLINK("http://maps.yandex.ru/?ll=,&amp;spn=0.011598,0.004531&amp;z=17&amp;l=map&amp;pt=,", "")</f>
        <v/>
      </c>
      <c r="L438" s="5" t="s">
        <v>84</v>
      </c>
      <c r="M438" s="5" t="s">
        <v>13</v>
      </c>
      <c r="N438" s="5" t="s">
        <v>13</v>
      </c>
      <c r="O438" s="5" t="s">
        <v>58</v>
      </c>
      <c r="P438" s="5">
        <v>0</v>
      </c>
      <c r="Q438" s="5">
        <v>0</v>
      </c>
      <c r="R438" s="5">
        <v>100</v>
      </c>
      <c r="S438" s="5">
        <v>0</v>
      </c>
      <c r="T438" s="5" t="s">
        <v>12</v>
      </c>
      <c r="U438" s="5" t="s">
        <v>12</v>
      </c>
      <c r="V438" s="5" t="s">
        <v>12</v>
      </c>
      <c r="W438" s="5">
        <v>0</v>
      </c>
      <c r="X438" s="5">
        <v>0</v>
      </c>
      <c r="Y438" s="5">
        <v>0</v>
      </c>
      <c r="Z438" s="5" t="s">
        <v>12</v>
      </c>
      <c r="AA438" s="5" t="s">
        <v>12</v>
      </c>
      <c r="AB438" s="5" t="s">
        <v>19</v>
      </c>
      <c r="AC438" s="5" t="s">
        <v>19</v>
      </c>
      <c r="AD438" s="5" t="s">
        <v>19</v>
      </c>
      <c r="AE438" s="5" t="s">
        <v>12</v>
      </c>
      <c r="AF438" s="5" t="s">
        <v>12</v>
      </c>
      <c r="AG438" s="5"/>
      <c r="AH438" s="5">
        <v>0</v>
      </c>
      <c r="AI438" s="5"/>
      <c r="AJ438" s="5"/>
      <c r="AK438" s="5"/>
      <c r="AL438" s="5" t="s">
        <v>12</v>
      </c>
      <c r="AM438" s="5" t="s">
        <v>12</v>
      </c>
      <c r="AN438" s="5" t="s">
        <v>12</v>
      </c>
      <c r="AO438" s="5" t="s">
        <v>11</v>
      </c>
      <c r="AP438" s="5" t="s">
        <v>11</v>
      </c>
      <c r="AQ438" s="5" t="s">
        <v>18</v>
      </c>
      <c r="AR438" s="5" t="s">
        <v>17</v>
      </c>
    </row>
    <row r="439" spans="1:44" ht="15.75" x14ac:dyDescent="0.25">
      <c r="A439" s="10">
        <v>46096</v>
      </c>
      <c r="B439" s="5" t="s">
        <v>1116</v>
      </c>
      <c r="C439" s="5" t="s">
        <v>2951</v>
      </c>
      <c r="D439" s="5" t="s">
        <v>11</v>
      </c>
      <c r="E439" s="5" t="s">
        <v>11</v>
      </c>
      <c r="F439" s="5" t="s">
        <v>11</v>
      </c>
      <c r="G439" s="5" t="s">
        <v>11</v>
      </c>
      <c r="H439" s="5" t="s">
        <v>11</v>
      </c>
      <c r="I439" s="6" t="str">
        <f>HYPERLINK("http://maps.yandex.ru/?ll=,&amp;spn=0.011598,0.004531&amp;z=17&amp;l=map&amp;pt=,", "")</f>
        <v/>
      </c>
      <c r="J439" s="5" t="s">
        <v>84</v>
      </c>
      <c r="K439" s="6" t="str">
        <f>HYPERLINK("http://maps.yandex.ru/?ll=,&amp;spn=0.011598,0.004531&amp;z=17&amp;l=map&amp;pt=,", "")</f>
        <v/>
      </c>
      <c r="L439" s="5" t="s">
        <v>84</v>
      </c>
      <c r="M439" s="5" t="s">
        <v>13</v>
      </c>
      <c r="N439" s="5" t="s">
        <v>13</v>
      </c>
      <c r="O439" s="5" t="s">
        <v>58</v>
      </c>
      <c r="P439" s="5">
        <v>0</v>
      </c>
      <c r="Q439" s="5">
        <v>0</v>
      </c>
      <c r="R439" s="5">
        <v>100</v>
      </c>
      <c r="S439" s="5">
        <v>0</v>
      </c>
      <c r="T439" s="5" t="s">
        <v>12</v>
      </c>
      <c r="U439" s="5" t="s">
        <v>12</v>
      </c>
      <c r="V439" s="5" t="s">
        <v>12</v>
      </c>
      <c r="W439" s="5">
        <v>0</v>
      </c>
      <c r="X439" s="5">
        <v>0</v>
      </c>
      <c r="Y439" s="5">
        <v>0</v>
      </c>
      <c r="Z439" s="5" t="s">
        <v>12</v>
      </c>
      <c r="AA439" s="5" t="s">
        <v>12</v>
      </c>
      <c r="AB439" s="5" t="s">
        <v>12</v>
      </c>
      <c r="AC439" s="5" t="s">
        <v>12</v>
      </c>
      <c r="AD439" s="5" t="s">
        <v>12</v>
      </c>
      <c r="AE439" s="5" t="s">
        <v>12</v>
      </c>
      <c r="AF439" s="5" t="s">
        <v>12</v>
      </c>
      <c r="AG439" s="5"/>
      <c r="AH439" s="5">
        <v>0</v>
      </c>
      <c r="AI439" s="5"/>
      <c r="AJ439" s="5"/>
      <c r="AK439" s="5"/>
      <c r="AL439" s="5" t="s">
        <v>12</v>
      </c>
      <c r="AM439" s="5" t="s">
        <v>12</v>
      </c>
      <c r="AN439" s="5" t="s">
        <v>12</v>
      </c>
      <c r="AO439" s="5" t="s">
        <v>11</v>
      </c>
      <c r="AP439" s="5" t="s">
        <v>11</v>
      </c>
      <c r="AQ439" s="5" t="s">
        <v>37</v>
      </c>
      <c r="AR439" s="5" t="s">
        <v>437</v>
      </c>
    </row>
    <row r="440" spans="1:44" ht="31.5" x14ac:dyDescent="0.25">
      <c r="A440" s="10">
        <v>46096</v>
      </c>
      <c r="B440" s="5" t="s">
        <v>1115</v>
      </c>
      <c r="C440" s="5" t="s">
        <v>2952</v>
      </c>
      <c r="D440" s="5" t="s">
        <v>11</v>
      </c>
      <c r="E440" s="5" t="s">
        <v>40</v>
      </c>
      <c r="F440" s="5" t="s">
        <v>11</v>
      </c>
      <c r="G440" s="5" t="s">
        <v>3103</v>
      </c>
      <c r="H440" s="5" t="s">
        <v>4644</v>
      </c>
      <c r="I440" s="6" t="str">
        <f>HYPERLINK("http://maps.yandex.ru/?ll=38.328876,55.91072&amp;spn=0.011598,0.004531&amp;z=17&amp;l=map&amp;pt=38.328876,55.91072", "55.910725//38.328876")</f>
        <v>55.910725//38.328876</v>
      </c>
      <c r="J440" s="5" t="s">
        <v>56</v>
      </c>
      <c r="K440" s="6" t="str">
        <f>HYPERLINK("http://maps.yandex.ru/?ll=37.89887,55.30019&amp;spn=0.011598,0.004531&amp;z=17&amp;l=map&amp;pt=37.89887,55.30019", "55.300198//37.89887")</f>
        <v>55.300198//37.89887</v>
      </c>
      <c r="L440" s="5" t="s">
        <v>56</v>
      </c>
      <c r="M440" s="5" t="s">
        <v>1085</v>
      </c>
      <c r="N440" s="5" t="s">
        <v>13</v>
      </c>
      <c r="O440" s="5" t="s">
        <v>3105</v>
      </c>
      <c r="P440" s="5">
        <v>19</v>
      </c>
      <c r="Q440" s="5">
        <v>0</v>
      </c>
      <c r="R440" s="5">
        <v>81</v>
      </c>
      <c r="S440" s="5">
        <v>886.56799999999998</v>
      </c>
      <c r="T440" s="5" t="s">
        <v>12</v>
      </c>
      <c r="U440" s="5" t="s">
        <v>12</v>
      </c>
      <c r="V440" s="5" t="s">
        <v>12</v>
      </c>
      <c r="W440" s="5">
        <v>36.94</v>
      </c>
      <c r="X440" s="5">
        <v>192.7</v>
      </c>
      <c r="Y440" s="5">
        <v>118</v>
      </c>
      <c r="Z440" s="5" t="s">
        <v>12</v>
      </c>
      <c r="AA440" s="5" t="s">
        <v>12</v>
      </c>
      <c r="AB440" s="5" t="s">
        <v>12</v>
      </c>
      <c r="AC440" s="5" t="s">
        <v>12</v>
      </c>
      <c r="AD440" s="5" t="s">
        <v>12</v>
      </c>
      <c r="AE440" s="5" t="s">
        <v>12</v>
      </c>
      <c r="AF440" s="5" t="s">
        <v>12</v>
      </c>
      <c r="AG440" s="5"/>
      <c r="AH440" s="5"/>
      <c r="AI440" s="5"/>
      <c r="AJ440" s="5"/>
      <c r="AK440" s="5"/>
      <c r="AL440" s="5" t="s">
        <v>12</v>
      </c>
      <c r="AM440" s="5" t="s">
        <v>12</v>
      </c>
      <c r="AN440" s="5" t="s">
        <v>12</v>
      </c>
      <c r="AO440" s="5" t="s">
        <v>69</v>
      </c>
      <c r="AP440" s="5" t="s">
        <v>68</v>
      </c>
      <c r="AQ440" s="5" t="s">
        <v>67</v>
      </c>
      <c r="AR440" s="5" t="s">
        <v>66</v>
      </c>
    </row>
    <row r="441" spans="1:44" ht="31.5" x14ac:dyDescent="0.25">
      <c r="A441" s="10">
        <v>46096</v>
      </c>
      <c r="B441" s="5" t="s">
        <v>1114</v>
      </c>
      <c r="C441" s="5" t="s">
        <v>2953</v>
      </c>
      <c r="D441" s="5" t="s">
        <v>11</v>
      </c>
      <c r="E441" s="5" t="s">
        <v>40</v>
      </c>
      <c r="F441" s="5" t="s">
        <v>11</v>
      </c>
      <c r="G441" s="5" t="s">
        <v>4645</v>
      </c>
      <c r="H441" s="5" t="s">
        <v>3121</v>
      </c>
      <c r="I441" s="6" t="str">
        <f>HYPERLINK("http://maps.yandex.ru/?ll=38.72241,55.14844&amp;spn=0.011598,0.004531&amp;z=17&amp;l=map&amp;pt=38.72241,55.14844", "55.148445//38.72241")</f>
        <v>55.148445//38.72241</v>
      </c>
      <c r="J441" s="5" t="s">
        <v>56</v>
      </c>
      <c r="K441" s="6" t="str">
        <f>HYPERLINK("http://maps.yandex.ru/?ll=37.850323,55.79582&amp;spn=0.011598,0.004531&amp;z=17&amp;l=map&amp;pt=37.850323,55.79582", "55.795822//37.850323")</f>
        <v>55.795822//37.850323</v>
      </c>
      <c r="L441" s="5" t="s">
        <v>56</v>
      </c>
      <c r="M441" s="5" t="s">
        <v>4646</v>
      </c>
      <c r="N441" s="5" t="s">
        <v>4647</v>
      </c>
      <c r="O441" s="5" t="s">
        <v>394</v>
      </c>
      <c r="P441" s="5">
        <v>22</v>
      </c>
      <c r="Q441" s="5">
        <v>49</v>
      </c>
      <c r="R441" s="5">
        <v>29</v>
      </c>
      <c r="S441" s="5">
        <v>316.56</v>
      </c>
      <c r="T441" s="5" t="s">
        <v>2000</v>
      </c>
      <c r="U441" s="5" t="s">
        <v>2954</v>
      </c>
      <c r="V441" s="5" t="s">
        <v>4648</v>
      </c>
      <c r="W441" s="5">
        <v>13.19</v>
      </c>
      <c r="X441" s="5">
        <v>59.09</v>
      </c>
      <c r="Y441" s="5">
        <v>113</v>
      </c>
      <c r="Z441" s="5" t="s">
        <v>2956</v>
      </c>
      <c r="AA441" s="5" t="s">
        <v>2263</v>
      </c>
      <c r="AB441" s="5" t="s">
        <v>19</v>
      </c>
      <c r="AC441" s="5" t="s">
        <v>19</v>
      </c>
      <c r="AD441" s="5" t="s">
        <v>19</v>
      </c>
      <c r="AE441" s="5" t="s">
        <v>2094</v>
      </c>
      <c r="AF441" s="5" t="s">
        <v>4649</v>
      </c>
      <c r="AG441" s="5"/>
      <c r="AH441" s="5">
        <v>0</v>
      </c>
      <c r="AI441" s="5"/>
      <c r="AJ441" s="5">
        <v>0</v>
      </c>
      <c r="AK441" s="5">
        <v>0</v>
      </c>
      <c r="AL441" s="5" t="s">
        <v>12</v>
      </c>
      <c r="AM441" s="5" t="s">
        <v>12</v>
      </c>
      <c r="AN441" s="5" t="s">
        <v>12</v>
      </c>
      <c r="AO441" s="5" t="s">
        <v>11</v>
      </c>
      <c r="AP441" s="5" t="s">
        <v>11</v>
      </c>
      <c r="AQ441" s="5" t="s">
        <v>31</v>
      </c>
      <c r="AR441" s="5" t="s">
        <v>30</v>
      </c>
    </row>
    <row r="442" spans="1:44" ht="31.5" x14ac:dyDescent="0.25">
      <c r="A442" s="10">
        <v>46096</v>
      </c>
      <c r="B442" s="5" t="s">
        <v>1113</v>
      </c>
      <c r="C442" s="5" t="s">
        <v>2957</v>
      </c>
      <c r="D442" s="5" t="s">
        <v>11</v>
      </c>
      <c r="E442" s="5" t="s">
        <v>3</v>
      </c>
      <c r="F442" s="5" t="s">
        <v>3</v>
      </c>
      <c r="G442" s="5" t="s">
        <v>4650</v>
      </c>
      <c r="H442" s="5" t="s">
        <v>4651</v>
      </c>
      <c r="I442" s="6" t="str">
        <f>HYPERLINK("http://maps.yandex.ru/?ll=30.654505,59.66921&amp;spn=0.011598,0.004531&amp;z=17&amp;l=map&amp;pt=30.654505,59.66921", "59.669216//30.654505")</f>
        <v>59.669216//30.654505</v>
      </c>
      <c r="J442" s="5" t="s">
        <v>22</v>
      </c>
      <c r="K442" s="6" t="str">
        <f>HYPERLINK("http://maps.yandex.ru/?ll=30.39537,59.89988&amp;spn=0.011598,0.004531&amp;z=17&amp;l=map&amp;pt=30.39537,59.89988", "59.899887//30.39537")</f>
        <v>59.899887//30.39537</v>
      </c>
      <c r="L442" s="5" t="s">
        <v>23</v>
      </c>
      <c r="M442" s="5" t="s">
        <v>1171</v>
      </c>
      <c r="N442" s="5" t="s">
        <v>4652</v>
      </c>
      <c r="O442" s="5" t="s">
        <v>13</v>
      </c>
      <c r="P442" s="5">
        <v>7</v>
      </c>
      <c r="Q442" s="5">
        <v>93</v>
      </c>
      <c r="R442" s="5">
        <v>0</v>
      </c>
      <c r="S442" s="5">
        <v>43.363999999999997</v>
      </c>
      <c r="T442" s="5" t="s">
        <v>12</v>
      </c>
      <c r="U442" s="5" t="s">
        <v>12</v>
      </c>
      <c r="V442" s="5" t="s">
        <v>12</v>
      </c>
      <c r="W442" s="5">
        <v>1.81</v>
      </c>
      <c r="X442" s="5">
        <v>24.55</v>
      </c>
      <c r="Y442" s="5">
        <v>104</v>
      </c>
      <c r="Z442" s="5" t="s">
        <v>12</v>
      </c>
      <c r="AA442" s="5" t="s">
        <v>12</v>
      </c>
      <c r="AB442" s="5" t="s">
        <v>12</v>
      </c>
      <c r="AC442" s="5" t="s">
        <v>12</v>
      </c>
      <c r="AD442" s="5" t="s">
        <v>12</v>
      </c>
      <c r="AE442" s="5" t="s">
        <v>12</v>
      </c>
      <c r="AF442" s="5" t="s">
        <v>12</v>
      </c>
      <c r="AG442" s="5"/>
      <c r="AH442" s="5"/>
      <c r="AI442" s="5"/>
      <c r="AJ442" s="5"/>
      <c r="AK442" s="5"/>
      <c r="AL442" s="5" t="s">
        <v>2958</v>
      </c>
      <c r="AM442" s="5" t="s">
        <v>4653</v>
      </c>
      <c r="AN442" s="5" t="s">
        <v>2049</v>
      </c>
      <c r="AO442" s="5" t="s">
        <v>69</v>
      </c>
      <c r="AP442" s="5" t="s">
        <v>68</v>
      </c>
      <c r="AQ442" s="5" t="s">
        <v>67</v>
      </c>
      <c r="AR442" s="5" t="s">
        <v>66</v>
      </c>
    </row>
    <row r="443" spans="1:44" ht="31.5" x14ac:dyDescent="0.25">
      <c r="A443" s="10">
        <v>46096</v>
      </c>
      <c r="B443" s="5" t="s">
        <v>1112</v>
      </c>
      <c r="C443" s="5" t="s">
        <v>2959</v>
      </c>
      <c r="D443" s="5" t="s">
        <v>11</v>
      </c>
      <c r="E443" s="5" t="s">
        <v>7</v>
      </c>
      <c r="F443" s="5" t="s">
        <v>7</v>
      </c>
      <c r="G443" s="5" t="s">
        <v>4654</v>
      </c>
      <c r="H443" s="5" t="s">
        <v>4655</v>
      </c>
      <c r="I443" s="6" t="str">
        <f>HYPERLINK("http://maps.yandex.ru/?ll=47.990677,54.31108&amp;spn=0.011598,0.004531&amp;z=17&amp;l=map&amp;pt=47.990677,54.31108", "54.311085//47.990677")</f>
        <v>54.311085//47.990677</v>
      </c>
      <c r="J443" s="5" t="s">
        <v>61</v>
      </c>
      <c r="K443" s="6" t="str">
        <f>HYPERLINK("http://maps.yandex.ru/?ll=41.81934,52.67904&amp;spn=0.011598,0.004531&amp;z=17&amp;l=map&amp;pt=41.81934,52.67904", "52.679043//41.81934")</f>
        <v>52.679043//41.81934</v>
      </c>
      <c r="L443" s="5" t="s">
        <v>284</v>
      </c>
      <c r="M443" s="5" t="s">
        <v>120</v>
      </c>
      <c r="N443" s="5" t="s">
        <v>792</v>
      </c>
      <c r="O443" s="5" t="s">
        <v>13</v>
      </c>
      <c r="P443" s="5">
        <v>33</v>
      </c>
      <c r="Q443" s="5">
        <v>67</v>
      </c>
      <c r="R443" s="5">
        <v>0</v>
      </c>
      <c r="S443" s="5">
        <v>586.28300000000002</v>
      </c>
      <c r="T443" s="5" t="s">
        <v>12</v>
      </c>
      <c r="U443" s="5" t="s">
        <v>12</v>
      </c>
      <c r="V443" s="5" t="s">
        <v>12</v>
      </c>
      <c r="W443" s="5">
        <v>24.43</v>
      </c>
      <c r="X443" s="5">
        <v>73.680000000000007</v>
      </c>
      <c r="Y443" s="5">
        <v>104</v>
      </c>
      <c r="Z443" s="5" t="s">
        <v>1609</v>
      </c>
      <c r="AA443" s="5" t="s">
        <v>1748</v>
      </c>
      <c r="AB443" s="5" t="s">
        <v>19</v>
      </c>
      <c r="AC443" s="5" t="s">
        <v>19</v>
      </c>
      <c r="AD443" s="5" t="s">
        <v>19</v>
      </c>
      <c r="AE443" s="5" t="s">
        <v>1673</v>
      </c>
      <c r="AF443" s="5" t="s">
        <v>12</v>
      </c>
      <c r="AG443" s="5"/>
      <c r="AH443" s="5"/>
      <c r="AI443" s="5"/>
      <c r="AJ443" s="5"/>
      <c r="AK443" s="5"/>
      <c r="AL443" s="5" t="s">
        <v>12</v>
      </c>
      <c r="AM443" s="5" t="s">
        <v>12</v>
      </c>
      <c r="AN443" s="5" t="s">
        <v>12</v>
      </c>
      <c r="AO443" s="5" t="s">
        <v>69</v>
      </c>
      <c r="AP443" s="5" t="s">
        <v>68</v>
      </c>
      <c r="AQ443" s="5" t="s">
        <v>67</v>
      </c>
      <c r="AR443" s="5" t="s">
        <v>66</v>
      </c>
    </row>
    <row r="444" spans="1:44" ht="31.5" x14ac:dyDescent="0.25">
      <c r="A444" s="10">
        <v>46096</v>
      </c>
      <c r="B444" s="5" t="s">
        <v>1111</v>
      </c>
      <c r="C444" s="5" t="s">
        <v>2960</v>
      </c>
      <c r="D444" s="5" t="s">
        <v>11</v>
      </c>
      <c r="E444" s="5" t="s">
        <v>5</v>
      </c>
      <c r="F444" s="5" t="s">
        <v>5</v>
      </c>
      <c r="G444" s="5" t="s">
        <v>4656</v>
      </c>
      <c r="H444" s="5" t="s">
        <v>4657</v>
      </c>
      <c r="I444" s="6" t="str">
        <f>HYPERLINK("http://maps.yandex.ru/?ll=48.381138,53.08321&amp;spn=0.011598,0.004531&amp;z=17&amp;l=map&amp;pt=48.381138,53.08321", "53.083218//48.381138")</f>
        <v>53.083218//48.381138</v>
      </c>
      <c r="J444" s="5" t="s">
        <v>76</v>
      </c>
      <c r="K444" s="6" t="str">
        <f>HYPERLINK("http://maps.yandex.ru/?ll=50.59286,53.2293&amp;spn=0.011598,0.004531&amp;z=17&amp;l=map&amp;pt=50.59286,53.2293", "53.22934//50.59286")</f>
        <v>53.22934//50.59286</v>
      </c>
      <c r="L444" s="5" t="s">
        <v>76</v>
      </c>
      <c r="M444" s="5" t="s">
        <v>1022</v>
      </c>
      <c r="N444" s="5" t="s">
        <v>26</v>
      </c>
      <c r="O444" s="5" t="s">
        <v>159</v>
      </c>
      <c r="P444" s="5">
        <v>8</v>
      </c>
      <c r="Q444" s="5">
        <v>61</v>
      </c>
      <c r="R444" s="5">
        <v>31</v>
      </c>
      <c r="S444" s="5">
        <v>67.099999999999994</v>
      </c>
      <c r="T444" s="5" t="s">
        <v>12</v>
      </c>
      <c r="U444" s="5" t="s">
        <v>12</v>
      </c>
      <c r="V444" s="5" t="s">
        <v>12</v>
      </c>
      <c r="W444" s="5">
        <v>2.8</v>
      </c>
      <c r="X444" s="5">
        <v>35.89</v>
      </c>
      <c r="Y444" s="5">
        <v>142</v>
      </c>
      <c r="Z444" s="5" t="s">
        <v>12</v>
      </c>
      <c r="AA444" s="5" t="s">
        <v>12</v>
      </c>
      <c r="AB444" s="5" t="s">
        <v>12</v>
      </c>
      <c r="AC444" s="5" t="s">
        <v>12</v>
      </c>
      <c r="AD444" s="5" t="s">
        <v>12</v>
      </c>
      <c r="AE444" s="5" t="s">
        <v>12</v>
      </c>
      <c r="AF444" s="5" t="s">
        <v>12</v>
      </c>
      <c r="AG444" s="5"/>
      <c r="AH444" s="5"/>
      <c r="AI444" s="5"/>
      <c r="AJ444" s="5"/>
      <c r="AK444" s="5"/>
      <c r="AL444" s="5" t="s">
        <v>2961</v>
      </c>
      <c r="AM444" s="5" t="s">
        <v>4658</v>
      </c>
      <c r="AN444" s="5" t="s">
        <v>1870</v>
      </c>
      <c r="AO444" s="5" t="s">
        <v>69</v>
      </c>
      <c r="AP444" s="5" t="s">
        <v>68</v>
      </c>
      <c r="AQ444" s="5" t="s">
        <v>67</v>
      </c>
      <c r="AR444" s="5" t="s">
        <v>66</v>
      </c>
    </row>
    <row r="445" spans="1:44" ht="31.5" x14ac:dyDescent="0.25">
      <c r="A445" s="10">
        <v>46096</v>
      </c>
      <c r="B445" s="5" t="s">
        <v>1110</v>
      </c>
      <c r="C445" s="5" t="s">
        <v>2962</v>
      </c>
      <c r="D445" s="5" t="s">
        <v>11</v>
      </c>
      <c r="E445" s="5" t="s">
        <v>5</v>
      </c>
      <c r="F445" s="5" t="s">
        <v>5</v>
      </c>
      <c r="G445" s="5" t="s">
        <v>4659</v>
      </c>
      <c r="H445" s="5" t="s">
        <v>4660</v>
      </c>
      <c r="I445" s="6" t="str">
        <f>HYPERLINK("http://maps.yandex.ru/?ll=47.257652,56.01430&amp;spn=0.011598,0.004531&amp;z=17&amp;l=map&amp;pt=47.257652,56.01430", "56.014305//47.257652")</f>
        <v>56.014305//47.257652</v>
      </c>
      <c r="J445" s="5" t="s">
        <v>46</v>
      </c>
      <c r="K445" s="6" t="str">
        <f>HYPERLINK("http://maps.yandex.ru/?ll=43.92083,56.254&amp;spn=0.011598,0.004531&amp;z=17&amp;l=map&amp;pt=43.92083,56.254", "56.2541//43.92083")</f>
        <v>56.2541//43.92083</v>
      </c>
      <c r="L445" s="5" t="s">
        <v>15</v>
      </c>
      <c r="M445" s="5" t="s">
        <v>1378</v>
      </c>
      <c r="N445" s="5" t="s">
        <v>1385</v>
      </c>
      <c r="O445" s="5" t="s">
        <v>883</v>
      </c>
      <c r="P445" s="5">
        <v>13</v>
      </c>
      <c r="Q445" s="5">
        <v>83</v>
      </c>
      <c r="R445" s="5">
        <v>4</v>
      </c>
      <c r="S445" s="5">
        <v>233.03800000000001</v>
      </c>
      <c r="T445" s="5" t="s">
        <v>2521</v>
      </c>
      <c r="U445" s="5" t="s">
        <v>4661</v>
      </c>
      <c r="V445" s="5" t="s">
        <v>4662</v>
      </c>
      <c r="W445" s="5">
        <v>9.7100000000000009</v>
      </c>
      <c r="X445" s="5">
        <v>73.17</v>
      </c>
      <c r="Y445" s="5">
        <v>128</v>
      </c>
      <c r="Z445" s="5" t="s">
        <v>2964</v>
      </c>
      <c r="AA445" s="5" t="s">
        <v>4663</v>
      </c>
      <c r="AB445" s="5" t="s">
        <v>19</v>
      </c>
      <c r="AC445" s="5" t="s">
        <v>19</v>
      </c>
      <c r="AD445" s="5" t="s">
        <v>4664</v>
      </c>
      <c r="AE445" s="5" t="s">
        <v>2129</v>
      </c>
      <c r="AF445" s="5" t="s">
        <v>4665</v>
      </c>
      <c r="AG445" s="5">
        <v>88</v>
      </c>
      <c r="AH445" s="5">
        <v>3</v>
      </c>
      <c r="AI445" s="5">
        <v>85</v>
      </c>
      <c r="AJ445" s="5">
        <v>37.61</v>
      </c>
      <c r="AK445" s="5">
        <v>36.32</v>
      </c>
      <c r="AL445" s="5" t="s">
        <v>12</v>
      </c>
      <c r="AM445" s="5" t="s">
        <v>12</v>
      </c>
      <c r="AN445" s="5" t="s">
        <v>12</v>
      </c>
      <c r="AO445" s="5" t="s">
        <v>11</v>
      </c>
      <c r="AP445" s="5" t="s">
        <v>11</v>
      </c>
      <c r="AQ445" s="5" t="s">
        <v>18</v>
      </c>
      <c r="AR445" s="5" t="s">
        <v>74</v>
      </c>
    </row>
    <row r="446" spans="1:44" ht="31.5" x14ac:dyDescent="0.25">
      <c r="A446" s="10">
        <v>46096</v>
      </c>
      <c r="B446" s="5" t="s">
        <v>1109</v>
      </c>
      <c r="C446" s="5" t="s">
        <v>2966</v>
      </c>
      <c r="D446" s="5" t="s">
        <v>11</v>
      </c>
      <c r="E446" s="5" t="s">
        <v>8</v>
      </c>
      <c r="F446" s="5" t="s">
        <v>8</v>
      </c>
      <c r="G446" s="5" t="s">
        <v>4666</v>
      </c>
      <c r="H446" s="5" t="s">
        <v>4667</v>
      </c>
      <c r="I446" s="6" t="str">
        <f>HYPERLINK("http://maps.yandex.ru/?ll=55.75725,58.07557&amp;spn=0.011598,0.004531&amp;z=17&amp;l=map&amp;pt=55.75725,58.07557", "58.075577//55.75725")</f>
        <v>58.075577//55.75725</v>
      </c>
      <c r="J446" s="5" t="s">
        <v>509</v>
      </c>
      <c r="K446" s="6" t="str">
        <f>HYPERLINK("http://maps.yandex.ru/?ll=49.148586,55.9180&amp;spn=0.011598,0.004531&amp;z=17&amp;l=map&amp;pt=49.148586,55.9180", "55.91808//49.148586")</f>
        <v>55.91808//49.148586</v>
      </c>
      <c r="L446" s="5" t="s">
        <v>28</v>
      </c>
      <c r="M446" s="5" t="s">
        <v>1335</v>
      </c>
      <c r="N446" s="5" t="s">
        <v>1042</v>
      </c>
      <c r="O446" s="5" t="s">
        <v>13</v>
      </c>
      <c r="P446" s="5">
        <v>44</v>
      </c>
      <c r="Q446" s="5">
        <v>56</v>
      </c>
      <c r="R446" s="5">
        <v>0</v>
      </c>
      <c r="S446" s="5">
        <v>692.37099999999998</v>
      </c>
      <c r="T446" s="5" t="s">
        <v>2895</v>
      </c>
      <c r="U446" s="5" t="s">
        <v>4668</v>
      </c>
      <c r="V446" s="5" t="s">
        <v>4669</v>
      </c>
      <c r="W446" s="5">
        <v>28.85</v>
      </c>
      <c r="X446" s="5">
        <v>65.33</v>
      </c>
      <c r="Y446" s="5">
        <v>99</v>
      </c>
      <c r="Z446" s="5" t="s">
        <v>2967</v>
      </c>
      <c r="AA446" s="5" t="s">
        <v>4670</v>
      </c>
      <c r="AB446" s="5" t="s">
        <v>2104</v>
      </c>
      <c r="AC446" s="5" t="s">
        <v>1673</v>
      </c>
      <c r="AD446" s="5" t="s">
        <v>19</v>
      </c>
      <c r="AE446" s="5" t="s">
        <v>4671</v>
      </c>
      <c r="AF446" s="5" t="s">
        <v>1569</v>
      </c>
      <c r="AG446" s="5">
        <v>242</v>
      </c>
      <c r="AH446" s="5">
        <v>1</v>
      </c>
      <c r="AI446" s="5">
        <v>241</v>
      </c>
      <c r="AJ446" s="5">
        <v>33.85</v>
      </c>
      <c r="AK446" s="5">
        <v>33.71</v>
      </c>
      <c r="AL446" s="5" t="s">
        <v>12</v>
      </c>
      <c r="AM446" s="5" t="s">
        <v>12</v>
      </c>
      <c r="AN446" s="5" t="s">
        <v>12</v>
      </c>
      <c r="AO446" s="5" t="s">
        <v>11</v>
      </c>
      <c r="AP446" s="5" t="s">
        <v>11</v>
      </c>
      <c r="AQ446" s="5" t="s">
        <v>18</v>
      </c>
      <c r="AR446" s="5" t="s">
        <v>74</v>
      </c>
    </row>
    <row r="447" spans="1:44" ht="31.5" x14ac:dyDescent="0.25">
      <c r="A447" s="10">
        <v>46096</v>
      </c>
      <c r="B447" s="5" t="s">
        <v>1107</v>
      </c>
      <c r="C447" s="5" t="s">
        <v>2968</v>
      </c>
      <c r="D447" s="5" t="s">
        <v>11</v>
      </c>
      <c r="E447" s="5" t="s">
        <v>3</v>
      </c>
      <c r="F447" s="5" t="s">
        <v>3</v>
      </c>
      <c r="G447" s="5" t="s">
        <v>4672</v>
      </c>
      <c r="H447" s="5" t="s">
        <v>4673</v>
      </c>
      <c r="I447" s="6" t="str">
        <f>HYPERLINK("http://maps.yandex.ru/?ll=35.300865,56.9723&amp;spn=0.011598,0.004531&amp;z=17&amp;l=map&amp;pt=35.300865,56.9723", "56.97233//35.300865")</f>
        <v>56.97233//35.300865</v>
      </c>
      <c r="J447" s="5" t="s">
        <v>50</v>
      </c>
      <c r="K447" s="6" t="str">
        <f>HYPERLINK("http://maps.yandex.ru/?ll=30.459526,59.772&amp;spn=0.011598,0.004531&amp;z=17&amp;l=map&amp;pt=30.459526,59.772", "59.7724//30.459526")</f>
        <v>59.7724//30.459526</v>
      </c>
      <c r="L447" s="5" t="s">
        <v>23</v>
      </c>
      <c r="M447" s="5" t="s">
        <v>1079</v>
      </c>
      <c r="N447" s="5" t="s">
        <v>4674</v>
      </c>
      <c r="O447" s="5" t="s">
        <v>1198</v>
      </c>
      <c r="P447" s="5">
        <v>23</v>
      </c>
      <c r="Q447" s="5">
        <v>73</v>
      </c>
      <c r="R447" s="5">
        <v>4</v>
      </c>
      <c r="S447" s="5">
        <v>397.26</v>
      </c>
      <c r="T447" s="5" t="s">
        <v>2570</v>
      </c>
      <c r="U447" s="5" t="s">
        <v>4675</v>
      </c>
      <c r="V447" s="5" t="s">
        <v>4676</v>
      </c>
      <c r="W447" s="5">
        <v>16.55</v>
      </c>
      <c r="X447" s="5">
        <v>71.37</v>
      </c>
      <c r="Y447" s="5">
        <v>162</v>
      </c>
      <c r="Z447" s="5" t="s">
        <v>2970</v>
      </c>
      <c r="AA447" s="5" t="s">
        <v>4677</v>
      </c>
      <c r="AB447" s="5" t="s">
        <v>2947</v>
      </c>
      <c r="AC447" s="5" t="s">
        <v>1673</v>
      </c>
      <c r="AD447" s="5" t="s">
        <v>4678</v>
      </c>
      <c r="AE447" s="5" t="s">
        <v>2839</v>
      </c>
      <c r="AF447" s="5" t="s">
        <v>4679</v>
      </c>
      <c r="AG447" s="5">
        <v>137</v>
      </c>
      <c r="AH447" s="5">
        <v>1</v>
      </c>
      <c r="AI447" s="5">
        <v>136</v>
      </c>
      <c r="AJ447" s="5">
        <v>26.6</v>
      </c>
      <c r="AK447" s="5">
        <v>26.41</v>
      </c>
      <c r="AL447" s="5" t="s">
        <v>12</v>
      </c>
      <c r="AM447" s="5" t="s">
        <v>12</v>
      </c>
      <c r="AN447" s="5" t="s">
        <v>12</v>
      </c>
      <c r="AO447" s="5" t="s">
        <v>11</v>
      </c>
      <c r="AP447" s="5" t="s">
        <v>11</v>
      </c>
      <c r="AQ447" s="5" t="s">
        <v>18</v>
      </c>
      <c r="AR447" s="5" t="s">
        <v>74</v>
      </c>
    </row>
    <row r="448" spans="1:44" ht="31.5" x14ac:dyDescent="0.25">
      <c r="A448" s="10">
        <v>46096</v>
      </c>
      <c r="B448" s="5" t="s">
        <v>1106</v>
      </c>
      <c r="C448" s="5" t="s">
        <v>2971</v>
      </c>
      <c r="D448" s="5" t="s">
        <v>11</v>
      </c>
      <c r="E448" s="5" t="s">
        <v>5</v>
      </c>
      <c r="F448" s="5" t="s">
        <v>5</v>
      </c>
      <c r="G448" s="5" t="s">
        <v>4680</v>
      </c>
      <c r="H448" s="5" t="s">
        <v>3121</v>
      </c>
      <c r="I448" s="6" t="str">
        <f>HYPERLINK("http://maps.yandex.ru/?ll=37.559048,55.48431&amp;spn=0.011598,0.004531&amp;z=17&amp;l=map&amp;pt=37.559048,55.48431", "55.484318//37.559048")</f>
        <v>55.484318//37.559048</v>
      </c>
      <c r="J448" s="5" t="s">
        <v>23</v>
      </c>
      <c r="K448" s="6" t="str">
        <f>HYPERLINK("http://maps.yandex.ru/?ll=39.010376,55.3522&amp;spn=0.011598,0.004531&amp;z=17&amp;l=map&amp;pt=39.010376,55.3522", "55.35225//39.010376")</f>
        <v>55.35225//39.010376</v>
      </c>
      <c r="L448" s="5" t="s">
        <v>56</v>
      </c>
      <c r="M448" s="5" t="s">
        <v>840</v>
      </c>
      <c r="N448" s="5" t="s">
        <v>1467</v>
      </c>
      <c r="O448" s="5" t="s">
        <v>1458</v>
      </c>
      <c r="P448" s="5">
        <v>35</v>
      </c>
      <c r="Q448" s="5">
        <v>50</v>
      </c>
      <c r="R448" s="5">
        <v>15</v>
      </c>
      <c r="S448" s="5">
        <v>325.49</v>
      </c>
      <c r="T448" s="5" t="s">
        <v>2240</v>
      </c>
      <c r="U448" s="5" t="s">
        <v>4681</v>
      </c>
      <c r="V448" s="5" t="s">
        <v>4682</v>
      </c>
      <c r="W448" s="5">
        <v>13.56</v>
      </c>
      <c r="X448" s="5">
        <v>38.619999999999997</v>
      </c>
      <c r="Y448" s="5">
        <v>103</v>
      </c>
      <c r="Z448" s="5" t="s">
        <v>1052</v>
      </c>
      <c r="AA448" s="5" t="s">
        <v>3886</v>
      </c>
      <c r="AB448" s="5" t="s">
        <v>1580</v>
      </c>
      <c r="AC448" s="5" t="s">
        <v>1673</v>
      </c>
      <c r="AD448" s="5" t="s">
        <v>19</v>
      </c>
      <c r="AE448" s="5" t="s">
        <v>1788</v>
      </c>
      <c r="AF448" s="5" t="s">
        <v>4683</v>
      </c>
      <c r="AG448" s="5">
        <v>39</v>
      </c>
      <c r="AH448" s="5">
        <v>0</v>
      </c>
      <c r="AI448" s="5">
        <v>39</v>
      </c>
      <c r="AJ448" s="5">
        <v>26.35</v>
      </c>
      <c r="AK448" s="5">
        <v>26.35</v>
      </c>
      <c r="AL448" s="5" t="s">
        <v>12</v>
      </c>
      <c r="AM448" s="5" t="s">
        <v>12</v>
      </c>
      <c r="AN448" s="5" t="s">
        <v>12</v>
      </c>
      <c r="AO448" s="5" t="s">
        <v>11</v>
      </c>
      <c r="AP448" s="5" t="s">
        <v>11</v>
      </c>
      <c r="AQ448" s="5" t="s">
        <v>18</v>
      </c>
      <c r="AR448" s="5" t="s">
        <v>17</v>
      </c>
    </row>
    <row r="449" spans="1:44" ht="31.5" x14ac:dyDescent="0.25">
      <c r="A449" s="10">
        <v>46096</v>
      </c>
      <c r="B449" s="5" t="s">
        <v>1105</v>
      </c>
      <c r="C449" s="5" t="s">
        <v>2972</v>
      </c>
      <c r="D449" s="5" t="s">
        <v>11</v>
      </c>
      <c r="E449" s="5" t="s">
        <v>6</v>
      </c>
      <c r="F449" s="5" t="s">
        <v>6</v>
      </c>
      <c r="G449" s="5" t="s">
        <v>4684</v>
      </c>
      <c r="H449" s="5" t="s">
        <v>4685</v>
      </c>
      <c r="I449" s="6" t="str">
        <f>HYPERLINK("http://maps.yandex.ru/?ll=30.459827,59.7725&amp;spn=0.011598,0.004531&amp;z=17&amp;l=map&amp;pt=30.459827,59.7725", "59.77256//30.459827")</f>
        <v>59.77256//30.459827</v>
      </c>
      <c r="J449" s="5" t="s">
        <v>23</v>
      </c>
      <c r="K449" s="6" t="str">
        <f>HYPERLINK("http://maps.yandex.ru/?ll=30.219715,59.8694&amp;spn=0.011598,0.004531&amp;z=17&amp;l=map&amp;pt=30.219715,59.8694", "59.86942//30.219715")</f>
        <v>59.86942//30.219715</v>
      </c>
      <c r="L449" s="5" t="s">
        <v>23</v>
      </c>
      <c r="M449" s="5" t="s">
        <v>1432</v>
      </c>
      <c r="N449" s="5" t="s">
        <v>1431</v>
      </c>
      <c r="O449" s="5" t="s">
        <v>13</v>
      </c>
      <c r="P449" s="5">
        <v>5</v>
      </c>
      <c r="Q449" s="5">
        <v>95</v>
      </c>
      <c r="R449" s="5">
        <v>0</v>
      </c>
      <c r="S449" s="5">
        <v>32.954999999999998</v>
      </c>
      <c r="T449" s="5" t="s">
        <v>12</v>
      </c>
      <c r="U449" s="5" t="s">
        <v>12</v>
      </c>
      <c r="V449" s="5" t="s">
        <v>12</v>
      </c>
      <c r="W449" s="5">
        <v>1.37</v>
      </c>
      <c r="X449" s="5">
        <v>25.75</v>
      </c>
      <c r="Y449" s="5">
        <v>75</v>
      </c>
      <c r="Z449" s="5" t="s">
        <v>12</v>
      </c>
      <c r="AA449" s="5" t="s">
        <v>12</v>
      </c>
      <c r="AB449" s="5" t="s">
        <v>12</v>
      </c>
      <c r="AC449" s="5" t="s">
        <v>12</v>
      </c>
      <c r="AD449" s="5" t="s">
        <v>12</v>
      </c>
      <c r="AE449" s="5" t="s">
        <v>12</v>
      </c>
      <c r="AF449" s="5" t="s">
        <v>12</v>
      </c>
      <c r="AG449" s="5"/>
      <c r="AH449" s="5"/>
      <c r="AI449" s="5"/>
      <c r="AJ449" s="5"/>
      <c r="AK449" s="5"/>
      <c r="AL449" s="5" t="s">
        <v>12</v>
      </c>
      <c r="AM449" s="5" t="s">
        <v>12</v>
      </c>
      <c r="AN449" s="5" t="s">
        <v>12</v>
      </c>
      <c r="AO449" s="5" t="s">
        <v>11</v>
      </c>
      <c r="AP449" s="5" t="s">
        <v>11</v>
      </c>
      <c r="AQ449" s="5" t="s">
        <v>67</v>
      </c>
      <c r="AR449" s="5" t="s">
        <v>66</v>
      </c>
    </row>
    <row r="450" spans="1:44" ht="31.5" x14ac:dyDescent="0.25">
      <c r="A450" s="10">
        <v>46096</v>
      </c>
      <c r="B450" s="5" t="s">
        <v>1104</v>
      </c>
      <c r="C450" s="5" t="s">
        <v>2973</v>
      </c>
      <c r="D450" s="5" t="s">
        <v>11</v>
      </c>
      <c r="E450" s="5" t="s">
        <v>1</v>
      </c>
      <c r="F450" s="5" t="s">
        <v>1</v>
      </c>
      <c r="G450" s="5" t="s">
        <v>4686</v>
      </c>
      <c r="H450" s="5" t="s">
        <v>4687</v>
      </c>
      <c r="I450" s="6" t="str">
        <f>HYPERLINK("http://maps.yandex.ru/?ll=46.656883,53.08612&amp;spn=0.011598,0.004531&amp;z=17&amp;l=map&amp;pt=46.656883,53.08612", "53.086124//46.656883")</f>
        <v>53.086124//46.656883</v>
      </c>
      <c r="J450" s="5" t="s">
        <v>94</v>
      </c>
      <c r="K450" s="6" t="str">
        <f>HYPERLINK("http://maps.yandex.ru/?ll=56.251266,54.75963&amp;spn=0.011598,0.004531&amp;z=17&amp;l=map&amp;pt=56.251266,54.75963", "54.759636//56.251266")</f>
        <v>54.759636//56.251266</v>
      </c>
      <c r="L450" s="5" t="s">
        <v>34</v>
      </c>
      <c r="M450" s="5" t="s">
        <v>695</v>
      </c>
      <c r="N450" s="5" t="s">
        <v>622</v>
      </c>
      <c r="O450" s="5" t="s">
        <v>1417</v>
      </c>
      <c r="P450" s="5">
        <v>23</v>
      </c>
      <c r="Q450" s="5">
        <v>46</v>
      </c>
      <c r="R450" s="5">
        <v>31</v>
      </c>
      <c r="S450" s="5">
        <v>311.84800000000001</v>
      </c>
      <c r="T450" s="5" t="s">
        <v>12</v>
      </c>
      <c r="U450" s="5" t="s">
        <v>12</v>
      </c>
      <c r="V450" s="5" t="s">
        <v>12</v>
      </c>
      <c r="W450" s="5">
        <v>12.99</v>
      </c>
      <c r="X450" s="5">
        <v>56.9</v>
      </c>
      <c r="Y450" s="5">
        <v>145</v>
      </c>
      <c r="Z450" s="5" t="s">
        <v>12</v>
      </c>
      <c r="AA450" s="5" t="s">
        <v>12</v>
      </c>
      <c r="AB450" s="5" t="s">
        <v>12</v>
      </c>
      <c r="AC450" s="5" t="s">
        <v>12</v>
      </c>
      <c r="AD450" s="5" t="s">
        <v>12</v>
      </c>
      <c r="AE450" s="5" t="s">
        <v>12</v>
      </c>
      <c r="AF450" s="5" t="s">
        <v>12</v>
      </c>
      <c r="AG450" s="5"/>
      <c r="AH450" s="5"/>
      <c r="AI450" s="5"/>
      <c r="AJ450" s="5"/>
      <c r="AK450" s="5"/>
      <c r="AL450" s="5" t="s">
        <v>12</v>
      </c>
      <c r="AM450" s="5" t="s">
        <v>12</v>
      </c>
      <c r="AN450" s="5" t="s">
        <v>12</v>
      </c>
      <c r="AO450" s="5" t="s">
        <v>11</v>
      </c>
      <c r="AP450" s="5" t="s">
        <v>11</v>
      </c>
      <c r="AQ450" s="5" t="s">
        <v>67</v>
      </c>
      <c r="AR450" s="5" t="s">
        <v>66</v>
      </c>
    </row>
    <row r="451" spans="1:44" ht="15.75" x14ac:dyDescent="0.25">
      <c r="A451" s="10">
        <v>46096</v>
      </c>
      <c r="B451" s="5" t="s">
        <v>1102</v>
      </c>
      <c r="C451" s="5" t="s">
        <v>2974</v>
      </c>
      <c r="D451" s="5" t="s">
        <v>11</v>
      </c>
      <c r="E451" s="5" t="s">
        <v>11</v>
      </c>
      <c r="F451" s="5" t="s">
        <v>11</v>
      </c>
      <c r="G451" s="5" t="s">
        <v>11</v>
      </c>
      <c r="H451" s="5" t="s">
        <v>11</v>
      </c>
      <c r="I451" s="6" t="str">
        <f>HYPERLINK("http://maps.yandex.ru/?ll=,&amp;spn=0.011598,0.004531&amp;z=17&amp;l=map&amp;pt=,", "")</f>
        <v/>
      </c>
      <c r="J451" s="5" t="s">
        <v>84</v>
      </c>
      <c r="K451" s="6" t="str">
        <f>HYPERLINK("http://maps.yandex.ru/?ll=,&amp;spn=0.011598,0.004531&amp;z=17&amp;l=map&amp;pt=,", "")</f>
        <v/>
      </c>
      <c r="L451" s="5" t="s">
        <v>84</v>
      </c>
      <c r="M451" s="5" t="s">
        <v>13</v>
      </c>
      <c r="N451" s="5" t="s">
        <v>13</v>
      </c>
      <c r="O451" s="5" t="s">
        <v>58</v>
      </c>
      <c r="P451" s="5">
        <v>0</v>
      </c>
      <c r="Q451" s="5">
        <v>0</v>
      </c>
      <c r="R451" s="5">
        <v>100</v>
      </c>
      <c r="S451" s="5">
        <v>0</v>
      </c>
      <c r="T451" s="5" t="s">
        <v>12</v>
      </c>
      <c r="U451" s="5" t="s">
        <v>12</v>
      </c>
      <c r="V451" s="5" t="s">
        <v>12</v>
      </c>
      <c r="W451" s="5">
        <v>0</v>
      </c>
      <c r="X451" s="5">
        <v>0</v>
      </c>
      <c r="Y451" s="5">
        <v>0</v>
      </c>
      <c r="Z451" s="5" t="s">
        <v>12</v>
      </c>
      <c r="AA451" s="5" t="s">
        <v>12</v>
      </c>
      <c r="AB451" s="5" t="s">
        <v>12</v>
      </c>
      <c r="AC451" s="5" t="s">
        <v>12</v>
      </c>
      <c r="AD451" s="5" t="s">
        <v>12</v>
      </c>
      <c r="AE451" s="5" t="s">
        <v>12</v>
      </c>
      <c r="AF451" s="5" t="s">
        <v>12</v>
      </c>
      <c r="AG451" s="5"/>
      <c r="AH451" s="5">
        <v>0</v>
      </c>
      <c r="AI451" s="5"/>
      <c r="AJ451" s="5"/>
      <c r="AK451" s="5"/>
      <c r="AL451" s="5" t="s">
        <v>12</v>
      </c>
      <c r="AM451" s="5" t="s">
        <v>12</v>
      </c>
      <c r="AN451" s="5" t="s">
        <v>12</v>
      </c>
      <c r="AO451" s="5" t="s">
        <v>11</v>
      </c>
      <c r="AP451" s="5" t="s">
        <v>11</v>
      </c>
      <c r="AQ451" s="5" t="s">
        <v>37</v>
      </c>
      <c r="AR451" s="5" t="s">
        <v>794</v>
      </c>
    </row>
    <row r="452" spans="1:44" ht="15.75" x14ac:dyDescent="0.25">
      <c r="A452" s="10">
        <v>46096</v>
      </c>
      <c r="B452" s="5" t="s">
        <v>1101</v>
      </c>
      <c r="C452" s="5" t="s">
        <v>2975</v>
      </c>
      <c r="D452" s="5" t="s">
        <v>11</v>
      </c>
      <c r="E452" s="5" t="s">
        <v>7</v>
      </c>
      <c r="F452" s="5" t="s">
        <v>1</v>
      </c>
      <c r="G452" s="5" t="s">
        <v>11</v>
      </c>
      <c r="H452" s="5" t="s">
        <v>11</v>
      </c>
      <c r="I452" s="6" t="str">
        <f>HYPERLINK("http://maps.yandex.ru/?ll=,&amp;spn=0.011598,0.004531&amp;z=17&amp;l=map&amp;pt=,", "")</f>
        <v/>
      </c>
      <c r="J452" s="5" t="s">
        <v>84</v>
      </c>
      <c r="K452" s="6" t="str">
        <f>HYPERLINK("http://maps.yandex.ru/?ll=,&amp;spn=0.011598,0.004531&amp;z=17&amp;l=map&amp;pt=,", "")</f>
        <v/>
      </c>
      <c r="L452" s="5" t="s">
        <v>84</v>
      </c>
      <c r="M452" s="5" t="s">
        <v>13</v>
      </c>
      <c r="N452" s="5" t="s">
        <v>13</v>
      </c>
      <c r="O452" s="5" t="s">
        <v>58</v>
      </c>
      <c r="P452" s="5">
        <v>0</v>
      </c>
      <c r="Q452" s="5">
        <v>0</v>
      </c>
      <c r="R452" s="5">
        <v>100</v>
      </c>
      <c r="S452" s="5">
        <v>0</v>
      </c>
      <c r="T452" s="5" t="s">
        <v>12</v>
      </c>
      <c r="U452" s="5" t="s">
        <v>12</v>
      </c>
      <c r="V452" s="5" t="s">
        <v>12</v>
      </c>
      <c r="W452" s="5">
        <v>0</v>
      </c>
      <c r="X452" s="5">
        <v>0</v>
      </c>
      <c r="Y452" s="5">
        <v>0</v>
      </c>
      <c r="Z452" s="5" t="s">
        <v>12</v>
      </c>
      <c r="AA452" s="5" t="s">
        <v>12</v>
      </c>
      <c r="AB452" s="5" t="s">
        <v>12</v>
      </c>
      <c r="AC452" s="5" t="s">
        <v>12</v>
      </c>
      <c r="AD452" s="5" t="s">
        <v>12</v>
      </c>
      <c r="AE452" s="5" t="s">
        <v>12</v>
      </c>
      <c r="AF452" s="5" t="s">
        <v>12</v>
      </c>
      <c r="AG452" s="5"/>
      <c r="AH452" s="5"/>
      <c r="AI452" s="5"/>
      <c r="AJ452" s="5"/>
      <c r="AK452" s="5"/>
      <c r="AL452" s="5" t="s">
        <v>12</v>
      </c>
      <c r="AM452" s="5" t="s">
        <v>12</v>
      </c>
      <c r="AN452" s="5" t="s">
        <v>12</v>
      </c>
      <c r="AO452" s="5" t="s">
        <v>11</v>
      </c>
      <c r="AP452" s="5" t="s">
        <v>11</v>
      </c>
      <c r="AQ452" s="5" t="s">
        <v>106</v>
      </c>
      <c r="AR452" s="5" t="s">
        <v>105</v>
      </c>
    </row>
    <row r="453" spans="1:44" ht="31.5" x14ac:dyDescent="0.25">
      <c r="A453" s="10">
        <v>46096</v>
      </c>
      <c r="B453" s="5" t="s">
        <v>1100</v>
      </c>
      <c r="C453" s="5" t="s">
        <v>2976</v>
      </c>
      <c r="D453" s="5" t="s">
        <v>11</v>
      </c>
      <c r="E453" s="5" t="s">
        <v>1</v>
      </c>
      <c r="F453" s="5" t="s">
        <v>1</v>
      </c>
      <c r="G453" s="5" t="s">
        <v>4688</v>
      </c>
      <c r="H453" s="5" t="s">
        <v>4689</v>
      </c>
      <c r="I453" s="6" t="str">
        <f>HYPERLINK("http://maps.yandex.ru/?ll=59.59588,55.12156&amp;spn=0.011598,0.004531&amp;z=17&amp;l=map&amp;pt=59.59588,55.12156", "55.121567//59.59588")</f>
        <v>55.121567//59.59588</v>
      </c>
      <c r="J453" s="5" t="s">
        <v>227</v>
      </c>
      <c r="K453" s="6" t="str">
        <f>HYPERLINK("http://maps.yandex.ru/?ll=56.734,54.81707&amp;spn=0.011598,0.004531&amp;z=17&amp;l=map&amp;pt=56.734,54.81707", "54.817074//56.734")</f>
        <v>54.817074//56.734</v>
      </c>
      <c r="L453" s="5" t="s">
        <v>34</v>
      </c>
      <c r="M453" s="5" t="s">
        <v>880</v>
      </c>
      <c r="N453" s="5" t="s">
        <v>4690</v>
      </c>
      <c r="O453" s="5" t="s">
        <v>13</v>
      </c>
      <c r="P453" s="5">
        <v>16</v>
      </c>
      <c r="Q453" s="5">
        <v>84</v>
      </c>
      <c r="R453" s="5">
        <v>0</v>
      </c>
      <c r="S453" s="5">
        <v>231.06</v>
      </c>
      <c r="T453" s="5" t="s">
        <v>12</v>
      </c>
      <c r="U453" s="5" t="s">
        <v>12</v>
      </c>
      <c r="V453" s="5" t="s">
        <v>12</v>
      </c>
      <c r="W453" s="5">
        <v>9.6300000000000008</v>
      </c>
      <c r="X453" s="5">
        <v>59.28</v>
      </c>
      <c r="Y453" s="5">
        <v>90</v>
      </c>
      <c r="Z453" s="5" t="s">
        <v>1823</v>
      </c>
      <c r="AA453" s="5" t="s">
        <v>2457</v>
      </c>
      <c r="AB453" s="5" t="s">
        <v>19</v>
      </c>
      <c r="AC453" s="5" t="s">
        <v>19</v>
      </c>
      <c r="AD453" s="5" t="s">
        <v>19</v>
      </c>
      <c r="AE453" s="5" t="s">
        <v>1689</v>
      </c>
      <c r="AF453" s="5" t="s">
        <v>12</v>
      </c>
      <c r="AG453" s="5"/>
      <c r="AH453" s="5"/>
      <c r="AI453" s="5"/>
      <c r="AJ453" s="5"/>
      <c r="AK453" s="5"/>
      <c r="AL453" s="5" t="s">
        <v>12</v>
      </c>
      <c r="AM453" s="5" t="s">
        <v>12</v>
      </c>
      <c r="AN453" s="5" t="s">
        <v>12</v>
      </c>
      <c r="AO453" s="5" t="s">
        <v>69</v>
      </c>
      <c r="AP453" s="5" t="s">
        <v>68</v>
      </c>
      <c r="AQ453" s="5" t="s">
        <v>99</v>
      </c>
      <c r="AR453" s="5" t="s">
        <v>275</v>
      </c>
    </row>
    <row r="454" spans="1:44" ht="31.5" x14ac:dyDescent="0.25">
      <c r="A454" s="10">
        <v>46096</v>
      </c>
      <c r="B454" s="5" t="s">
        <v>1099</v>
      </c>
      <c r="C454" s="5" t="s">
        <v>2977</v>
      </c>
      <c r="D454" s="5" t="s">
        <v>11</v>
      </c>
      <c r="E454" s="5" t="s">
        <v>5</v>
      </c>
      <c r="F454" s="5" t="s">
        <v>5</v>
      </c>
      <c r="G454" s="5" t="s">
        <v>4691</v>
      </c>
      <c r="H454" s="5" t="s">
        <v>4692</v>
      </c>
      <c r="I454" s="6" t="str">
        <f>HYPERLINK("http://maps.yandex.ru/?ll=30.406206,59.79644&amp;spn=0.011598,0.004531&amp;z=17&amp;l=map&amp;pt=30.406206,59.79644", "59.796448//30.406206")</f>
        <v>59.796448//30.406206</v>
      </c>
      <c r="J454" s="5" t="s">
        <v>23</v>
      </c>
      <c r="K454" s="6" t="str">
        <f>HYPERLINK("http://maps.yandex.ru/?ll=34.438667,61.73631&amp;spn=0.011598,0.004531&amp;z=17&amp;l=map&amp;pt=34.438667,61.73631", "61.736313//34.438667")</f>
        <v>61.736313//34.438667</v>
      </c>
      <c r="L454" s="5" t="s">
        <v>263</v>
      </c>
      <c r="M454" s="5" t="s">
        <v>1034</v>
      </c>
      <c r="N454" s="5" t="s">
        <v>4538</v>
      </c>
      <c r="O454" s="5" t="s">
        <v>4693</v>
      </c>
      <c r="P454" s="5">
        <v>24</v>
      </c>
      <c r="Q454" s="5">
        <v>72</v>
      </c>
      <c r="R454" s="5">
        <v>4</v>
      </c>
      <c r="S454" s="5">
        <v>375.10700000000003</v>
      </c>
      <c r="T454" s="5" t="s">
        <v>1211</v>
      </c>
      <c r="U454" s="5" t="s">
        <v>2978</v>
      </c>
      <c r="V454" s="5" t="s">
        <v>4694</v>
      </c>
      <c r="W454" s="5">
        <v>15.63</v>
      </c>
      <c r="X454" s="5">
        <v>63.89</v>
      </c>
      <c r="Y454" s="5">
        <v>100</v>
      </c>
      <c r="Z454" s="5" t="s">
        <v>2601</v>
      </c>
      <c r="AA454" s="5" t="s">
        <v>1723</v>
      </c>
      <c r="AB454" s="5" t="s">
        <v>2161</v>
      </c>
      <c r="AC454" s="5" t="s">
        <v>1673</v>
      </c>
      <c r="AD454" s="5" t="s">
        <v>19</v>
      </c>
      <c r="AE454" s="5" t="s">
        <v>1688</v>
      </c>
      <c r="AF454" s="5" t="s">
        <v>4695</v>
      </c>
      <c r="AG454" s="5">
        <v>149</v>
      </c>
      <c r="AH454" s="5">
        <v>19</v>
      </c>
      <c r="AI454" s="5">
        <v>130</v>
      </c>
      <c r="AJ454" s="5">
        <v>32.25</v>
      </c>
      <c r="AK454" s="5">
        <v>28.14</v>
      </c>
      <c r="AL454" s="5" t="s">
        <v>12</v>
      </c>
      <c r="AM454" s="5" t="s">
        <v>12</v>
      </c>
      <c r="AN454" s="5" t="s">
        <v>12</v>
      </c>
      <c r="AO454" s="5" t="s">
        <v>11</v>
      </c>
      <c r="AP454" s="5" t="s">
        <v>11</v>
      </c>
      <c r="AQ454" s="5" t="s">
        <v>18</v>
      </c>
      <c r="AR454" s="5" t="s">
        <v>74</v>
      </c>
    </row>
    <row r="455" spans="1:44" ht="15.75" x14ac:dyDescent="0.25">
      <c r="A455" s="10">
        <v>46096</v>
      </c>
      <c r="B455" s="5" t="s">
        <v>1098</v>
      </c>
      <c r="C455" s="5" t="s">
        <v>2979</v>
      </c>
      <c r="D455" s="5" t="s">
        <v>11</v>
      </c>
      <c r="E455" s="5" t="s">
        <v>1</v>
      </c>
      <c r="F455" s="5" t="s">
        <v>1</v>
      </c>
      <c r="G455" s="5" t="s">
        <v>11</v>
      </c>
      <c r="H455" s="5" t="s">
        <v>11</v>
      </c>
      <c r="I455" s="6" t="str">
        <f>HYPERLINK("http://maps.yandex.ru/?ll=,&amp;spn=0.011598,0.004531&amp;z=17&amp;l=map&amp;pt=,", "")</f>
        <v/>
      </c>
      <c r="J455" s="5" t="s">
        <v>84</v>
      </c>
      <c r="K455" s="6" t="str">
        <f>HYPERLINK("http://maps.yandex.ru/?ll=,&amp;spn=0.011598,0.004531&amp;z=17&amp;l=map&amp;pt=,", "")</f>
        <v/>
      </c>
      <c r="L455" s="5" t="s">
        <v>84</v>
      </c>
      <c r="M455" s="5" t="s">
        <v>13</v>
      </c>
      <c r="N455" s="5" t="s">
        <v>13</v>
      </c>
      <c r="O455" s="5" t="s">
        <v>58</v>
      </c>
      <c r="P455" s="5">
        <v>0</v>
      </c>
      <c r="Q455" s="5">
        <v>0</v>
      </c>
      <c r="R455" s="5">
        <v>100</v>
      </c>
      <c r="S455" s="5">
        <v>0</v>
      </c>
      <c r="T455" s="5" t="s">
        <v>12</v>
      </c>
      <c r="U455" s="5" t="s">
        <v>12</v>
      </c>
      <c r="V455" s="5" t="s">
        <v>12</v>
      </c>
      <c r="W455" s="5">
        <v>0</v>
      </c>
      <c r="X455" s="5">
        <v>0</v>
      </c>
      <c r="Y455" s="5">
        <v>0</v>
      </c>
      <c r="Z455" s="5" t="s">
        <v>12</v>
      </c>
      <c r="AA455" s="5" t="s">
        <v>12</v>
      </c>
      <c r="AB455" s="5" t="s">
        <v>12</v>
      </c>
      <c r="AC455" s="5" t="s">
        <v>12</v>
      </c>
      <c r="AD455" s="5" t="s">
        <v>12</v>
      </c>
      <c r="AE455" s="5" t="s">
        <v>12</v>
      </c>
      <c r="AF455" s="5" t="s">
        <v>12</v>
      </c>
      <c r="AG455" s="5"/>
      <c r="AH455" s="5"/>
      <c r="AI455" s="5"/>
      <c r="AJ455" s="5"/>
      <c r="AK455" s="5"/>
      <c r="AL455" s="5" t="s">
        <v>12</v>
      </c>
      <c r="AM455" s="5" t="s">
        <v>12</v>
      </c>
      <c r="AN455" s="5" t="s">
        <v>12</v>
      </c>
      <c r="AO455" s="5" t="s">
        <v>11</v>
      </c>
      <c r="AP455" s="5" t="s">
        <v>11</v>
      </c>
      <c r="AQ455" s="5" t="s">
        <v>106</v>
      </c>
      <c r="AR455" s="5" t="s">
        <v>105</v>
      </c>
    </row>
    <row r="456" spans="1:44" ht="15.75" x14ac:dyDescent="0.25">
      <c r="A456" s="10">
        <v>46096</v>
      </c>
      <c r="B456" s="5" t="s">
        <v>1097</v>
      </c>
      <c r="C456" s="5" t="s">
        <v>2980</v>
      </c>
      <c r="D456" s="5" t="s">
        <v>11</v>
      </c>
      <c r="E456" s="5" t="s">
        <v>11</v>
      </c>
      <c r="F456" s="5" t="s">
        <v>11</v>
      </c>
      <c r="G456" s="5" t="s">
        <v>11</v>
      </c>
      <c r="H456" s="5" t="s">
        <v>11</v>
      </c>
      <c r="I456" s="6" t="str">
        <f>HYPERLINK("http://maps.yandex.ru/?ll=,&amp;spn=0.011598,0.004531&amp;z=17&amp;l=map&amp;pt=,", "")</f>
        <v/>
      </c>
      <c r="J456" s="5" t="s">
        <v>84</v>
      </c>
      <c r="K456" s="6" t="str">
        <f>HYPERLINK("http://maps.yandex.ru/?ll=,&amp;spn=0.011598,0.004531&amp;z=17&amp;l=map&amp;pt=,", "")</f>
        <v/>
      </c>
      <c r="L456" s="5" t="s">
        <v>84</v>
      </c>
      <c r="M456" s="5" t="s">
        <v>13</v>
      </c>
      <c r="N456" s="5" t="s">
        <v>13</v>
      </c>
      <c r="O456" s="5" t="s">
        <v>58</v>
      </c>
      <c r="P456" s="5">
        <v>0</v>
      </c>
      <c r="Q456" s="5">
        <v>0</v>
      </c>
      <c r="R456" s="5">
        <v>100</v>
      </c>
      <c r="S456" s="5">
        <v>0</v>
      </c>
      <c r="T456" s="5" t="s">
        <v>12</v>
      </c>
      <c r="U456" s="5" t="s">
        <v>12</v>
      </c>
      <c r="V456" s="5" t="s">
        <v>12</v>
      </c>
      <c r="W456" s="5">
        <v>0</v>
      </c>
      <c r="X456" s="5">
        <v>0</v>
      </c>
      <c r="Y456" s="5">
        <v>0</v>
      </c>
      <c r="Z456" s="5" t="s">
        <v>12</v>
      </c>
      <c r="AA456" s="5" t="s">
        <v>12</v>
      </c>
      <c r="AB456" s="5" t="s">
        <v>12</v>
      </c>
      <c r="AC456" s="5" t="s">
        <v>12</v>
      </c>
      <c r="AD456" s="5" t="s">
        <v>12</v>
      </c>
      <c r="AE456" s="5" t="s">
        <v>12</v>
      </c>
      <c r="AF456" s="5" t="s">
        <v>12</v>
      </c>
      <c r="AG456" s="5"/>
      <c r="AH456" s="5"/>
      <c r="AI456" s="5"/>
      <c r="AJ456" s="5"/>
      <c r="AK456" s="5"/>
      <c r="AL456" s="5" t="s">
        <v>12</v>
      </c>
      <c r="AM456" s="5" t="s">
        <v>12</v>
      </c>
      <c r="AN456" s="5" t="s">
        <v>12</v>
      </c>
      <c r="AO456" s="5" t="s">
        <v>11</v>
      </c>
      <c r="AP456" s="5" t="s">
        <v>11</v>
      </c>
      <c r="AQ456" s="5" t="s">
        <v>11</v>
      </c>
      <c r="AR456" s="5" t="s">
        <v>11</v>
      </c>
    </row>
    <row r="457" spans="1:44" ht="31.5" x14ac:dyDescent="0.25">
      <c r="A457" s="10">
        <v>46096</v>
      </c>
      <c r="B457" s="5" t="s">
        <v>1030</v>
      </c>
      <c r="C457" s="5" t="s">
        <v>2981</v>
      </c>
      <c r="D457" s="5" t="s">
        <v>11</v>
      </c>
      <c r="E457" s="5" t="s">
        <v>11</v>
      </c>
      <c r="F457" s="5" t="s">
        <v>11</v>
      </c>
      <c r="G457" s="5" t="s">
        <v>4696</v>
      </c>
      <c r="H457" s="5" t="s">
        <v>4697</v>
      </c>
      <c r="I457" s="6" t="str">
        <f>HYPERLINK("http://maps.yandex.ru/?ll=58.474922,56.7955&amp;spn=0.011598,0.004531&amp;z=17&amp;l=map&amp;pt=58.474922,56.7955", "56.79559//58.474922")</f>
        <v>56.79559//58.474922</v>
      </c>
      <c r="J457" s="5" t="s">
        <v>77</v>
      </c>
      <c r="K457" s="6" t="str">
        <f>HYPERLINK("http://maps.yandex.ru/?ll=49.676144,58.6661&amp;spn=0.011598,0.004531&amp;z=17&amp;l=map&amp;pt=49.676144,58.6661", "58.66615//49.676144")</f>
        <v>58.66615//49.676144</v>
      </c>
      <c r="L457" s="5" t="s">
        <v>489</v>
      </c>
      <c r="M457" s="5" t="s">
        <v>4698</v>
      </c>
      <c r="N457" s="5" t="s">
        <v>1032</v>
      </c>
      <c r="O457" s="5" t="s">
        <v>768</v>
      </c>
      <c r="P457" s="5">
        <v>38</v>
      </c>
      <c r="Q457" s="5">
        <v>57</v>
      </c>
      <c r="R457" s="5">
        <v>5</v>
      </c>
      <c r="S457" s="5">
        <v>621.98500000000001</v>
      </c>
      <c r="T457" s="5" t="s">
        <v>12</v>
      </c>
      <c r="U457" s="5" t="s">
        <v>12</v>
      </c>
      <c r="V457" s="5" t="s">
        <v>12</v>
      </c>
      <c r="W457" s="5">
        <v>25.92</v>
      </c>
      <c r="X457" s="5">
        <v>68.28</v>
      </c>
      <c r="Y457" s="5">
        <v>104</v>
      </c>
      <c r="Z457" s="5" t="s">
        <v>12</v>
      </c>
      <c r="AA457" s="5" t="s">
        <v>12</v>
      </c>
      <c r="AB457" s="5" t="s">
        <v>12</v>
      </c>
      <c r="AC457" s="5" t="s">
        <v>12</v>
      </c>
      <c r="AD457" s="5" t="s">
        <v>12</v>
      </c>
      <c r="AE457" s="5" t="s">
        <v>12</v>
      </c>
      <c r="AF457" s="5" t="s">
        <v>12</v>
      </c>
      <c r="AG457" s="5"/>
      <c r="AH457" s="5"/>
      <c r="AI457" s="5"/>
      <c r="AJ457" s="5"/>
      <c r="AK457" s="5"/>
      <c r="AL457" s="5" t="s">
        <v>12</v>
      </c>
      <c r="AM457" s="5" t="s">
        <v>12</v>
      </c>
      <c r="AN457" s="5" t="s">
        <v>12</v>
      </c>
      <c r="AO457" s="5" t="s">
        <v>11</v>
      </c>
      <c r="AP457" s="5" t="s">
        <v>11</v>
      </c>
      <c r="AQ457" s="5" t="s">
        <v>11</v>
      </c>
      <c r="AR457" s="5" t="s">
        <v>11</v>
      </c>
    </row>
    <row r="458" spans="1:44" ht="15.75" x14ac:dyDescent="0.25">
      <c r="A458" s="10">
        <v>46096</v>
      </c>
      <c r="B458" s="5" t="s">
        <v>1028</v>
      </c>
      <c r="C458" s="5" t="s">
        <v>2982</v>
      </c>
      <c r="D458" s="5" t="s">
        <v>11</v>
      </c>
      <c r="E458" s="5" t="s">
        <v>11</v>
      </c>
      <c r="F458" s="5" t="s">
        <v>11</v>
      </c>
      <c r="G458" s="5" t="s">
        <v>11</v>
      </c>
      <c r="H458" s="5" t="s">
        <v>11</v>
      </c>
      <c r="I458" s="6" t="str">
        <f>HYPERLINK("http://maps.yandex.ru/?ll=,&amp;spn=0.011598,0.004531&amp;z=17&amp;l=map&amp;pt=,", "")</f>
        <v/>
      </c>
      <c r="J458" s="5" t="s">
        <v>84</v>
      </c>
      <c r="K458" s="6" t="str">
        <f>HYPERLINK("http://maps.yandex.ru/?ll=,&amp;spn=0.011598,0.004531&amp;z=17&amp;l=map&amp;pt=,", "")</f>
        <v/>
      </c>
      <c r="L458" s="5" t="s">
        <v>84</v>
      </c>
      <c r="M458" s="5" t="s">
        <v>13</v>
      </c>
      <c r="N458" s="5" t="s">
        <v>58</v>
      </c>
      <c r="O458" s="5" t="s">
        <v>13</v>
      </c>
      <c r="P458" s="5">
        <v>0</v>
      </c>
      <c r="Q458" s="5">
        <v>100</v>
      </c>
      <c r="R458" s="5">
        <v>0</v>
      </c>
      <c r="S458" s="5">
        <v>0</v>
      </c>
      <c r="T458" s="5" t="s">
        <v>1673</v>
      </c>
      <c r="U458" s="5" t="s">
        <v>2983</v>
      </c>
      <c r="V458" s="5" t="s">
        <v>2984</v>
      </c>
      <c r="W458" s="5">
        <v>0</v>
      </c>
      <c r="X458" s="5">
        <v>0</v>
      </c>
      <c r="Y458" s="5">
        <v>0</v>
      </c>
      <c r="Z458" s="5" t="s">
        <v>1923</v>
      </c>
      <c r="AA458" s="5" t="s">
        <v>1716</v>
      </c>
      <c r="AB458" s="5" t="s">
        <v>19</v>
      </c>
      <c r="AC458" s="5" t="s">
        <v>19</v>
      </c>
      <c r="AD458" s="5" t="s">
        <v>19</v>
      </c>
      <c r="AE458" s="5" t="s">
        <v>1929</v>
      </c>
      <c r="AF458" s="5" t="s">
        <v>12</v>
      </c>
      <c r="AG458" s="5">
        <v>7</v>
      </c>
      <c r="AH458" s="5">
        <v>7</v>
      </c>
      <c r="AI458" s="5">
        <v>0</v>
      </c>
      <c r="AJ458" s="5">
        <v>700</v>
      </c>
      <c r="AK458" s="5">
        <v>0</v>
      </c>
      <c r="AL458" s="5" t="s">
        <v>12</v>
      </c>
      <c r="AM458" s="5" t="s">
        <v>12</v>
      </c>
      <c r="AN458" s="5" t="s">
        <v>12</v>
      </c>
      <c r="AO458" s="5" t="s">
        <v>11</v>
      </c>
      <c r="AP458" s="5" t="s">
        <v>11</v>
      </c>
      <c r="AQ458" s="5" t="s">
        <v>11</v>
      </c>
      <c r="AR458" s="5" t="s">
        <v>11</v>
      </c>
    </row>
    <row r="459" spans="1:44" ht="31.5" x14ac:dyDescent="0.25">
      <c r="A459" s="10">
        <v>46096</v>
      </c>
      <c r="B459" s="5" t="s">
        <v>1027</v>
      </c>
      <c r="C459" s="5" t="s">
        <v>2985</v>
      </c>
      <c r="D459" s="5" t="s">
        <v>11</v>
      </c>
      <c r="E459" s="5" t="s">
        <v>1</v>
      </c>
      <c r="F459" s="5" t="s">
        <v>1</v>
      </c>
      <c r="G459" s="5" t="s">
        <v>4699</v>
      </c>
      <c r="H459" s="5" t="s">
        <v>4700</v>
      </c>
      <c r="I459" s="6" t="str">
        <f>HYPERLINK("http://maps.yandex.ru/?ll=39.9965,47.61546&amp;spn=0.011598,0.004531&amp;z=17&amp;l=map&amp;pt=39.9965,47.61546", "47.615467//39.9965")</f>
        <v>47.615467//39.9965</v>
      </c>
      <c r="J459" s="5" t="s">
        <v>64</v>
      </c>
      <c r="K459" s="6" t="str">
        <f>HYPERLINK("http://maps.yandex.ru/?ll=38.18023,53.30647&amp;spn=0.011598,0.004531&amp;z=17&amp;l=map&amp;pt=38.18023,53.30647", "53.306477//38.18023")</f>
        <v>53.306477//38.18023</v>
      </c>
      <c r="L459" s="5" t="s">
        <v>168</v>
      </c>
      <c r="M459" s="5" t="s">
        <v>196</v>
      </c>
      <c r="N459" s="5" t="s">
        <v>551</v>
      </c>
      <c r="O459" s="5" t="s">
        <v>988</v>
      </c>
      <c r="P459" s="5">
        <v>34</v>
      </c>
      <c r="Q459" s="5">
        <v>60</v>
      </c>
      <c r="R459" s="5">
        <v>6</v>
      </c>
      <c r="S459" s="5">
        <v>621.101</v>
      </c>
      <c r="T459" s="5" t="s">
        <v>12</v>
      </c>
      <c r="U459" s="5" t="s">
        <v>12</v>
      </c>
      <c r="V459" s="5" t="s">
        <v>12</v>
      </c>
      <c r="W459" s="5">
        <v>25.88</v>
      </c>
      <c r="X459" s="5">
        <v>76.41</v>
      </c>
      <c r="Y459" s="5">
        <v>129</v>
      </c>
      <c r="Z459" s="5" t="s">
        <v>12</v>
      </c>
      <c r="AA459" s="5" t="s">
        <v>12</v>
      </c>
      <c r="AB459" s="5" t="s">
        <v>12</v>
      </c>
      <c r="AC459" s="5" t="s">
        <v>12</v>
      </c>
      <c r="AD459" s="5" t="s">
        <v>12</v>
      </c>
      <c r="AE459" s="5" t="s">
        <v>12</v>
      </c>
      <c r="AF459" s="5" t="s">
        <v>12</v>
      </c>
      <c r="AG459" s="5"/>
      <c r="AH459" s="5"/>
      <c r="AI459" s="5"/>
      <c r="AJ459" s="5"/>
      <c r="AK459" s="5"/>
      <c r="AL459" s="5" t="s">
        <v>4701</v>
      </c>
      <c r="AM459" s="5" t="s">
        <v>3287</v>
      </c>
      <c r="AN459" s="5" t="s">
        <v>1756</v>
      </c>
      <c r="AO459" s="5" t="s">
        <v>69</v>
      </c>
      <c r="AP459" s="5" t="s">
        <v>68</v>
      </c>
      <c r="AQ459" s="5" t="s">
        <v>99</v>
      </c>
      <c r="AR459" s="5" t="s">
        <v>98</v>
      </c>
    </row>
    <row r="460" spans="1:44" ht="15.75" x14ac:dyDescent="0.25">
      <c r="A460" s="10">
        <v>46096</v>
      </c>
      <c r="B460" s="5" t="s">
        <v>1025</v>
      </c>
      <c r="C460" s="5" t="s">
        <v>2986</v>
      </c>
      <c r="D460" s="5" t="s">
        <v>11</v>
      </c>
      <c r="E460" s="5" t="s">
        <v>11</v>
      </c>
      <c r="F460" s="5" t="s">
        <v>11</v>
      </c>
      <c r="G460" s="5" t="s">
        <v>11</v>
      </c>
      <c r="H460" s="5" t="s">
        <v>11</v>
      </c>
      <c r="I460" s="6" t="str">
        <f>HYPERLINK("http://maps.yandex.ru/?ll=,&amp;spn=0.011598,0.004531&amp;z=17&amp;l=map&amp;pt=,", "")</f>
        <v/>
      </c>
      <c r="J460" s="5" t="s">
        <v>84</v>
      </c>
      <c r="K460" s="6" t="str">
        <f>HYPERLINK("http://maps.yandex.ru/?ll=,&amp;spn=0.011598,0.004531&amp;z=17&amp;l=map&amp;pt=,", "")</f>
        <v/>
      </c>
      <c r="L460" s="5" t="s">
        <v>84</v>
      </c>
      <c r="M460" s="5" t="s">
        <v>13</v>
      </c>
      <c r="N460" s="5" t="s">
        <v>13</v>
      </c>
      <c r="O460" s="5" t="s">
        <v>58</v>
      </c>
      <c r="P460" s="5">
        <v>0</v>
      </c>
      <c r="Q460" s="5">
        <v>0</v>
      </c>
      <c r="R460" s="5">
        <v>100</v>
      </c>
      <c r="S460" s="5">
        <v>0</v>
      </c>
      <c r="T460" s="5" t="s">
        <v>12</v>
      </c>
      <c r="U460" s="5" t="s">
        <v>12</v>
      </c>
      <c r="V460" s="5" t="s">
        <v>12</v>
      </c>
      <c r="W460" s="5">
        <v>0</v>
      </c>
      <c r="X460" s="5">
        <v>0</v>
      </c>
      <c r="Y460" s="5">
        <v>0</v>
      </c>
      <c r="Z460" s="5" t="s">
        <v>12</v>
      </c>
      <c r="AA460" s="5" t="s">
        <v>12</v>
      </c>
      <c r="AB460" s="5" t="s">
        <v>12</v>
      </c>
      <c r="AC460" s="5" t="s">
        <v>12</v>
      </c>
      <c r="AD460" s="5" t="s">
        <v>12</v>
      </c>
      <c r="AE460" s="5" t="s">
        <v>12</v>
      </c>
      <c r="AF460" s="5" t="s">
        <v>12</v>
      </c>
      <c r="AG460" s="5"/>
      <c r="AH460" s="5"/>
      <c r="AI460" s="5"/>
      <c r="AJ460" s="5"/>
      <c r="AK460" s="5"/>
      <c r="AL460" s="5" t="s">
        <v>12</v>
      </c>
      <c r="AM460" s="5" t="s">
        <v>12</v>
      </c>
      <c r="AN460" s="5" t="s">
        <v>12</v>
      </c>
      <c r="AO460" s="5" t="s">
        <v>83</v>
      </c>
      <c r="AP460" s="5" t="s">
        <v>888</v>
      </c>
      <c r="AQ460" s="5" t="s">
        <v>67</v>
      </c>
      <c r="AR460" s="5" t="s">
        <v>1024</v>
      </c>
    </row>
    <row r="461" spans="1:44" ht="31.5" x14ac:dyDescent="0.25">
      <c r="A461" s="10">
        <v>46096</v>
      </c>
      <c r="B461" s="5" t="s">
        <v>1023</v>
      </c>
      <c r="C461" s="5" t="s">
        <v>2987</v>
      </c>
      <c r="D461" s="5" t="s">
        <v>11</v>
      </c>
      <c r="E461" s="5" t="s">
        <v>11</v>
      </c>
      <c r="F461" s="5" t="s">
        <v>11</v>
      </c>
      <c r="G461" s="5" t="s">
        <v>4702</v>
      </c>
      <c r="H461" s="5" t="s">
        <v>3121</v>
      </c>
      <c r="I461" s="6" t="str">
        <f>HYPERLINK("http://maps.yandex.ru/?ll=30.609392,59.77100&amp;spn=0.011598,0.004531&amp;z=17&amp;l=map&amp;pt=30.609392,59.77100", "59.771004//30.609392")</f>
        <v>59.771004//30.609392</v>
      </c>
      <c r="J461" s="5" t="s">
        <v>23</v>
      </c>
      <c r="K461" s="6" t="str">
        <f>HYPERLINK("http://maps.yandex.ru/?ll=38.768085,56.69569&amp;spn=0.011598,0.004531&amp;z=17&amp;l=map&amp;pt=38.768085,56.69569", "56.695698//38.768085")</f>
        <v>56.695698//38.768085</v>
      </c>
      <c r="L461" s="5" t="s">
        <v>560</v>
      </c>
      <c r="M461" s="5" t="s">
        <v>1420</v>
      </c>
      <c r="N461" s="5" t="s">
        <v>1494</v>
      </c>
      <c r="O461" s="5" t="s">
        <v>1376</v>
      </c>
      <c r="P461" s="5">
        <v>37</v>
      </c>
      <c r="Q461" s="5">
        <v>51</v>
      </c>
      <c r="R461" s="5">
        <v>11</v>
      </c>
      <c r="S461" s="5">
        <v>748.05499999999995</v>
      </c>
      <c r="T461" s="5" t="s">
        <v>12</v>
      </c>
      <c r="U461" s="5" t="s">
        <v>12</v>
      </c>
      <c r="V461" s="5" t="s">
        <v>12</v>
      </c>
      <c r="W461" s="5">
        <v>31.17</v>
      </c>
      <c r="X461" s="5">
        <v>83.8</v>
      </c>
      <c r="Y461" s="5">
        <v>119</v>
      </c>
      <c r="Z461" s="5" t="s">
        <v>1884</v>
      </c>
      <c r="AA461" s="5" t="s">
        <v>2306</v>
      </c>
      <c r="AB461" s="5" t="s">
        <v>19</v>
      </c>
      <c r="AC461" s="5" t="s">
        <v>19</v>
      </c>
      <c r="AD461" s="5" t="s">
        <v>19</v>
      </c>
      <c r="AE461" s="5" t="s">
        <v>2361</v>
      </c>
      <c r="AF461" s="5" t="s">
        <v>12</v>
      </c>
      <c r="AG461" s="5"/>
      <c r="AH461" s="5"/>
      <c r="AI461" s="5"/>
      <c r="AJ461" s="5"/>
      <c r="AK461" s="5"/>
      <c r="AL461" s="5" t="s">
        <v>4703</v>
      </c>
      <c r="AM461" s="5" t="s">
        <v>4704</v>
      </c>
      <c r="AN461" s="5" t="s">
        <v>1718</v>
      </c>
      <c r="AO461" s="5" t="s">
        <v>83</v>
      </c>
      <c r="AP461" s="5" t="s">
        <v>82</v>
      </c>
      <c r="AQ461" s="5" t="s">
        <v>67</v>
      </c>
      <c r="AR461" s="5" t="s">
        <v>407</v>
      </c>
    </row>
    <row r="462" spans="1:44" ht="31.5" x14ac:dyDescent="0.25">
      <c r="A462" s="10">
        <v>46096</v>
      </c>
      <c r="B462" s="5" t="s">
        <v>1021</v>
      </c>
      <c r="C462" s="5" t="s">
        <v>2988</v>
      </c>
      <c r="D462" s="5" t="s">
        <v>11</v>
      </c>
      <c r="E462" s="5" t="s">
        <v>404</v>
      </c>
      <c r="F462" s="5" t="s">
        <v>11</v>
      </c>
      <c r="G462" s="5" t="s">
        <v>4705</v>
      </c>
      <c r="H462" s="5" t="s">
        <v>4706</v>
      </c>
      <c r="I462" s="6" t="str">
        <f>HYPERLINK("http://maps.yandex.ru/?ll=30.659912,59.66704&amp;spn=0.011598,0.004531&amp;z=17&amp;l=map&amp;pt=30.659912,59.66704", "59.667046//30.659912")</f>
        <v>59.667046//30.659912</v>
      </c>
      <c r="J462" s="5" t="s">
        <v>22</v>
      </c>
      <c r="K462" s="6" t="str">
        <f>HYPERLINK("http://maps.yandex.ru/?ll=34.266354,57.55280&amp;spn=0.011598,0.004531&amp;z=17&amp;l=map&amp;pt=34.266354,57.55280", "57.552807//34.266354")</f>
        <v>57.552807//34.266354</v>
      </c>
      <c r="L462" s="5" t="s">
        <v>50</v>
      </c>
      <c r="M462" s="5" t="s">
        <v>609</v>
      </c>
      <c r="N462" s="5" t="s">
        <v>1401</v>
      </c>
      <c r="O462" s="5" t="s">
        <v>13</v>
      </c>
      <c r="P462" s="5">
        <v>26</v>
      </c>
      <c r="Q462" s="5">
        <v>74</v>
      </c>
      <c r="R462" s="5">
        <v>0</v>
      </c>
      <c r="S462" s="5">
        <v>447.86099999999999</v>
      </c>
      <c r="T462" s="5" t="s">
        <v>1520</v>
      </c>
      <c r="U462" s="5" t="s">
        <v>2989</v>
      </c>
      <c r="V462" s="5" t="s">
        <v>4707</v>
      </c>
      <c r="W462" s="5">
        <v>18.66</v>
      </c>
      <c r="X462" s="5">
        <v>71.59</v>
      </c>
      <c r="Y462" s="5">
        <v>99</v>
      </c>
      <c r="Z462" s="5" t="s">
        <v>2990</v>
      </c>
      <c r="AA462" s="5" t="s">
        <v>1971</v>
      </c>
      <c r="AB462" s="5" t="s">
        <v>19</v>
      </c>
      <c r="AC462" s="5" t="s">
        <v>19</v>
      </c>
      <c r="AD462" s="5" t="s">
        <v>19</v>
      </c>
      <c r="AE462" s="5" t="s">
        <v>2239</v>
      </c>
      <c r="AF462" s="5" t="s">
        <v>4708</v>
      </c>
      <c r="AG462" s="5">
        <v>133</v>
      </c>
      <c r="AH462" s="5">
        <v>1</v>
      </c>
      <c r="AI462" s="5">
        <v>132</v>
      </c>
      <c r="AJ462" s="5">
        <v>29.23</v>
      </c>
      <c r="AK462" s="5">
        <v>29.01</v>
      </c>
      <c r="AL462" s="5" t="s">
        <v>12</v>
      </c>
      <c r="AM462" s="5" t="s">
        <v>12</v>
      </c>
      <c r="AN462" s="5" t="s">
        <v>12</v>
      </c>
      <c r="AO462" s="5" t="s">
        <v>11</v>
      </c>
      <c r="AP462" s="5" t="s">
        <v>11</v>
      </c>
      <c r="AQ462" s="5" t="s">
        <v>53</v>
      </c>
      <c r="AR462" s="5" t="s">
        <v>52</v>
      </c>
    </row>
    <row r="463" spans="1:44" ht="31.5" x14ac:dyDescent="0.25">
      <c r="A463" s="10">
        <v>46096</v>
      </c>
      <c r="B463" s="5" t="s">
        <v>350</v>
      </c>
      <c r="C463" s="5" t="s">
        <v>2558</v>
      </c>
      <c r="D463" s="5" t="s">
        <v>11</v>
      </c>
      <c r="E463" s="5" t="s">
        <v>0</v>
      </c>
      <c r="F463" s="5" t="s">
        <v>0</v>
      </c>
      <c r="G463" s="5" t="s">
        <v>4709</v>
      </c>
      <c r="H463" s="5" t="s">
        <v>4710</v>
      </c>
      <c r="I463" s="6" t="str">
        <f>HYPERLINK("http://maps.yandex.ru/?ll=30.25849,60.10210&amp;spn=0.011598,0.004531&amp;z=17&amp;l=map&amp;pt=30.25849,60.10210", "60.102104//30.25849")</f>
        <v>60.102104//30.25849</v>
      </c>
      <c r="J463" s="5" t="s">
        <v>23</v>
      </c>
      <c r="K463" s="6" t="str">
        <f>HYPERLINK("http://maps.yandex.ru/?ll=30.24616,60.0997&amp;spn=0.011598,0.004531&amp;z=17&amp;l=map&amp;pt=30.24616,60.0997", "60.09978//30.24616")</f>
        <v>60.09978//30.24616</v>
      </c>
      <c r="L463" s="5" t="s">
        <v>23</v>
      </c>
      <c r="M463" s="5" t="s">
        <v>14</v>
      </c>
      <c r="N463" s="5" t="s">
        <v>3773</v>
      </c>
      <c r="O463" s="5" t="s">
        <v>13</v>
      </c>
      <c r="P463" s="5">
        <v>1</v>
      </c>
      <c r="Q463" s="5">
        <v>99</v>
      </c>
      <c r="R463" s="5">
        <v>0</v>
      </c>
      <c r="S463" s="5">
        <v>4.4009999999999998</v>
      </c>
      <c r="T463" s="5" t="s">
        <v>1615</v>
      </c>
      <c r="U463" s="5" t="s">
        <v>4711</v>
      </c>
      <c r="V463" s="5" t="s">
        <v>4712</v>
      </c>
      <c r="W463" s="5">
        <v>0.18</v>
      </c>
      <c r="X463" s="5">
        <v>23.47</v>
      </c>
      <c r="Y463" s="5">
        <v>75</v>
      </c>
      <c r="Z463" s="5" t="s">
        <v>2560</v>
      </c>
      <c r="AA463" s="5" t="s">
        <v>2101</v>
      </c>
      <c r="AB463" s="5" t="s">
        <v>19</v>
      </c>
      <c r="AC463" s="5" t="s">
        <v>19</v>
      </c>
      <c r="AD463" s="5" t="s">
        <v>19</v>
      </c>
      <c r="AE463" s="5" t="s">
        <v>1746</v>
      </c>
      <c r="AF463" s="5" t="s">
        <v>4713</v>
      </c>
      <c r="AG463" s="5">
        <v>3</v>
      </c>
      <c r="AH463" s="5">
        <v>0</v>
      </c>
      <c r="AI463" s="5">
        <v>3</v>
      </c>
      <c r="AJ463" s="5">
        <v>60</v>
      </c>
      <c r="AK463" s="5">
        <v>60</v>
      </c>
      <c r="AL463" s="5" t="s">
        <v>12</v>
      </c>
      <c r="AM463" s="5" t="s">
        <v>12</v>
      </c>
      <c r="AN463" s="5" t="s">
        <v>12</v>
      </c>
      <c r="AO463" s="5" t="s">
        <v>11</v>
      </c>
      <c r="AP463" s="5" t="s">
        <v>11</v>
      </c>
      <c r="AQ463" s="5" t="s">
        <v>123</v>
      </c>
      <c r="AR463" s="5" t="s">
        <v>122</v>
      </c>
    </row>
    <row r="464" spans="1:44" ht="15.75" x14ac:dyDescent="0.25">
      <c r="A464" s="10">
        <v>46096</v>
      </c>
      <c r="B464" s="5" t="s">
        <v>349</v>
      </c>
      <c r="C464" s="5" t="s">
        <v>2561</v>
      </c>
      <c r="D464" s="5" t="s">
        <v>11</v>
      </c>
      <c r="E464" s="5" t="s">
        <v>8</v>
      </c>
      <c r="F464" s="5" t="s">
        <v>8</v>
      </c>
      <c r="G464" s="5" t="s">
        <v>11</v>
      </c>
      <c r="H464" s="5" t="s">
        <v>11</v>
      </c>
      <c r="I464" s="6" t="str">
        <f>HYPERLINK("http://maps.yandex.ru/?ll=,&amp;spn=0.011598,0.004531&amp;z=17&amp;l=map&amp;pt=,", "")</f>
        <v/>
      </c>
      <c r="J464" s="5" t="s">
        <v>84</v>
      </c>
      <c r="K464" s="6" t="str">
        <f>HYPERLINK("http://maps.yandex.ru/?ll=,&amp;spn=0.011598,0.004531&amp;z=17&amp;l=map&amp;pt=,", "")</f>
        <v/>
      </c>
      <c r="L464" s="5" t="s">
        <v>84</v>
      </c>
      <c r="M464" s="5" t="s">
        <v>13</v>
      </c>
      <c r="N464" s="5" t="s">
        <v>58</v>
      </c>
      <c r="O464" s="5" t="s">
        <v>13</v>
      </c>
      <c r="P464" s="5">
        <v>0</v>
      </c>
      <c r="Q464" s="5">
        <v>100</v>
      </c>
      <c r="R464" s="5">
        <v>0</v>
      </c>
      <c r="S464" s="5">
        <v>0</v>
      </c>
      <c r="T464" s="5" t="s">
        <v>1673</v>
      </c>
      <c r="U464" s="5" t="s">
        <v>2562</v>
      </c>
      <c r="V464" s="5" t="s">
        <v>2563</v>
      </c>
      <c r="W464" s="5">
        <v>0</v>
      </c>
      <c r="X464" s="5">
        <v>0</v>
      </c>
      <c r="Y464" s="5">
        <v>0</v>
      </c>
      <c r="Z464" s="5" t="s">
        <v>2371</v>
      </c>
      <c r="AA464" s="5" t="s">
        <v>4714</v>
      </c>
      <c r="AB464" s="5" t="s">
        <v>19</v>
      </c>
      <c r="AC464" s="5" t="s">
        <v>19</v>
      </c>
      <c r="AD464" s="5" t="s">
        <v>19</v>
      </c>
      <c r="AE464" s="5" t="s">
        <v>1807</v>
      </c>
      <c r="AF464" s="5" t="s">
        <v>12</v>
      </c>
      <c r="AG464" s="5">
        <v>1</v>
      </c>
      <c r="AH464" s="5">
        <v>1</v>
      </c>
      <c r="AI464" s="5">
        <v>0</v>
      </c>
      <c r="AJ464" s="5">
        <v>100</v>
      </c>
      <c r="AK464" s="5">
        <v>0</v>
      </c>
      <c r="AL464" s="5" t="s">
        <v>12</v>
      </c>
      <c r="AM464" s="5" t="s">
        <v>12</v>
      </c>
      <c r="AN464" s="5" t="s">
        <v>12</v>
      </c>
      <c r="AO464" s="5" t="s">
        <v>11</v>
      </c>
      <c r="AP464" s="5" t="s">
        <v>11</v>
      </c>
      <c r="AQ464" s="5" t="s">
        <v>123</v>
      </c>
      <c r="AR464" s="5" t="s">
        <v>122</v>
      </c>
    </row>
    <row r="465" spans="1:44" ht="31.5" x14ac:dyDescent="0.25">
      <c r="A465" s="10">
        <v>46096</v>
      </c>
      <c r="B465" s="5" t="s">
        <v>348</v>
      </c>
      <c r="C465" s="5" t="s">
        <v>2564</v>
      </c>
      <c r="D465" s="5" t="s">
        <v>11</v>
      </c>
      <c r="E465" s="5" t="s">
        <v>8</v>
      </c>
      <c r="F465" s="5" t="s">
        <v>8</v>
      </c>
      <c r="G465" s="5" t="s">
        <v>4715</v>
      </c>
      <c r="H465" s="5" t="s">
        <v>4716</v>
      </c>
      <c r="I465" s="6" t="str">
        <f>HYPERLINK("http://maps.yandex.ru/?ll=38.184,56.36264&amp;spn=0.011598,0.004531&amp;z=17&amp;l=map&amp;pt=38.184,56.36264", "56.362648//38.184")</f>
        <v>56.362648//38.184</v>
      </c>
      <c r="J465" s="5" t="s">
        <v>56</v>
      </c>
      <c r="K465" s="6" t="str">
        <f>HYPERLINK("http://maps.yandex.ru/?ll=40.11544,56.05773&amp;spn=0.011598,0.004531&amp;z=17&amp;l=map&amp;pt=40.11544,56.05773", "56.057735//40.11544")</f>
        <v>56.057735//40.11544</v>
      </c>
      <c r="L465" s="5" t="s">
        <v>49</v>
      </c>
      <c r="M465" s="5" t="s">
        <v>566</v>
      </c>
      <c r="N465" s="5" t="s">
        <v>4717</v>
      </c>
      <c r="O465" s="5" t="s">
        <v>13</v>
      </c>
      <c r="P465" s="5">
        <v>9</v>
      </c>
      <c r="Q465" s="5">
        <v>91</v>
      </c>
      <c r="R465" s="5">
        <v>0</v>
      </c>
      <c r="S465" s="5">
        <v>145.928</v>
      </c>
      <c r="T465" s="5" t="s">
        <v>2111</v>
      </c>
      <c r="U465" s="5" t="s">
        <v>4718</v>
      </c>
      <c r="V465" s="5" t="s">
        <v>4719</v>
      </c>
      <c r="W465" s="5">
        <v>6.08</v>
      </c>
      <c r="X465" s="5">
        <v>68.78</v>
      </c>
      <c r="Y465" s="5">
        <v>125</v>
      </c>
      <c r="Z465" s="5" t="s">
        <v>2116</v>
      </c>
      <c r="AA465" s="5" t="s">
        <v>2002</v>
      </c>
      <c r="AB465" s="5" t="s">
        <v>19</v>
      </c>
      <c r="AC465" s="5" t="s">
        <v>19</v>
      </c>
      <c r="AD465" s="5" t="s">
        <v>19</v>
      </c>
      <c r="AE465" s="5" t="s">
        <v>1788</v>
      </c>
      <c r="AF465" s="5" t="s">
        <v>4720</v>
      </c>
      <c r="AG465" s="5">
        <v>44</v>
      </c>
      <c r="AH465" s="5">
        <v>6</v>
      </c>
      <c r="AI465" s="5">
        <v>38</v>
      </c>
      <c r="AJ465" s="5">
        <v>27.85</v>
      </c>
      <c r="AK465" s="5">
        <v>24.05</v>
      </c>
      <c r="AL465" s="5" t="s">
        <v>12</v>
      </c>
      <c r="AM465" s="5" t="s">
        <v>12</v>
      </c>
      <c r="AN465" s="5" t="s">
        <v>12</v>
      </c>
      <c r="AO465" s="5" t="s">
        <v>11</v>
      </c>
      <c r="AP465" s="5" t="s">
        <v>11</v>
      </c>
      <c r="AQ465" s="5" t="s">
        <v>53</v>
      </c>
      <c r="AR465" s="5" t="s">
        <v>52</v>
      </c>
    </row>
    <row r="466" spans="1:44" ht="31.5" x14ac:dyDescent="0.25">
      <c r="A466" s="10">
        <v>46096</v>
      </c>
      <c r="B466" s="5" t="s">
        <v>346</v>
      </c>
      <c r="C466" s="5" t="s">
        <v>2566</v>
      </c>
      <c r="D466" s="5" t="s">
        <v>11</v>
      </c>
      <c r="E466" s="5" t="s">
        <v>8</v>
      </c>
      <c r="F466" s="5" t="s">
        <v>8</v>
      </c>
      <c r="G466" s="5" t="s">
        <v>3474</v>
      </c>
      <c r="H466" s="5" t="s">
        <v>4721</v>
      </c>
      <c r="I466" s="6" t="str">
        <f>HYPERLINK("http://maps.yandex.ru/?ll=42.073437,44.24061&amp;spn=0.011598,0.004531&amp;z=17&amp;l=map&amp;pt=42.073437,44.24061", "44.240612//42.073437")</f>
        <v>44.240612//42.073437</v>
      </c>
      <c r="J466" s="5" t="s">
        <v>23</v>
      </c>
      <c r="K466" s="6" t="str">
        <f>HYPERLINK("http://maps.yandex.ru/?ll=41.47132,44.7619&amp;spn=0.011598,0.004531&amp;z=17&amp;l=map&amp;pt=41.47132,44.7619", "44.76198//41.47132")</f>
        <v>44.76198//41.47132</v>
      </c>
      <c r="L466" s="5" t="s">
        <v>88</v>
      </c>
      <c r="M466" s="5" t="s">
        <v>4722</v>
      </c>
      <c r="N466" s="5" t="s">
        <v>1175</v>
      </c>
      <c r="O466" s="5" t="s">
        <v>126</v>
      </c>
      <c r="P466" s="5">
        <v>16</v>
      </c>
      <c r="Q466" s="5">
        <v>72</v>
      </c>
      <c r="R466" s="5">
        <v>12</v>
      </c>
      <c r="S466" s="5">
        <v>196.096</v>
      </c>
      <c r="T466" s="5" t="s">
        <v>12</v>
      </c>
      <c r="U466" s="5" t="s">
        <v>12</v>
      </c>
      <c r="V466" s="5" t="s">
        <v>12</v>
      </c>
      <c r="W466" s="5">
        <v>8.17</v>
      </c>
      <c r="X466" s="5">
        <v>50.07</v>
      </c>
      <c r="Y466" s="5">
        <v>98</v>
      </c>
      <c r="Z466" s="5" t="s">
        <v>2223</v>
      </c>
      <c r="AA466" s="5" t="s">
        <v>2223</v>
      </c>
      <c r="AB466" s="5" t="s">
        <v>19</v>
      </c>
      <c r="AC466" s="5" t="s">
        <v>19</v>
      </c>
      <c r="AD466" s="5" t="s">
        <v>19</v>
      </c>
      <c r="AE466" s="5" t="s">
        <v>19</v>
      </c>
      <c r="AF466" s="5" t="s">
        <v>12</v>
      </c>
      <c r="AG466" s="5"/>
      <c r="AH466" s="5"/>
      <c r="AI466" s="5"/>
      <c r="AJ466" s="5"/>
      <c r="AK466" s="5"/>
      <c r="AL466" s="5" t="s">
        <v>12</v>
      </c>
      <c r="AM466" s="5" t="s">
        <v>12</v>
      </c>
      <c r="AN466" s="5" t="s">
        <v>12</v>
      </c>
      <c r="AO466" s="5" t="s">
        <v>115</v>
      </c>
      <c r="AP466" s="5" t="s">
        <v>114</v>
      </c>
      <c r="AQ466" s="5" t="s">
        <v>99</v>
      </c>
      <c r="AR466" s="5" t="s">
        <v>98</v>
      </c>
    </row>
    <row r="467" spans="1:44" ht="31.5" x14ac:dyDescent="0.25">
      <c r="A467" s="10">
        <v>46096</v>
      </c>
      <c r="B467" s="5" t="s">
        <v>344</v>
      </c>
      <c r="C467" s="5" t="s">
        <v>2567</v>
      </c>
      <c r="D467" s="5" t="s">
        <v>11</v>
      </c>
      <c r="E467" s="5" t="s">
        <v>8</v>
      </c>
      <c r="F467" s="5" t="s">
        <v>8</v>
      </c>
      <c r="G467" s="5" t="s">
        <v>4723</v>
      </c>
      <c r="H467" s="5" t="s">
        <v>4724</v>
      </c>
      <c r="I467" s="6" t="str">
        <f>HYPERLINK("http://maps.yandex.ru/?ll=30.477007,59.80983&amp;spn=0.011598,0.004531&amp;z=17&amp;l=map&amp;pt=30.477007,59.80983", "59.809834//30.477007")</f>
        <v>59.809834//30.477007</v>
      </c>
      <c r="J467" s="5" t="s">
        <v>23</v>
      </c>
      <c r="K467" s="6" t="str">
        <f>HYPERLINK("http://maps.yandex.ru/?ll=32.53586,58.25453&amp;spn=0.011598,0.004531&amp;z=17&amp;l=map&amp;pt=32.53586,58.25453", "58.254536//32.53586")</f>
        <v>58.254536//32.53586</v>
      </c>
      <c r="L467" s="5" t="s">
        <v>148</v>
      </c>
      <c r="M467" s="5" t="s">
        <v>1461</v>
      </c>
      <c r="N467" s="5" t="s">
        <v>273</v>
      </c>
      <c r="O467" s="5" t="s">
        <v>103</v>
      </c>
      <c r="P467" s="5">
        <v>20</v>
      </c>
      <c r="Q467" s="5">
        <v>42</v>
      </c>
      <c r="R467" s="5">
        <v>38</v>
      </c>
      <c r="S467" s="5">
        <v>285.36599999999999</v>
      </c>
      <c r="T467" s="5" t="s">
        <v>12</v>
      </c>
      <c r="U467" s="5" t="s">
        <v>12</v>
      </c>
      <c r="V467" s="5" t="s">
        <v>12</v>
      </c>
      <c r="W467" s="5">
        <v>11.89</v>
      </c>
      <c r="X467" s="5">
        <v>58.79</v>
      </c>
      <c r="Y467" s="5">
        <v>89</v>
      </c>
      <c r="Z467" s="5" t="s">
        <v>1429</v>
      </c>
      <c r="AA467" s="5" t="s">
        <v>1707</v>
      </c>
      <c r="AB467" s="5" t="s">
        <v>2054</v>
      </c>
      <c r="AC467" s="5" t="s">
        <v>1673</v>
      </c>
      <c r="AD467" s="5" t="s">
        <v>19</v>
      </c>
      <c r="AE467" s="5" t="s">
        <v>1698</v>
      </c>
      <c r="AF467" s="5" t="s">
        <v>12</v>
      </c>
      <c r="AG467" s="5"/>
      <c r="AH467" s="5"/>
      <c r="AI467" s="5"/>
      <c r="AJ467" s="5"/>
      <c r="AK467" s="5"/>
      <c r="AL467" s="5" t="s">
        <v>2568</v>
      </c>
      <c r="AM467" s="5" t="s">
        <v>4725</v>
      </c>
      <c r="AN467" s="5" t="s">
        <v>1746</v>
      </c>
      <c r="AO467" s="5" t="s">
        <v>115</v>
      </c>
      <c r="AP467" s="5" t="s">
        <v>114</v>
      </c>
      <c r="AQ467" s="5" t="s">
        <v>99</v>
      </c>
      <c r="AR467" s="5" t="s">
        <v>98</v>
      </c>
    </row>
    <row r="468" spans="1:44" ht="31.5" x14ac:dyDescent="0.25">
      <c r="A468" s="10">
        <v>46096</v>
      </c>
      <c r="B468" s="5" t="s">
        <v>343</v>
      </c>
      <c r="C468" s="5" t="s">
        <v>2569</v>
      </c>
      <c r="D468" s="5" t="s">
        <v>11</v>
      </c>
      <c r="E468" s="5" t="s">
        <v>6</v>
      </c>
      <c r="F468" s="5" t="s">
        <v>6</v>
      </c>
      <c r="G468" s="5" t="s">
        <v>3103</v>
      </c>
      <c r="H468" s="5" t="s">
        <v>4726</v>
      </c>
      <c r="I468" s="6" t="str">
        <f>HYPERLINK("http://maps.yandex.ru/?ll=39.19874,52.03838&amp;spn=0.011598,0.004531&amp;z=17&amp;l=map&amp;pt=39.19874,52.03838", "52.038383//39.19874")</f>
        <v>52.038383//39.19874</v>
      </c>
      <c r="J468" s="5" t="s">
        <v>101</v>
      </c>
      <c r="K468" s="6" t="str">
        <f>HYPERLINK("http://maps.yandex.ru/?ll=38.155766,54.34090&amp;spn=0.011598,0.004531&amp;z=17&amp;l=map&amp;pt=38.155766,54.34090", "54.340904//38.155766")</f>
        <v>54.340904//38.155766</v>
      </c>
      <c r="L468" s="5" t="s">
        <v>168</v>
      </c>
      <c r="M468" s="5" t="s">
        <v>1354</v>
      </c>
      <c r="N468" s="5" t="s">
        <v>807</v>
      </c>
      <c r="O468" s="5" t="s">
        <v>1521</v>
      </c>
      <c r="P468" s="5">
        <v>12</v>
      </c>
      <c r="Q468" s="5">
        <v>7</v>
      </c>
      <c r="R468" s="5">
        <v>81</v>
      </c>
      <c r="S468" s="5">
        <v>207.79499999999999</v>
      </c>
      <c r="T468" s="5" t="s">
        <v>3325</v>
      </c>
      <c r="U468" s="5" t="s">
        <v>4727</v>
      </c>
      <c r="V468" s="5" t="s">
        <v>4728</v>
      </c>
      <c r="W468" s="5">
        <v>8.66</v>
      </c>
      <c r="X468" s="5">
        <v>70.489999999999995</v>
      </c>
      <c r="Y468" s="5">
        <v>114</v>
      </c>
      <c r="Z468" s="5" t="s">
        <v>2572</v>
      </c>
      <c r="AA468" s="5" t="s">
        <v>2031</v>
      </c>
      <c r="AB468" s="5" t="s">
        <v>1832</v>
      </c>
      <c r="AC468" s="5" t="s">
        <v>1673</v>
      </c>
      <c r="AD468" s="5" t="s">
        <v>19</v>
      </c>
      <c r="AE468" s="5" t="s">
        <v>1669</v>
      </c>
      <c r="AF468" s="5" t="s">
        <v>4729</v>
      </c>
      <c r="AG468" s="5">
        <v>124</v>
      </c>
      <c r="AH468" s="5">
        <v>0</v>
      </c>
      <c r="AI468" s="5">
        <v>124</v>
      </c>
      <c r="AJ468" s="5">
        <v>34.25</v>
      </c>
      <c r="AK468" s="5">
        <v>34.25</v>
      </c>
      <c r="AL468" s="5" t="s">
        <v>12</v>
      </c>
      <c r="AM468" s="5" t="s">
        <v>12</v>
      </c>
      <c r="AN468" s="5" t="s">
        <v>12</v>
      </c>
      <c r="AO468" s="5" t="s">
        <v>11</v>
      </c>
      <c r="AP468" s="5" t="s">
        <v>11</v>
      </c>
      <c r="AQ468" s="5" t="s">
        <v>53</v>
      </c>
      <c r="AR468" s="5" t="s">
        <v>52</v>
      </c>
    </row>
    <row r="469" spans="1:44" ht="31.5" x14ac:dyDescent="0.25">
      <c r="A469" s="10">
        <v>46096</v>
      </c>
      <c r="B469" s="5" t="s">
        <v>342</v>
      </c>
      <c r="C469" s="5" t="s">
        <v>2573</v>
      </c>
      <c r="D469" s="5" t="s">
        <v>11</v>
      </c>
      <c r="E469" s="5" t="s">
        <v>0</v>
      </c>
      <c r="F469" s="5" t="s">
        <v>0</v>
      </c>
      <c r="G469" s="5" t="s">
        <v>3103</v>
      </c>
      <c r="H469" s="5" t="s">
        <v>4730</v>
      </c>
      <c r="I469" s="6" t="str">
        <f>HYPERLINK("http://maps.yandex.ru/?ll=41.311493,52.64536&amp;spn=0.011598,0.004531&amp;z=17&amp;l=map&amp;pt=41.311493,52.64536", "52.645367//41.311493")</f>
        <v>52.645367//41.311493</v>
      </c>
      <c r="J469" s="5" t="s">
        <v>284</v>
      </c>
      <c r="K469" s="6" t="str">
        <f>HYPERLINK("http://maps.yandex.ru/?ll=39.796234,51.09116&amp;spn=0.011598,0.004531&amp;z=17&amp;l=map&amp;pt=39.796234,51.09116", "51.091164//39.796234")</f>
        <v>51.091164//39.796234</v>
      </c>
      <c r="L469" s="5" t="s">
        <v>101</v>
      </c>
      <c r="M469" s="5" t="s">
        <v>726</v>
      </c>
      <c r="N469" s="5" t="s">
        <v>244</v>
      </c>
      <c r="O469" s="5" t="s">
        <v>4731</v>
      </c>
      <c r="P469" s="5">
        <v>14</v>
      </c>
      <c r="Q469" s="5">
        <v>36</v>
      </c>
      <c r="R469" s="5">
        <v>50</v>
      </c>
      <c r="S469" s="5">
        <v>226.51300000000001</v>
      </c>
      <c r="T469" s="5" t="s">
        <v>12</v>
      </c>
      <c r="U469" s="5" t="s">
        <v>12</v>
      </c>
      <c r="V469" s="5" t="s">
        <v>12</v>
      </c>
      <c r="W469" s="5">
        <v>9.44</v>
      </c>
      <c r="X469" s="5">
        <v>68.430000000000007</v>
      </c>
      <c r="Y469" s="5">
        <v>107</v>
      </c>
      <c r="Z469" s="5" t="s">
        <v>2111</v>
      </c>
      <c r="AA469" s="5" t="s">
        <v>1532</v>
      </c>
      <c r="AB469" s="5" t="s">
        <v>19</v>
      </c>
      <c r="AC469" s="5" t="s">
        <v>19</v>
      </c>
      <c r="AD469" s="5" t="s">
        <v>19</v>
      </c>
      <c r="AE469" s="5" t="s">
        <v>2049</v>
      </c>
      <c r="AF469" s="5" t="s">
        <v>12</v>
      </c>
      <c r="AG469" s="5"/>
      <c r="AH469" s="5"/>
      <c r="AI469" s="5"/>
      <c r="AJ469" s="5"/>
      <c r="AK469" s="5"/>
      <c r="AL469" s="5" t="s">
        <v>2574</v>
      </c>
      <c r="AM469" s="5" t="s">
        <v>4732</v>
      </c>
      <c r="AN469" s="5" t="s">
        <v>1870</v>
      </c>
      <c r="AO469" s="5" t="s">
        <v>115</v>
      </c>
      <c r="AP469" s="5" t="s">
        <v>114</v>
      </c>
      <c r="AQ469" s="5" t="s">
        <v>99</v>
      </c>
      <c r="AR469" s="5" t="s">
        <v>98</v>
      </c>
    </row>
    <row r="470" spans="1:44" ht="31.5" x14ac:dyDescent="0.25">
      <c r="A470" s="10">
        <v>46096</v>
      </c>
      <c r="B470" s="5" t="s">
        <v>340</v>
      </c>
      <c r="C470" s="5" t="s">
        <v>2575</v>
      </c>
      <c r="D470" s="5" t="s">
        <v>11</v>
      </c>
      <c r="E470" s="5" t="s">
        <v>6</v>
      </c>
      <c r="F470" s="5" t="s">
        <v>6</v>
      </c>
      <c r="G470" s="5" t="s">
        <v>4733</v>
      </c>
      <c r="H470" s="5" t="s">
        <v>4734</v>
      </c>
      <c r="I470" s="6" t="str">
        <f>HYPERLINK("http://maps.yandex.ru/?ll=51.004757,55.6442&amp;spn=0.011598,0.004531&amp;z=17&amp;l=map&amp;pt=51.004757,55.6442", "55.64423//51.004757")</f>
        <v>55.64423//51.004757</v>
      </c>
      <c r="J470" s="5" t="s">
        <v>28</v>
      </c>
      <c r="K470" s="6" t="str">
        <f>HYPERLINK("http://maps.yandex.ru/?ll=39.890167,55.9967&amp;spn=0.011598,0.004531&amp;z=17&amp;l=map&amp;pt=39.890167,55.9967", "55.99678//39.890167")</f>
        <v>55.99678//39.890167</v>
      </c>
      <c r="L470" s="5" t="s">
        <v>49</v>
      </c>
      <c r="M470" s="5" t="s">
        <v>1470</v>
      </c>
      <c r="N470" s="5" t="s">
        <v>3933</v>
      </c>
      <c r="O470" s="5" t="s">
        <v>449</v>
      </c>
      <c r="P470" s="5">
        <v>45</v>
      </c>
      <c r="Q470" s="5">
        <v>53</v>
      </c>
      <c r="R470" s="5">
        <v>2</v>
      </c>
      <c r="S470" s="5">
        <v>803.279</v>
      </c>
      <c r="T470" s="5" t="s">
        <v>12</v>
      </c>
      <c r="U470" s="5" t="s">
        <v>12</v>
      </c>
      <c r="V470" s="5" t="s">
        <v>12</v>
      </c>
      <c r="W470" s="5">
        <v>33.47</v>
      </c>
      <c r="X470" s="5">
        <v>74.55</v>
      </c>
      <c r="Y470" s="5">
        <v>105</v>
      </c>
      <c r="Z470" s="5" t="s">
        <v>1907</v>
      </c>
      <c r="AA470" s="5" t="s">
        <v>1707</v>
      </c>
      <c r="AB470" s="5" t="s">
        <v>2191</v>
      </c>
      <c r="AC470" s="5" t="s">
        <v>1673</v>
      </c>
      <c r="AD470" s="5" t="s">
        <v>19</v>
      </c>
      <c r="AE470" s="5" t="s">
        <v>1929</v>
      </c>
      <c r="AF470" s="5" t="s">
        <v>12</v>
      </c>
      <c r="AG470" s="5"/>
      <c r="AH470" s="5"/>
      <c r="AI470" s="5"/>
      <c r="AJ470" s="5"/>
      <c r="AK470" s="5"/>
      <c r="AL470" s="5" t="s">
        <v>12</v>
      </c>
      <c r="AM470" s="5" t="s">
        <v>12</v>
      </c>
      <c r="AN470" s="5" t="s">
        <v>12</v>
      </c>
      <c r="AO470" s="5" t="s">
        <v>115</v>
      </c>
      <c r="AP470" s="5" t="s">
        <v>114</v>
      </c>
      <c r="AQ470" s="5" t="s">
        <v>99</v>
      </c>
      <c r="AR470" s="5" t="s">
        <v>98</v>
      </c>
    </row>
    <row r="471" spans="1:44" ht="31.5" x14ac:dyDescent="0.25">
      <c r="A471" s="10">
        <v>46096</v>
      </c>
      <c r="B471" s="5" t="s">
        <v>338</v>
      </c>
      <c r="C471" s="5" t="s">
        <v>2576</v>
      </c>
      <c r="D471" s="5" t="s">
        <v>11</v>
      </c>
      <c r="E471" s="5" t="s">
        <v>8</v>
      </c>
      <c r="F471" s="5" t="s">
        <v>8</v>
      </c>
      <c r="G471" s="5" t="s">
        <v>4735</v>
      </c>
      <c r="H471" s="5" t="s">
        <v>4736</v>
      </c>
      <c r="I471" s="6" t="str">
        <f>HYPERLINK("http://maps.yandex.ru/?ll=37.232567,55.77509&amp;spn=0.011598,0.004531&amp;z=17&amp;l=map&amp;pt=37.232567,55.77509", "55.775093//37.232567")</f>
        <v>55.775093//37.232567</v>
      </c>
      <c r="J471" s="5" t="s">
        <v>56</v>
      </c>
      <c r="K471" s="6" t="str">
        <f>HYPERLINK("http://maps.yandex.ru/?ll=40.602707,52.9782&amp;spn=0.011598,0.004531&amp;z=17&amp;l=map&amp;pt=40.602707,52.9782", "52.97824//40.602707")</f>
        <v>52.97824//40.602707</v>
      </c>
      <c r="L471" s="5" t="s">
        <v>284</v>
      </c>
      <c r="M471" s="5" t="s">
        <v>1209</v>
      </c>
      <c r="N471" s="5" t="s">
        <v>1119</v>
      </c>
      <c r="O471" s="5" t="s">
        <v>4737</v>
      </c>
      <c r="P471" s="5">
        <v>2</v>
      </c>
      <c r="Q471" s="5">
        <v>11</v>
      </c>
      <c r="R471" s="5">
        <v>87</v>
      </c>
      <c r="S471" s="5">
        <v>13.641999999999999</v>
      </c>
      <c r="T471" s="5" t="s">
        <v>12</v>
      </c>
      <c r="U471" s="5" t="s">
        <v>12</v>
      </c>
      <c r="V471" s="5" t="s">
        <v>12</v>
      </c>
      <c r="W471" s="5">
        <v>0.56999999999999995</v>
      </c>
      <c r="X471" s="5">
        <v>23.54</v>
      </c>
      <c r="Y471" s="5">
        <v>180</v>
      </c>
      <c r="Z471" s="5" t="s">
        <v>2467</v>
      </c>
      <c r="AA471" s="5" t="s">
        <v>1619</v>
      </c>
      <c r="AB471" s="5" t="s">
        <v>1884</v>
      </c>
      <c r="AC471" s="5" t="s">
        <v>1673</v>
      </c>
      <c r="AD471" s="5" t="s">
        <v>19</v>
      </c>
      <c r="AE471" s="5" t="s">
        <v>1693</v>
      </c>
      <c r="AF471" s="5" t="s">
        <v>12</v>
      </c>
      <c r="AG471" s="5"/>
      <c r="AH471" s="5"/>
      <c r="AI471" s="5"/>
      <c r="AJ471" s="5"/>
      <c r="AK471" s="5"/>
      <c r="AL471" s="5" t="s">
        <v>4738</v>
      </c>
      <c r="AM471" s="5" t="s">
        <v>4739</v>
      </c>
      <c r="AN471" s="5" t="s">
        <v>2331</v>
      </c>
      <c r="AO471" s="5" t="s">
        <v>115</v>
      </c>
      <c r="AP471" s="5" t="s">
        <v>114</v>
      </c>
      <c r="AQ471" s="5" t="s">
        <v>99</v>
      </c>
      <c r="AR471" s="5" t="s">
        <v>98</v>
      </c>
    </row>
    <row r="472" spans="1:44" ht="31.5" x14ac:dyDescent="0.25">
      <c r="A472" s="10">
        <v>46096</v>
      </c>
      <c r="B472" s="5" t="s">
        <v>335</v>
      </c>
      <c r="C472" s="5" t="s">
        <v>2577</v>
      </c>
      <c r="D472" s="5" t="s">
        <v>11</v>
      </c>
      <c r="E472" s="5" t="s">
        <v>0</v>
      </c>
      <c r="F472" s="5" t="s">
        <v>0</v>
      </c>
      <c r="G472" s="5" t="s">
        <v>3103</v>
      </c>
      <c r="H472" s="5" t="s">
        <v>4740</v>
      </c>
      <c r="I472" s="6" t="str">
        <f>HYPERLINK("http://maps.yandex.ru/?ll=39.506996,45.5800&amp;spn=0.011598,0.004531&amp;z=17&amp;l=map&amp;pt=39.506996,45.5800", "45.58001//39.506996")</f>
        <v>45.58001//39.506996</v>
      </c>
      <c r="J472" s="5" t="s">
        <v>88</v>
      </c>
      <c r="K472" s="6" t="str">
        <f>HYPERLINK("http://maps.yandex.ru/?ll=37.72869,44.76028&amp;spn=0.011598,0.004531&amp;z=17&amp;l=map&amp;pt=37.72869,44.76028", "44.760284//37.72869")</f>
        <v>44.760284//37.72869</v>
      </c>
      <c r="L472" s="5" t="s">
        <v>88</v>
      </c>
      <c r="M472" s="5" t="s">
        <v>79</v>
      </c>
      <c r="N472" s="5" t="s">
        <v>4698</v>
      </c>
      <c r="O472" s="5" t="s">
        <v>4741</v>
      </c>
      <c r="P472" s="5">
        <v>44</v>
      </c>
      <c r="Q472" s="5">
        <v>38</v>
      </c>
      <c r="R472" s="5">
        <v>18</v>
      </c>
      <c r="S472" s="5">
        <v>929.22699999999998</v>
      </c>
      <c r="T472" s="5" t="s">
        <v>12</v>
      </c>
      <c r="U472" s="5" t="s">
        <v>12</v>
      </c>
      <c r="V472" s="5" t="s">
        <v>12</v>
      </c>
      <c r="W472" s="5">
        <v>38.72</v>
      </c>
      <c r="X472" s="5">
        <v>87.24</v>
      </c>
      <c r="Y472" s="5">
        <v>135</v>
      </c>
      <c r="Z472" s="5" t="s">
        <v>1896</v>
      </c>
      <c r="AA472" s="5" t="s">
        <v>2317</v>
      </c>
      <c r="AB472" s="5" t="s">
        <v>19</v>
      </c>
      <c r="AC472" s="5" t="s">
        <v>19</v>
      </c>
      <c r="AD472" s="5" t="s">
        <v>19</v>
      </c>
      <c r="AE472" s="5" t="s">
        <v>2947</v>
      </c>
      <c r="AF472" s="5" t="s">
        <v>12</v>
      </c>
      <c r="AG472" s="5"/>
      <c r="AH472" s="5"/>
      <c r="AI472" s="5"/>
      <c r="AJ472" s="5"/>
      <c r="AK472" s="5"/>
      <c r="AL472" s="5" t="s">
        <v>4742</v>
      </c>
      <c r="AM472" s="5" t="s">
        <v>4743</v>
      </c>
      <c r="AN472" s="5" t="s">
        <v>1695</v>
      </c>
      <c r="AO472" s="5" t="s">
        <v>115</v>
      </c>
      <c r="AP472" s="5" t="s">
        <v>114</v>
      </c>
      <c r="AQ472" s="5" t="s">
        <v>99</v>
      </c>
      <c r="AR472" s="5" t="s">
        <v>98</v>
      </c>
    </row>
    <row r="473" spans="1:44" ht="15.75" x14ac:dyDescent="0.25">
      <c r="A473" s="10">
        <v>46096</v>
      </c>
      <c r="B473" s="5" t="s">
        <v>334</v>
      </c>
      <c r="C473" s="5" t="s">
        <v>2579</v>
      </c>
      <c r="D473" s="5" t="s">
        <v>11</v>
      </c>
      <c r="E473" s="5" t="s">
        <v>4</v>
      </c>
      <c r="F473" s="5" t="s">
        <v>4</v>
      </c>
      <c r="G473" s="5" t="s">
        <v>4744</v>
      </c>
      <c r="H473" s="5" t="s">
        <v>4745</v>
      </c>
      <c r="I473" s="6" t="str">
        <f>HYPERLINK("http://maps.yandex.ru/?ll=70.43603,56.2807&amp;spn=0.011598,0.004531&amp;z=17&amp;l=map&amp;pt=70.43603,56.2807", "56.28076//70.43603")</f>
        <v>56.28076//70.43603</v>
      </c>
      <c r="J473" s="5" t="s">
        <v>503</v>
      </c>
      <c r="K473" s="6" t="str">
        <f>HYPERLINK("http://maps.yandex.ru/?ll=73.20579,55.001&amp;spn=0.011598,0.004531&amp;z=17&amp;l=map&amp;pt=73.20579,55.001", "55.0011//73.20579")</f>
        <v>55.0011//73.20579</v>
      </c>
      <c r="L473" s="5" t="s">
        <v>190</v>
      </c>
      <c r="M473" s="5" t="s">
        <v>352</v>
      </c>
      <c r="N473" s="5" t="s">
        <v>4044</v>
      </c>
      <c r="O473" s="5" t="s">
        <v>13</v>
      </c>
      <c r="P473" s="5">
        <v>14</v>
      </c>
      <c r="Q473" s="5">
        <v>86</v>
      </c>
      <c r="R473" s="5">
        <v>0</v>
      </c>
      <c r="S473" s="5">
        <v>258.08800000000002</v>
      </c>
      <c r="T473" s="5" t="s">
        <v>12</v>
      </c>
      <c r="U473" s="5" t="s">
        <v>12</v>
      </c>
      <c r="V473" s="5" t="s">
        <v>12</v>
      </c>
      <c r="W473" s="5">
        <v>10.75</v>
      </c>
      <c r="X473" s="5">
        <v>76.650000000000006</v>
      </c>
      <c r="Y473" s="5">
        <v>92</v>
      </c>
      <c r="Z473" s="5" t="s">
        <v>1669</v>
      </c>
      <c r="AA473" s="5" t="s">
        <v>1933</v>
      </c>
      <c r="AB473" s="5" t="s">
        <v>19</v>
      </c>
      <c r="AC473" s="5" t="s">
        <v>19</v>
      </c>
      <c r="AD473" s="5" t="s">
        <v>19</v>
      </c>
      <c r="AE473" s="5" t="s">
        <v>1807</v>
      </c>
      <c r="AF473" s="5" t="s">
        <v>12</v>
      </c>
      <c r="AG473" s="5"/>
      <c r="AH473" s="5"/>
      <c r="AI473" s="5"/>
      <c r="AJ473" s="5"/>
      <c r="AK473" s="5"/>
      <c r="AL473" s="5" t="s">
        <v>4746</v>
      </c>
      <c r="AM473" s="5" t="s">
        <v>4747</v>
      </c>
      <c r="AN473" s="5" t="s">
        <v>1673</v>
      </c>
      <c r="AO473" s="5" t="s">
        <v>69</v>
      </c>
      <c r="AP473" s="5" t="s">
        <v>68</v>
      </c>
      <c r="AQ473" s="5" t="s">
        <v>99</v>
      </c>
      <c r="AR473" s="5" t="s">
        <v>98</v>
      </c>
    </row>
    <row r="474" spans="1:44" ht="31.5" x14ac:dyDescent="0.25">
      <c r="A474" s="10">
        <v>46096</v>
      </c>
      <c r="B474" s="5" t="s">
        <v>332</v>
      </c>
      <c r="C474" s="5" t="s">
        <v>2580</v>
      </c>
      <c r="D474" s="5" t="s">
        <v>11</v>
      </c>
      <c r="E474" s="5" t="s">
        <v>6</v>
      </c>
      <c r="F474" s="5" t="s">
        <v>6</v>
      </c>
      <c r="G474" s="5" t="s">
        <v>3103</v>
      </c>
      <c r="H474" s="5" t="s">
        <v>4748</v>
      </c>
      <c r="I474" s="6" t="str">
        <f>HYPERLINK("http://maps.yandex.ru/?ll=36.13769,52.90601&amp;spn=0.011598,0.004531&amp;z=17&amp;l=map&amp;pt=36.13769,52.90601", "52.906017//36.13769")</f>
        <v>52.906017//36.13769</v>
      </c>
      <c r="J474" s="5" t="s">
        <v>575</v>
      </c>
      <c r="K474" s="6" t="str">
        <f>HYPERLINK("http://maps.yandex.ru/?ll=39.79587,51.09036&amp;spn=0.011598,0.004531&amp;z=17&amp;l=map&amp;pt=39.79587,51.09036", "51.090363//39.79587")</f>
        <v>51.090363//39.79587</v>
      </c>
      <c r="L474" s="5" t="s">
        <v>101</v>
      </c>
      <c r="M474" s="5" t="s">
        <v>595</v>
      </c>
      <c r="N474" s="5" t="s">
        <v>252</v>
      </c>
      <c r="O474" s="5" t="s">
        <v>21</v>
      </c>
      <c r="P474" s="5">
        <v>19</v>
      </c>
      <c r="Q474" s="5">
        <v>29</v>
      </c>
      <c r="R474" s="5">
        <v>53</v>
      </c>
      <c r="S474" s="5">
        <v>284.75900000000001</v>
      </c>
      <c r="T474" s="5" t="s">
        <v>12</v>
      </c>
      <c r="U474" s="5" t="s">
        <v>12</v>
      </c>
      <c r="V474" s="5" t="s">
        <v>12</v>
      </c>
      <c r="W474" s="5">
        <v>11.87</v>
      </c>
      <c r="X474" s="5">
        <v>63.42</v>
      </c>
      <c r="Y474" s="5">
        <v>113</v>
      </c>
      <c r="Z474" s="5" t="s">
        <v>1740</v>
      </c>
      <c r="AA474" s="5" t="s">
        <v>1974</v>
      </c>
      <c r="AB474" s="5" t="s">
        <v>19</v>
      </c>
      <c r="AC474" s="5" t="s">
        <v>19</v>
      </c>
      <c r="AD474" s="5" t="s">
        <v>19</v>
      </c>
      <c r="AE474" s="5" t="s">
        <v>2303</v>
      </c>
      <c r="AF474" s="5" t="s">
        <v>12</v>
      </c>
      <c r="AG474" s="5"/>
      <c r="AH474" s="5"/>
      <c r="AI474" s="5"/>
      <c r="AJ474" s="5"/>
      <c r="AK474" s="5"/>
      <c r="AL474" s="5" t="s">
        <v>4749</v>
      </c>
      <c r="AM474" s="5" t="s">
        <v>4750</v>
      </c>
      <c r="AN474" s="5" t="s">
        <v>2049</v>
      </c>
      <c r="AO474" s="5" t="s">
        <v>83</v>
      </c>
      <c r="AP474" s="5" t="s">
        <v>82</v>
      </c>
      <c r="AQ474" s="5" t="s">
        <v>330</v>
      </c>
      <c r="AR474" s="5" t="s">
        <v>329</v>
      </c>
    </row>
    <row r="475" spans="1:44" ht="31.5" x14ac:dyDescent="0.25">
      <c r="A475" s="10">
        <v>46096</v>
      </c>
      <c r="B475" s="5" t="s">
        <v>328</v>
      </c>
      <c r="C475" s="5" t="s">
        <v>2581</v>
      </c>
      <c r="D475" s="5" t="s">
        <v>11</v>
      </c>
      <c r="E475" s="5" t="s">
        <v>5</v>
      </c>
      <c r="F475" s="5" t="s">
        <v>5</v>
      </c>
      <c r="G475" s="5" t="s">
        <v>4751</v>
      </c>
      <c r="H475" s="5" t="s">
        <v>4752</v>
      </c>
      <c r="I475" s="6" t="str">
        <f>HYPERLINK("http://maps.yandex.ru/?ll=41.708664,54.05862&amp;spn=0.011598,0.004531&amp;z=17&amp;l=map&amp;pt=41.708664,54.05862", "54.058624//41.708664")</f>
        <v>54.058624//41.708664</v>
      </c>
      <c r="J475" s="5" t="s">
        <v>118</v>
      </c>
      <c r="K475" s="6" t="str">
        <f>HYPERLINK("http://maps.yandex.ru/?ll=50.13395,53.0926&amp;spn=0.011598,0.004531&amp;z=17&amp;l=map&amp;pt=50.13395,53.0926", "53.09265//50.13395")</f>
        <v>53.09265//50.13395</v>
      </c>
      <c r="L475" s="5" t="s">
        <v>76</v>
      </c>
      <c r="M475" s="5" t="s">
        <v>4753</v>
      </c>
      <c r="N475" s="5" t="s">
        <v>4754</v>
      </c>
      <c r="O475" s="5" t="s">
        <v>3543</v>
      </c>
      <c r="P475" s="5">
        <v>46</v>
      </c>
      <c r="Q475" s="5">
        <v>48</v>
      </c>
      <c r="R475" s="5">
        <v>6</v>
      </c>
      <c r="S475" s="5">
        <v>769.69</v>
      </c>
      <c r="T475" s="5" t="s">
        <v>12</v>
      </c>
      <c r="U475" s="5" t="s">
        <v>12</v>
      </c>
      <c r="V475" s="5" t="s">
        <v>12</v>
      </c>
      <c r="W475" s="5">
        <v>32.07</v>
      </c>
      <c r="X475" s="5">
        <v>69.39</v>
      </c>
      <c r="Y475" s="5">
        <v>130</v>
      </c>
      <c r="Z475" s="5" t="s">
        <v>1717</v>
      </c>
      <c r="AA475" s="5" t="s">
        <v>2737</v>
      </c>
      <c r="AB475" s="5" t="s">
        <v>19</v>
      </c>
      <c r="AC475" s="5" t="s">
        <v>19</v>
      </c>
      <c r="AD475" s="5" t="s">
        <v>19</v>
      </c>
      <c r="AE475" s="5" t="s">
        <v>1689</v>
      </c>
      <c r="AF475" s="5" t="s">
        <v>12</v>
      </c>
      <c r="AG475" s="5"/>
      <c r="AH475" s="5"/>
      <c r="AI475" s="5"/>
      <c r="AJ475" s="5"/>
      <c r="AK475" s="5"/>
      <c r="AL475" s="5" t="s">
        <v>12</v>
      </c>
      <c r="AM475" s="5" t="s">
        <v>12</v>
      </c>
      <c r="AN475" s="5" t="s">
        <v>12</v>
      </c>
      <c r="AO475" s="5" t="s">
        <v>83</v>
      </c>
      <c r="AP475" s="5" t="s">
        <v>326</v>
      </c>
      <c r="AQ475" s="5" t="s">
        <v>106</v>
      </c>
      <c r="AR475" s="5" t="s">
        <v>105</v>
      </c>
    </row>
    <row r="476" spans="1:44" ht="31.5" x14ac:dyDescent="0.25">
      <c r="A476" s="10">
        <v>46096</v>
      </c>
      <c r="B476" s="5" t="s">
        <v>325</v>
      </c>
      <c r="C476" s="5" t="s">
        <v>2582</v>
      </c>
      <c r="D476" s="5" t="s">
        <v>11</v>
      </c>
      <c r="E476" s="5" t="s">
        <v>6</v>
      </c>
      <c r="F476" s="5" t="s">
        <v>6</v>
      </c>
      <c r="G476" s="5" t="s">
        <v>4755</v>
      </c>
      <c r="H476" s="5" t="s">
        <v>3121</v>
      </c>
      <c r="I476" s="6" t="str">
        <f>HYPERLINK("http://maps.yandex.ru/?ll=59.168377,55.06443&amp;spn=0.011598,0.004531&amp;z=17&amp;l=map&amp;pt=59.168377,55.06443", "55.064438//59.168377")</f>
        <v>55.064438//59.168377</v>
      </c>
      <c r="J476" s="5" t="s">
        <v>227</v>
      </c>
      <c r="K476" s="6" t="str">
        <f>HYPERLINK("http://maps.yandex.ru/?ll=61.467354,55.24030&amp;spn=0.011598,0.004531&amp;z=17&amp;l=map&amp;pt=61.467354,55.24030", "55.240307//61.467354")</f>
        <v>55.240307//61.467354</v>
      </c>
      <c r="L476" s="5" t="s">
        <v>227</v>
      </c>
      <c r="M476" s="5" t="s">
        <v>243</v>
      </c>
      <c r="N476" s="5" t="s">
        <v>840</v>
      </c>
      <c r="O476" s="5" t="s">
        <v>286</v>
      </c>
      <c r="P476" s="5">
        <v>64</v>
      </c>
      <c r="Q476" s="5">
        <v>35</v>
      </c>
      <c r="R476" s="5">
        <v>1</v>
      </c>
      <c r="S476" s="5">
        <v>555.41899999999998</v>
      </c>
      <c r="T476" s="5" t="s">
        <v>12</v>
      </c>
      <c r="U476" s="5" t="s">
        <v>12</v>
      </c>
      <c r="V476" s="5" t="s">
        <v>12</v>
      </c>
      <c r="W476" s="5">
        <v>23.14</v>
      </c>
      <c r="X476" s="5">
        <v>36.380000000000003</v>
      </c>
      <c r="Y476" s="5">
        <v>106</v>
      </c>
      <c r="Z476" s="5" t="s">
        <v>1540</v>
      </c>
      <c r="AA476" s="5" t="s">
        <v>2457</v>
      </c>
      <c r="AB476" s="5" t="s">
        <v>19</v>
      </c>
      <c r="AC476" s="5" t="s">
        <v>19</v>
      </c>
      <c r="AD476" s="5" t="s">
        <v>19</v>
      </c>
      <c r="AE476" s="5" t="s">
        <v>2337</v>
      </c>
      <c r="AF476" s="5" t="s">
        <v>12</v>
      </c>
      <c r="AG476" s="5"/>
      <c r="AH476" s="5"/>
      <c r="AI476" s="5"/>
      <c r="AJ476" s="5"/>
      <c r="AK476" s="5"/>
      <c r="AL476" s="5" t="s">
        <v>4756</v>
      </c>
      <c r="AM476" s="5" t="s">
        <v>4757</v>
      </c>
      <c r="AN476" s="5" t="s">
        <v>1756</v>
      </c>
      <c r="AO476" s="5" t="s">
        <v>69</v>
      </c>
      <c r="AP476" s="5" t="s">
        <v>68</v>
      </c>
      <c r="AQ476" s="5" t="s">
        <v>99</v>
      </c>
      <c r="AR476" s="5" t="s">
        <v>98</v>
      </c>
    </row>
    <row r="477" spans="1:44" ht="31.5" x14ac:dyDescent="0.25">
      <c r="A477" s="10">
        <v>46096</v>
      </c>
      <c r="B477" s="5" t="s">
        <v>321</v>
      </c>
      <c r="C477" s="5" t="s">
        <v>2583</v>
      </c>
      <c r="D477" s="5" t="s">
        <v>11</v>
      </c>
      <c r="E477" s="5" t="s">
        <v>8</v>
      </c>
      <c r="F477" s="5" t="s">
        <v>8</v>
      </c>
      <c r="G477" s="5" t="s">
        <v>4758</v>
      </c>
      <c r="H477" s="5" t="s">
        <v>3121</v>
      </c>
      <c r="I477" s="6" t="str">
        <f>HYPERLINK("http://maps.yandex.ru/?ll=30.245537,60.10056&amp;spn=0.011598,0.004531&amp;z=17&amp;l=map&amp;pt=30.245537,60.10056", "60.100563//30.245537")</f>
        <v>60.100563//30.245537</v>
      </c>
      <c r="J477" s="5" t="s">
        <v>23</v>
      </c>
      <c r="K477" s="6" t="str">
        <f>HYPERLINK("http://maps.yandex.ru/?ll=30.2214,59.8695&amp;spn=0.011598,0.004531&amp;z=17&amp;l=map&amp;pt=30.2214,59.8695", "59.86959//30.2214")</f>
        <v>59.86959//30.2214</v>
      </c>
      <c r="L477" s="5" t="s">
        <v>23</v>
      </c>
      <c r="M477" s="5" t="s">
        <v>358</v>
      </c>
      <c r="N477" s="5" t="s">
        <v>4027</v>
      </c>
      <c r="O477" s="5" t="s">
        <v>13</v>
      </c>
      <c r="P477" s="5">
        <v>12</v>
      </c>
      <c r="Q477" s="5">
        <v>88</v>
      </c>
      <c r="R477" s="5">
        <v>0</v>
      </c>
      <c r="S477" s="5">
        <v>105.58499999999999</v>
      </c>
      <c r="T477" s="5" t="s">
        <v>12</v>
      </c>
      <c r="U477" s="5" t="s">
        <v>12</v>
      </c>
      <c r="V477" s="5" t="s">
        <v>12</v>
      </c>
      <c r="W477" s="5">
        <v>4.4000000000000004</v>
      </c>
      <c r="X477" s="5">
        <v>36</v>
      </c>
      <c r="Y477" s="5">
        <v>88</v>
      </c>
      <c r="Z477" s="5" t="s">
        <v>2069</v>
      </c>
      <c r="AA477" s="5" t="s">
        <v>2069</v>
      </c>
      <c r="AB477" s="5" t="s">
        <v>19</v>
      </c>
      <c r="AC477" s="5" t="s">
        <v>19</v>
      </c>
      <c r="AD477" s="5" t="s">
        <v>19</v>
      </c>
      <c r="AE477" s="5" t="s">
        <v>19</v>
      </c>
      <c r="AF477" s="5" t="s">
        <v>12</v>
      </c>
      <c r="AG477" s="5"/>
      <c r="AH477" s="5"/>
      <c r="AI477" s="5"/>
      <c r="AJ477" s="5"/>
      <c r="AK477" s="5"/>
      <c r="AL477" s="5" t="s">
        <v>12</v>
      </c>
      <c r="AM477" s="5" t="s">
        <v>12</v>
      </c>
      <c r="AN477" s="5" t="s">
        <v>12</v>
      </c>
      <c r="AO477" s="5" t="s">
        <v>69</v>
      </c>
      <c r="AP477" s="5" t="s">
        <v>68</v>
      </c>
      <c r="AQ477" s="5" t="s">
        <v>99</v>
      </c>
      <c r="AR477" s="5" t="s">
        <v>98</v>
      </c>
    </row>
    <row r="478" spans="1:44" ht="15.75" x14ac:dyDescent="0.25">
      <c r="A478" s="10">
        <v>46096</v>
      </c>
      <c r="B478" s="5" t="s">
        <v>319</v>
      </c>
      <c r="C478" s="5" t="s">
        <v>2584</v>
      </c>
      <c r="D478" s="5" t="s">
        <v>11</v>
      </c>
      <c r="E478" s="5" t="s">
        <v>164</v>
      </c>
      <c r="F478" s="5" t="s">
        <v>164</v>
      </c>
      <c r="G478" s="5" t="s">
        <v>11</v>
      </c>
      <c r="H478" s="5" t="s">
        <v>11</v>
      </c>
      <c r="I478" s="6" t="str">
        <f>HYPERLINK("http://maps.yandex.ru/?ll=,&amp;spn=0.011598,0.004531&amp;z=17&amp;l=map&amp;pt=,", "")</f>
        <v/>
      </c>
      <c r="J478" s="5" t="s">
        <v>84</v>
      </c>
      <c r="K478" s="6" t="str">
        <f>HYPERLINK("http://maps.yandex.ru/?ll=,&amp;spn=0.011598,0.004531&amp;z=17&amp;l=map&amp;pt=,", "")</f>
        <v/>
      </c>
      <c r="L478" s="5" t="s">
        <v>84</v>
      </c>
      <c r="M478" s="5" t="s">
        <v>13</v>
      </c>
      <c r="N478" s="5" t="s">
        <v>58</v>
      </c>
      <c r="O478" s="5" t="s">
        <v>13</v>
      </c>
      <c r="P478" s="5">
        <v>0</v>
      </c>
      <c r="Q478" s="5">
        <v>100</v>
      </c>
      <c r="R478" s="5">
        <v>0</v>
      </c>
      <c r="S478" s="5">
        <v>0</v>
      </c>
      <c r="T478" s="5" t="s">
        <v>12</v>
      </c>
      <c r="U478" s="5" t="s">
        <v>12</v>
      </c>
      <c r="V478" s="5" t="s">
        <v>12</v>
      </c>
      <c r="W478" s="5">
        <v>0</v>
      </c>
      <c r="X478" s="5">
        <v>0</v>
      </c>
      <c r="Y478" s="5">
        <v>0</v>
      </c>
      <c r="Z478" s="5" t="s">
        <v>2586</v>
      </c>
      <c r="AA478" s="5" t="s">
        <v>4759</v>
      </c>
      <c r="AB478" s="5" t="s">
        <v>19</v>
      </c>
      <c r="AC478" s="5" t="s">
        <v>19</v>
      </c>
      <c r="AD478" s="5" t="s">
        <v>19</v>
      </c>
      <c r="AE478" s="5" t="s">
        <v>1689</v>
      </c>
      <c r="AF478" s="5" t="s">
        <v>12</v>
      </c>
      <c r="AG478" s="5"/>
      <c r="AH478" s="5">
        <v>0</v>
      </c>
      <c r="AI478" s="5"/>
      <c r="AJ478" s="5"/>
      <c r="AK478" s="5"/>
      <c r="AL478" s="5" t="s">
        <v>12</v>
      </c>
      <c r="AM478" s="5" t="s">
        <v>12</v>
      </c>
      <c r="AN478" s="5" t="s">
        <v>12</v>
      </c>
      <c r="AO478" s="5" t="s">
        <v>11</v>
      </c>
      <c r="AP478" s="5" t="s">
        <v>11</v>
      </c>
      <c r="AQ478" s="5" t="s">
        <v>53</v>
      </c>
      <c r="AR478" s="5" t="s">
        <v>52</v>
      </c>
    </row>
    <row r="479" spans="1:44" ht="31.5" x14ac:dyDescent="0.25">
      <c r="A479" s="10">
        <v>46096</v>
      </c>
      <c r="B479" s="5" t="s">
        <v>318</v>
      </c>
      <c r="C479" s="5" t="s">
        <v>2587</v>
      </c>
      <c r="D479" s="5" t="s">
        <v>11</v>
      </c>
      <c r="E479" s="5" t="s">
        <v>6</v>
      </c>
      <c r="F479" s="5" t="s">
        <v>6</v>
      </c>
      <c r="G479" s="5" t="s">
        <v>4760</v>
      </c>
      <c r="H479" s="5" t="s">
        <v>4761</v>
      </c>
      <c r="I479" s="6" t="str">
        <f>HYPERLINK("http://maps.yandex.ru/?ll=38.153507,55.81632&amp;spn=0.011598,0.004531&amp;z=17&amp;l=map&amp;pt=38.153507,55.81632", "55.816326//38.153507")</f>
        <v>55.816326//38.153507</v>
      </c>
      <c r="J479" s="5" t="s">
        <v>56</v>
      </c>
      <c r="K479" s="6" t="str">
        <f>HYPERLINK("http://maps.yandex.ru/?ll=45.964817,53.1023&amp;spn=0.011598,0.004531&amp;z=17&amp;l=map&amp;pt=45.964817,53.1023", "53.10235//45.964817")</f>
        <v>53.10235//45.964817</v>
      </c>
      <c r="L479" s="5" t="s">
        <v>94</v>
      </c>
      <c r="M479" s="5" t="s">
        <v>3361</v>
      </c>
      <c r="N479" s="5" t="s">
        <v>765</v>
      </c>
      <c r="O479" s="5" t="s">
        <v>3317</v>
      </c>
      <c r="P479" s="5">
        <v>38</v>
      </c>
      <c r="Q479" s="5">
        <v>52</v>
      </c>
      <c r="R479" s="5">
        <v>10</v>
      </c>
      <c r="S479" s="5">
        <v>615.32500000000005</v>
      </c>
      <c r="T479" s="5" t="s">
        <v>4762</v>
      </c>
      <c r="U479" s="5" t="s">
        <v>4763</v>
      </c>
      <c r="V479" s="5" t="s">
        <v>4764</v>
      </c>
      <c r="W479" s="5">
        <v>25.64</v>
      </c>
      <c r="X479" s="5">
        <v>67.680000000000007</v>
      </c>
      <c r="Y479" s="5">
        <v>115</v>
      </c>
      <c r="Z479" s="5" t="s">
        <v>1790</v>
      </c>
      <c r="AA479" s="5" t="s">
        <v>3281</v>
      </c>
      <c r="AB479" s="5" t="s">
        <v>19</v>
      </c>
      <c r="AC479" s="5" t="s">
        <v>19</v>
      </c>
      <c r="AD479" s="5" t="s">
        <v>19</v>
      </c>
      <c r="AE479" s="5" t="s">
        <v>1767</v>
      </c>
      <c r="AF479" s="5" t="s">
        <v>4765</v>
      </c>
      <c r="AG479" s="5">
        <v>218</v>
      </c>
      <c r="AH479" s="5">
        <v>3</v>
      </c>
      <c r="AI479" s="5">
        <v>215</v>
      </c>
      <c r="AJ479" s="5">
        <v>28.35</v>
      </c>
      <c r="AK479" s="5">
        <v>27.96</v>
      </c>
      <c r="AL479" s="5" t="s">
        <v>12</v>
      </c>
      <c r="AM479" s="5" t="s">
        <v>12</v>
      </c>
      <c r="AN479" s="5" t="s">
        <v>12</v>
      </c>
      <c r="AO479" s="5" t="s">
        <v>11</v>
      </c>
      <c r="AP479" s="5" t="s">
        <v>11</v>
      </c>
      <c r="AQ479" s="5" t="s">
        <v>18</v>
      </c>
      <c r="AR479" s="5" t="s">
        <v>17</v>
      </c>
    </row>
    <row r="480" spans="1:44" ht="31.5" x14ac:dyDescent="0.25">
      <c r="A480" s="10">
        <v>46096</v>
      </c>
      <c r="B480" s="5" t="s">
        <v>317</v>
      </c>
      <c r="C480" s="5" t="s">
        <v>2588</v>
      </c>
      <c r="D480" s="5" t="s">
        <v>11</v>
      </c>
      <c r="E480" s="5" t="s">
        <v>4</v>
      </c>
      <c r="F480" s="5" t="s">
        <v>4</v>
      </c>
      <c r="G480" s="5" t="s">
        <v>4766</v>
      </c>
      <c r="H480" s="5" t="s">
        <v>4767</v>
      </c>
      <c r="I480" s="6" t="str">
        <f>HYPERLINK("http://maps.yandex.ru/?ll=69.35469,56.1010&amp;spn=0.011598,0.004531&amp;z=17&amp;l=map&amp;pt=69.35469,56.1010", "56.10109//69.35469")</f>
        <v>56.10109//69.35469</v>
      </c>
      <c r="J480" s="5" t="s">
        <v>503</v>
      </c>
      <c r="K480" s="6" t="str">
        <f>HYPERLINK("http://maps.yandex.ru/?ll=73.354355,54.8783&amp;spn=0.011598,0.004531&amp;z=17&amp;l=map&amp;pt=73.354355,54.8783", "54.87831//73.354355")</f>
        <v>54.87831//73.354355</v>
      </c>
      <c r="L480" s="5" t="s">
        <v>190</v>
      </c>
      <c r="M480" s="5" t="s">
        <v>4768</v>
      </c>
      <c r="N480" s="5" t="s">
        <v>1404</v>
      </c>
      <c r="O480" s="5" t="s">
        <v>13</v>
      </c>
      <c r="P480" s="5">
        <v>22</v>
      </c>
      <c r="Q480" s="5">
        <v>78</v>
      </c>
      <c r="R480" s="5">
        <v>0</v>
      </c>
      <c r="S480" s="5">
        <v>356.29700000000003</v>
      </c>
      <c r="T480" s="5" t="s">
        <v>12</v>
      </c>
      <c r="U480" s="5" t="s">
        <v>12</v>
      </c>
      <c r="V480" s="5" t="s">
        <v>12</v>
      </c>
      <c r="W480" s="5">
        <v>14.85</v>
      </c>
      <c r="X480" s="5">
        <v>67.09</v>
      </c>
      <c r="Y480" s="5">
        <v>91</v>
      </c>
      <c r="Z480" s="5" t="s">
        <v>2041</v>
      </c>
      <c r="AA480" s="5" t="s">
        <v>2081</v>
      </c>
      <c r="AB480" s="5" t="s">
        <v>19</v>
      </c>
      <c r="AC480" s="5" t="s">
        <v>19</v>
      </c>
      <c r="AD480" s="5" t="s">
        <v>19</v>
      </c>
      <c r="AE480" s="5" t="s">
        <v>2947</v>
      </c>
      <c r="AF480" s="5" t="s">
        <v>12</v>
      </c>
      <c r="AG480" s="5"/>
      <c r="AH480" s="5"/>
      <c r="AI480" s="5"/>
      <c r="AJ480" s="5"/>
      <c r="AK480" s="5"/>
      <c r="AL480" s="5" t="s">
        <v>2589</v>
      </c>
      <c r="AM480" s="5" t="s">
        <v>4769</v>
      </c>
      <c r="AN480" s="5" t="s">
        <v>2226</v>
      </c>
      <c r="AO480" s="5" t="s">
        <v>69</v>
      </c>
      <c r="AP480" s="5" t="s">
        <v>68</v>
      </c>
      <c r="AQ480" s="5" t="s">
        <v>99</v>
      </c>
      <c r="AR480" s="5" t="s">
        <v>98</v>
      </c>
    </row>
    <row r="481" spans="1:44" ht="31.5" x14ac:dyDescent="0.25">
      <c r="A481" s="10">
        <v>46096</v>
      </c>
      <c r="B481" s="5" t="s">
        <v>315</v>
      </c>
      <c r="C481" s="5" t="s">
        <v>2590</v>
      </c>
      <c r="D481" s="5" t="s">
        <v>11</v>
      </c>
      <c r="E481" s="5" t="s">
        <v>4</v>
      </c>
      <c r="F481" s="5" t="s">
        <v>4</v>
      </c>
      <c r="G481" s="5" t="s">
        <v>4770</v>
      </c>
      <c r="H481" s="5" t="s">
        <v>4771</v>
      </c>
      <c r="I481" s="6" t="str">
        <f>HYPERLINK("http://maps.yandex.ru/?ll=121.99813,54.00087&amp;spn=0.011598,0.004531&amp;z=17&amp;l=map&amp;pt=121.99813,54.00087", "54.000877//121.99813")</f>
        <v>54.000877//121.99813</v>
      </c>
      <c r="J481" s="5" t="s">
        <v>143</v>
      </c>
      <c r="K481" s="6" t="str">
        <f>HYPERLINK("http://maps.yandex.ru/?ll=113.48118,52.13595&amp;spn=0.011598,0.004531&amp;z=17&amp;l=map&amp;pt=113.48118,52.13595", "52.135956//113.48118")</f>
        <v>52.135956//113.48118</v>
      </c>
      <c r="L481" s="5" t="s">
        <v>155</v>
      </c>
      <c r="M481" s="5" t="s">
        <v>366</v>
      </c>
      <c r="N481" s="5" t="s">
        <v>483</v>
      </c>
      <c r="O481" s="5" t="s">
        <v>13</v>
      </c>
      <c r="P481" s="5">
        <v>45</v>
      </c>
      <c r="Q481" s="5">
        <v>55</v>
      </c>
      <c r="R481" s="5">
        <v>0</v>
      </c>
      <c r="S481" s="5">
        <v>764.35900000000004</v>
      </c>
      <c r="T481" s="5" t="s">
        <v>1466</v>
      </c>
      <c r="U481" s="5" t="s">
        <v>4772</v>
      </c>
      <c r="V481" s="5" t="s">
        <v>4773</v>
      </c>
      <c r="W481" s="5">
        <v>31.85</v>
      </c>
      <c r="X481" s="5">
        <v>71.56</v>
      </c>
      <c r="Y481" s="5">
        <v>106</v>
      </c>
      <c r="Z481" s="5" t="s">
        <v>1772</v>
      </c>
      <c r="AA481" s="5" t="s">
        <v>2344</v>
      </c>
      <c r="AB481" s="5" t="s">
        <v>19</v>
      </c>
      <c r="AC481" s="5" t="s">
        <v>19</v>
      </c>
      <c r="AD481" s="5" t="s">
        <v>19</v>
      </c>
      <c r="AE481" s="5" t="s">
        <v>1535</v>
      </c>
      <c r="AF481" s="5" t="s">
        <v>4774</v>
      </c>
      <c r="AG481" s="5"/>
      <c r="AH481" s="5">
        <v>0</v>
      </c>
      <c r="AI481" s="5"/>
      <c r="AJ481" s="5">
        <v>0</v>
      </c>
      <c r="AK481" s="5">
        <v>0</v>
      </c>
      <c r="AL481" s="5" t="s">
        <v>12</v>
      </c>
      <c r="AM481" s="5" t="s">
        <v>12</v>
      </c>
      <c r="AN481" s="5" t="s">
        <v>12</v>
      </c>
      <c r="AO481" s="5" t="s">
        <v>11</v>
      </c>
      <c r="AP481" s="5" t="s">
        <v>11</v>
      </c>
      <c r="AQ481" s="5" t="s">
        <v>92</v>
      </c>
      <c r="AR481" s="5" t="s">
        <v>91</v>
      </c>
    </row>
    <row r="482" spans="1:44" ht="31.5" x14ac:dyDescent="0.25">
      <c r="A482" s="10">
        <v>46096</v>
      </c>
      <c r="B482" s="5" t="s">
        <v>311</v>
      </c>
      <c r="C482" s="5" t="s">
        <v>2593</v>
      </c>
      <c r="D482" s="5" t="s">
        <v>11</v>
      </c>
      <c r="E482" s="5" t="s">
        <v>5</v>
      </c>
      <c r="F482" s="5" t="s">
        <v>5</v>
      </c>
      <c r="G482" s="5" t="s">
        <v>4775</v>
      </c>
      <c r="H482" s="5" t="s">
        <v>4776</v>
      </c>
      <c r="I482" s="6" t="str">
        <f>HYPERLINK("http://maps.yandex.ru/?ll=73.19219,54.98952&amp;spn=0.011598,0.004531&amp;z=17&amp;l=map&amp;pt=73.19219,54.98952", "54.989525//73.19219")</f>
        <v>54.989525//73.19219</v>
      </c>
      <c r="J482" s="5" t="s">
        <v>190</v>
      </c>
      <c r="K482" s="6" t="str">
        <f>HYPERLINK("http://maps.yandex.ru/?ll=64.53997,57.07383&amp;spn=0.011598,0.004531&amp;z=17&amp;l=map&amp;pt=64.53997,57.07383", "57.073833//64.53997")</f>
        <v>57.073833//64.53997</v>
      </c>
      <c r="L482" s="5" t="s">
        <v>77</v>
      </c>
      <c r="M482" s="5" t="s">
        <v>3793</v>
      </c>
      <c r="N482" s="5" t="s">
        <v>4777</v>
      </c>
      <c r="O482" s="5" t="s">
        <v>13</v>
      </c>
      <c r="P482" s="5">
        <v>42</v>
      </c>
      <c r="Q482" s="5">
        <v>58</v>
      </c>
      <c r="R482" s="5">
        <v>0</v>
      </c>
      <c r="S482" s="5">
        <v>676.41099999999994</v>
      </c>
      <c r="T482" s="5" t="s">
        <v>4778</v>
      </c>
      <c r="U482" s="5" t="s">
        <v>4779</v>
      </c>
      <c r="V482" s="5" t="s">
        <v>4780</v>
      </c>
      <c r="W482" s="5">
        <v>28.18</v>
      </c>
      <c r="X482" s="5">
        <v>67.099999999999994</v>
      </c>
      <c r="Y482" s="5">
        <v>98</v>
      </c>
      <c r="Z482" s="5" t="s">
        <v>12</v>
      </c>
      <c r="AA482" s="5" t="s">
        <v>12</v>
      </c>
      <c r="AB482" s="5" t="s">
        <v>19</v>
      </c>
      <c r="AC482" s="5" t="s">
        <v>19</v>
      </c>
      <c r="AD482" s="5" t="s">
        <v>19</v>
      </c>
      <c r="AE482" s="5" t="s">
        <v>12</v>
      </c>
      <c r="AF482" s="5" t="s">
        <v>12</v>
      </c>
      <c r="AG482" s="5">
        <v>213</v>
      </c>
      <c r="AH482" s="5">
        <v>17</v>
      </c>
      <c r="AI482" s="5">
        <v>196</v>
      </c>
      <c r="AJ482" s="5">
        <v>30.3</v>
      </c>
      <c r="AK482" s="5">
        <v>27.88</v>
      </c>
      <c r="AL482" s="5" t="s">
        <v>12</v>
      </c>
      <c r="AM482" s="5" t="s">
        <v>12</v>
      </c>
      <c r="AN482" s="5" t="s">
        <v>12</v>
      </c>
      <c r="AO482" s="5" t="s">
        <v>11</v>
      </c>
      <c r="AP482" s="5" t="s">
        <v>11</v>
      </c>
      <c r="AQ482" s="5" t="s">
        <v>18</v>
      </c>
      <c r="AR482" s="5" t="s">
        <v>74</v>
      </c>
    </row>
    <row r="483" spans="1:44" ht="31.5" x14ac:dyDescent="0.25">
      <c r="A483" s="10">
        <v>46096</v>
      </c>
      <c r="B483" s="5" t="s">
        <v>309</v>
      </c>
      <c r="C483" s="5" t="s">
        <v>2594</v>
      </c>
      <c r="D483" s="5" t="s">
        <v>11</v>
      </c>
      <c r="E483" s="5" t="s">
        <v>5</v>
      </c>
      <c r="F483" s="5" t="s">
        <v>5</v>
      </c>
      <c r="G483" s="5" t="s">
        <v>4781</v>
      </c>
      <c r="H483" s="5" t="s">
        <v>4657</v>
      </c>
      <c r="I483" s="6" t="str">
        <f>HYPERLINK("http://maps.yandex.ru/?ll=48.480583,52.99983&amp;spn=0.011598,0.004531&amp;z=17&amp;l=map&amp;pt=48.480583,52.99983", "52.999832//48.480583")</f>
        <v>52.999832//48.480583</v>
      </c>
      <c r="J483" s="5" t="s">
        <v>76</v>
      </c>
      <c r="K483" s="6" t="str">
        <f>HYPERLINK("http://maps.yandex.ru/?ll=50.592823,53.2293&amp;spn=0.011598,0.004531&amp;z=17&amp;l=map&amp;pt=50.592823,53.2293", "53.22932//50.592823")</f>
        <v>53.22932//50.592823</v>
      </c>
      <c r="L483" s="5" t="s">
        <v>76</v>
      </c>
      <c r="M483" s="5" t="s">
        <v>3435</v>
      </c>
      <c r="N483" s="5" t="s">
        <v>444</v>
      </c>
      <c r="O483" s="5" t="s">
        <v>1391</v>
      </c>
      <c r="P483" s="5">
        <v>9</v>
      </c>
      <c r="Q483" s="5">
        <v>61</v>
      </c>
      <c r="R483" s="5">
        <v>30</v>
      </c>
      <c r="S483" s="5">
        <v>110.896</v>
      </c>
      <c r="T483" s="5" t="s">
        <v>1593</v>
      </c>
      <c r="U483" s="5" t="s">
        <v>4782</v>
      </c>
      <c r="V483" s="5" t="s">
        <v>4783</v>
      </c>
      <c r="W483" s="5">
        <v>4.62</v>
      </c>
      <c r="X483" s="5">
        <v>53.07</v>
      </c>
      <c r="Y483" s="5">
        <v>113</v>
      </c>
      <c r="Z483" s="5" t="s">
        <v>2596</v>
      </c>
      <c r="AA483" s="5" t="s">
        <v>1971</v>
      </c>
      <c r="AB483" s="5" t="s">
        <v>19</v>
      </c>
      <c r="AC483" s="5" t="s">
        <v>19</v>
      </c>
      <c r="AD483" s="5" t="s">
        <v>19</v>
      </c>
      <c r="AE483" s="5" t="s">
        <v>2336</v>
      </c>
      <c r="AF483" s="5" t="s">
        <v>4784</v>
      </c>
      <c r="AG483" s="5">
        <v>71</v>
      </c>
      <c r="AH483" s="5">
        <v>2</v>
      </c>
      <c r="AI483" s="5">
        <v>69</v>
      </c>
      <c r="AJ483" s="5">
        <v>25.91</v>
      </c>
      <c r="AK483" s="5">
        <v>25.18</v>
      </c>
      <c r="AL483" s="5" t="s">
        <v>12</v>
      </c>
      <c r="AM483" s="5" t="s">
        <v>12</v>
      </c>
      <c r="AN483" s="5" t="s">
        <v>12</v>
      </c>
      <c r="AO483" s="5" t="s">
        <v>11</v>
      </c>
      <c r="AP483" s="5" t="s">
        <v>11</v>
      </c>
      <c r="AQ483" s="5" t="s">
        <v>18</v>
      </c>
      <c r="AR483" s="5" t="s">
        <v>17</v>
      </c>
    </row>
    <row r="484" spans="1:44" ht="31.5" x14ac:dyDescent="0.25">
      <c r="A484" s="10">
        <v>46096</v>
      </c>
      <c r="B484" s="5" t="s">
        <v>307</v>
      </c>
      <c r="C484" s="5" t="s">
        <v>2597</v>
      </c>
      <c r="D484" s="5" t="s">
        <v>11</v>
      </c>
      <c r="E484" s="5" t="s">
        <v>3</v>
      </c>
      <c r="F484" s="5" t="s">
        <v>3</v>
      </c>
      <c r="G484" s="5" t="s">
        <v>4785</v>
      </c>
      <c r="H484" s="5" t="s">
        <v>4786</v>
      </c>
      <c r="I484" s="6" t="str">
        <f>HYPERLINK("http://maps.yandex.ru/?ll=32.445023,58.28211&amp;spn=0.011598,0.004531&amp;z=17&amp;l=map&amp;pt=32.445023,58.28211", "58.282116//32.445023")</f>
        <v>58.282116//32.445023</v>
      </c>
      <c r="J484" s="5" t="s">
        <v>148</v>
      </c>
      <c r="K484" s="6" t="str">
        <f>HYPERLINK("http://maps.yandex.ru/?ll=30.405628,59.7965&amp;spn=0.011598,0.004531&amp;z=17&amp;l=map&amp;pt=30.405628,59.7965", "59.79658//30.405628")</f>
        <v>59.79658//30.405628</v>
      </c>
      <c r="L484" s="5" t="s">
        <v>23</v>
      </c>
      <c r="M484" s="5" t="s">
        <v>1418</v>
      </c>
      <c r="N484" s="5" t="s">
        <v>4787</v>
      </c>
      <c r="O484" s="5" t="s">
        <v>25</v>
      </c>
      <c r="P484" s="5">
        <v>12</v>
      </c>
      <c r="Q484" s="5">
        <v>87</v>
      </c>
      <c r="R484" s="5">
        <v>1</v>
      </c>
      <c r="S484" s="5">
        <v>212.25800000000001</v>
      </c>
      <c r="T484" s="5" t="s">
        <v>2536</v>
      </c>
      <c r="U484" s="5" t="s">
        <v>4788</v>
      </c>
      <c r="V484" s="5" t="s">
        <v>4789</v>
      </c>
      <c r="W484" s="5">
        <v>8.84</v>
      </c>
      <c r="X484" s="5">
        <v>73.260000000000005</v>
      </c>
      <c r="Y484" s="5">
        <v>99</v>
      </c>
      <c r="Z484" s="5" t="s">
        <v>2430</v>
      </c>
      <c r="AA484" s="5" t="s">
        <v>1881</v>
      </c>
      <c r="AB484" s="5" t="s">
        <v>19</v>
      </c>
      <c r="AC484" s="5" t="s">
        <v>19</v>
      </c>
      <c r="AD484" s="5" t="s">
        <v>19</v>
      </c>
      <c r="AE484" s="5" t="s">
        <v>2307</v>
      </c>
      <c r="AF484" s="5" t="s">
        <v>4790</v>
      </c>
      <c r="AG484" s="5"/>
      <c r="AH484" s="5">
        <v>0</v>
      </c>
      <c r="AI484" s="5"/>
      <c r="AJ484" s="5">
        <v>0</v>
      </c>
      <c r="AK484" s="5">
        <v>0</v>
      </c>
      <c r="AL484" s="5" t="s">
        <v>12</v>
      </c>
      <c r="AM484" s="5" t="s">
        <v>12</v>
      </c>
      <c r="AN484" s="5" t="s">
        <v>12</v>
      </c>
      <c r="AO484" s="5" t="s">
        <v>11</v>
      </c>
      <c r="AP484" s="5" t="s">
        <v>11</v>
      </c>
      <c r="AQ484" s="5" t="s">
        <v>92</v>
      </c>
      <c r="AR484" s="5" t="s">
        <v>91</v>
      </c>
    </row>
    <row r="485" spans="1:44" ht="31.5" x14ac:dyDescent="0.25">
      <c r="A485" s="10">
        <v>46096</v>
      </c>
      <c r="B485" s="5" t="s">
        <v>306</v>
      </c>
      <c r="C485" s="5" t="s">
        <v>2600</v>
      </c>
      <c r="D485" s="5" t="s">
        <v>11</v>
      </c>
      <c r="E485" s="5" t="s">
        <v>3</v>
      </c>
      <c r="F485" s="5" t="s">
        <v>3</v>
      </c>
      <c r="G485" s="5" t="s">
        <v>4791</v>
      </c>
      <c r="H485" s="5" t="s">
        <v>4792</v>
      </c>
      <c r="I485" s="6" t="str">
        <f>HYPERLINK("http://maps.yandex.ru/?ll=39.266365,51.65611&amp;spn=0.011598,0.004531&amp;z=17&amp;l=map&amp;pt=39.266365,51.65611", "51.656116//39.266365")</f>
        <v>51.656116//39.266365</v>
      </c>
      <c r="J485" s="5" t="s">
        <v>101</v>
      </c>
      <c r="K485" s="6" t="str">
        <f>HYPERLINK("http://maps.yandex.ru/?ll=37.555553,55.3636&amp;spn=0.011598,0.004531&amp;z=17&amp;l=map&amp;pt=37.555553,55.3636", "55.36361//37.555553")</f>
        <v>55.36361//37.555553</v>
      </c>
      <c r="L485" s="5" t="s">
        <v>56</v>
      </c>
      <c r="M485" s="5" t="s">
        <v>690</v>
      </c>
      <c r="N485" s="5" t="s">
        <v>578</v>
      </c>
      <c r="O485" s="5" t="s">
        <v>481</v>
      </c>
      <c r="P485" s="5">
        <v>22</v>
      </c>
      <c r="Q485" s="5">
        <v>34</v>
      </c>
      <c r="R485" s="5">
        <v>44</v>
      </c>
      <c r="S485" s="5">
        <v>295.61500000000001</v>
      </c>
      <c r="T485" s="5" t="s">
        <v>2448</v>
      </c>
      <c r="U485" s="5" t="s">
        <v>4793</v>
      </c>
      <c r="V485" s="5" t="s">
        <v>4794</v>
      </c>
      <c r="W485" s="5">
        <v>12.32</v>
      </c>
      <c r="X485" s="5">
        <v>55.88</v>
      </c>
      <c r="Y485" s="5">
        <v>195</v>
      </c>
      <c r="Z485" s="5" t="s">
        <v>1588</v>
      </c>
      <c r="AA485" s="5" t="s">
        <v>2779</v>
      </c>
      <c r="AB485" s="5" t="s">
        <v>19</v>
      </c>
      <c r="AC485" s="5" t="s">
        <v>19</v>
      </c>
      <c r="AD485" s="5" t="s">
        <v>19</v>
      </c>
      <c r="AE485" s="5" t="s">
        <v>1577</v>
      </c>
      <c r="AF485" s="5" t="s">
        <v>4795</v>
      </c>
      <c r="AG485" s="5"/>
      <c r="AH485" s="5">
        <v>0</v>
      </c>
      <c r="AI485" s="5"/>
      <c r="AJ485" s="5">
        <v>0</v>
      </c>
      <c r="AK485" s="5">
        <v>0</v>
      </c>
      <c r="AL485" s="5" t="s">
        <v>12</v>
      </c>
      <c r="AM485" s="5" t="s">
        <v>12</v>
      </c>
      <c r="AN485" s="5" t="s">
        <v>12</v>
      </c>
      <c r="AO485" s="5" t="s">
        <v>11</v>
      </c>
      <c r="AP485" s="5" t="s">
        <v>11</v>
      </c>
      <c r="AQ485" s="5" t="s">
        <v>92</v>
      </c>
      <c r="AR485" s="5" t="s">
        <v>297</v>
      </c>
    </row>
    <row r="486" spans="1:44" ht="31.5" x14ac:dyDescent="0.25">
      <c r="A486" s="10">
        <v>46096</v>
      </c>
      <c r="B486" s="5" t="s">
        <v>303</v>
      </c>
      <c r="C486" s="5" t="s">
        <v>2603</v>
      </c>
      <c r="D486" s="5" t="s">
        <v>11</v>
      </c>
      <c r="E486" s="5" t="s">
        <v>1</v>
      </c>
      <c r="F486" s="5" t="s">
        <v>1</v>
      </c>
      <c r="G486" s="5" t="s">
        <v>3103</v>
      </c>
      <c r="H486" s="5" t="s">
        <v>4796</v>
      </c>
      <c r="I486" s="6" t="str">
        <f>HYPERLINK("http://maps.yandex.ru/?ll=40.447407,51.4911&amp;spn=0.011598,0.004531&amp;z=17&amp;l=map&amp;pt=40.447407,51.4911", "51.49117//40.447407")</f>
        <v>51.49117//40.447407</v>
      </c>
      <c r="J486" s="5" t="s">
        <v>101</v>
      </c>
      <c r="K486" s="6" t="str">
        <f>HYPERLINK("http://maps.yandex.ru/?ll=38.180073,53.30632&amp;spn=0.011598,0.004531&amp;z=17&amp;l=map&amp;pt=38.180073,53.30632", "53.306324//38.180073")</f>
        <v>53.306324//38.180073</v>
      </c>
      <c r="L486" s="5" t="s">
        <v>168</v>
      </c>
      <c r="M486" s="5" t="s">
        <v>166</v>
      </c>
      <c r="N486" s="5" t="s">
        <v>1354</v>
      </c>
      <c r="O486" s="5" t="s">
        <v>1506</v>
      </c>
      <c r="P486" s="5">
        <v>11</v>
      </c>
      <c r="Q486" s="5">
        <v>12</v>
      </c>
      <c r="R486" s="5">
        <v>76</v>
      </c>
      <c r="S486" s="5">
        <v>206.745</v>
      </c>
      <c r="T486" s="5" t="s">
        <v>2660</v>
      </c>
      <c r="U486" s="5" t="s">
        <v>4797</v>
      </c>
      <c r="V486" s="5" t="s">
        <v>4798</v>
      </c>
      <c r="W486" s="5">
        <v>8.61</v>
      </c>
      <c r="X486" s="5">
        <v>75.69</v>
      </c>
      <c r="Y486" s="5">
        <v>224</v>
      </c>
      <c r="Z486" s="5" t="s">
        <v>1830</v>
      </c>
      <c r="AA486" s="5" t="s">
        <v>4799</v>
      </c>
      <c r="AB486" s="5" t="s">
        <v>19</v>
      </c>
      <c r="AC486" s="5" t="s">
        <v>19</v>
      </c>
      <c r="AD486" s="5" t="s">
        <v>19</v>
      </c>
      <c r="AE486" s="5" t="s">
        <v>1988</v>
      </c>
      <c r="AF486" s="5" t="s">
        <v>4800</v>
      </c>
      <c r="AG486" s="5">
        <v>107</v>
      </c>
      <c r="AH486" s="5">
        <v>2</v>
      </c>
      <c r="AI486" s="5">
        <v>105</v>
      </c>
      <c r="AJ486" s="5">
        <v>29.81</v>
      </c>
      <c r="AK486" s="5">
        <v>29.25</v>
      </c>
      <c r="AL486" s="5" t="s">
        <v>12</v>
      </c>
      <c r="AM486" s="5" t="s">
        <v>12</v>
      </c>
      <c r="AN486" s="5" t="s">
        <v>12</v>
      </c>
      <c r="AO486" s="5" t="s">
        <v>11</v>
      </c>
      <c r="AP486" s="5" t="s">
        <v>11</v>
      </c>
      <c r="AQ486" s="5" t="s">
        <v>18</v>
      </c>
      <c r="AR486" s="5" t="s">
        <v>17</v>
      </c>
    </row>
    <row r="487" spans="1:44" ht="31.5" x14ac:dyDescent="0.25">
      <c r="A487" s="10">
        <v>46096</v>
      </c>
      <c r="B487" s="5" t="s">
        <v>301</v>
      </c>
      <c r="C487" s="5" t="s">
        <v>2604</v>
      </c>
      <c r="D487" s="5" t="s">
        <v>11</v>
      </c>
      <c r="E487" s="5" t="s">
        <v>7</v>
      </c>
      <c r="F487" s="5" t="s">
        <v>7</v>
      </c>
      <c r="G487" s="5" t="s">
        <v>4145</v>
      </c>
      <c r="H487" s="5" t="s">
        <v>4801</v>
      </c>
      <c r="I487" s="6" t="str">
        <f>HYPERLINK("http://maps.yandex.ru/?ll=44.595196,53.4343&amp;spn=0.011598,0.004531&amp;z=17&amp;l=map&amp;pt=44.595196,53.4343", "53.43431//44.595196")</f>
        <v>53.43431//44.595196</v>
      </c>
      <c r="J487" s="5" t="s">
        <v>94</v>
      </c>
      <c r="K487" s="6" t="str">
        <f>HYPERLINK("http://maps.yandex.ru/?ll=37.43147,56.01138&amp;spn=0.011598,0.004531&amp;z=17&amp;l=map&amp;pt=37.43147,56.01138", "56.011383//37.43147")</f>
        <v>56.011383//37.43147</v>
      </c>
      <c r="L487" s="5" t="s">
        <v>56</v>
      </c>
      <c r="M487" s="5" t="s">
        <v>578</v>
      </c>
      <c r="N487" s="5" t="s">
        <v>1457</v>
      </c>
      <c r="O487" s="5" t="s">
        <v>927</v>
      </c>
      <c r="P487" s="5">
        <v>34</v>
      </c>
      <c r="Q487" s="5">
        <v>55</v>
      </c>
      <c r="R487" s="5">
        <v>10</v>
      </c>
      <c r="S487" s="5">
        <v>558.34900000000005</v>
      </c>
      <c r="T487" s="5" t="s">
        <v>2259</v>
      </c>
      <c r="U487" s="5" t="s">
        <v>4802</v>
      </c>
      <c r="V487" s="5" t="s">
        <v>4803</v>
      </c>
      <c r="W487" s="5">
        <v>23.26</v>
      </c>
      <c r="X487" s="5">
        <v>68.2</v>
      </c>
      <c r="Y487" s="5">
        <v>99</v>
      </c>
      <c r="Z487" s="5" t="s">
        <v>2276</v>
      </c>
      <c r="AA487" s="5" t="s">
        <v>2994</v>
      </c>
      <c r="AB487" s="5" t="s">
        <v>19</v>
      </c>
      <c r="AC487" s="5" t="s">
        <v>19</v>
      </c>
      <c r="AD487" s="5" t="s">
        <v>19</v>
      </c>
      <c r="AE487" s="5" t="s">
        <v>2377</v>
      </c>
      <c r="AF487" s="5" t="s">
        <v>4804</v>
      </c>
      <c r="AG487" s="5"/>
      <c r="AH487" s="5">
        <v>0</v>
      </c>
      <c r="AI487" s="5"/>
      <c r="AJ487" s="5">
        <v>0</v>
      </c>
      <c r="AK487" s="5">
        <v>0</v>
      </c>
      <c r="AL487" s="5" t="s">
        <v>12</v>
      </c>
      <c r="AM487" s="5" t="s">
        <v>12</v>
      </c>
      <c r="AN487" s="5" t="s">
        <v>12</v>
      </c>
      <c r="AO487" s="5" t="s">
        <v>11</v>
      </c>
      <c r="AP487" s="5" t="s">
        <v>11</v>
      </c>
      <c r="AQ487" s="5" t="s">
        <v>92</v>
      </c>
      <c r="AR487" s="5" t="s">
        <v>297</v>
      </c>
    </row>
    <row r="488" spans="1:44" ht="31.5" x14ac:dyDescent="0.25">
      <c r="A488" s="10">
        <v>46096</v>
      </c>
      <c r="B488" s="5" t="s">
        <v>370</v>
      </c>
      <c r="C488" s="5" t="s">
        <v>2608</v>
      </c>
      <c r="D488" s="5" t="s">
        <v>11</v>
      </c>
      <c r="E488" s="5" t="s">
        <v>4</v>
      </c>
      <c r="F488" s="5" t="s">
        <v>4</v>
      </c>
      <c r="G488" s="5" t="s">
        <v>4805</v>
      </c>
      <c r="H488" s="5" t="s">
        <v>4806</v>
      </c>
      <c r="I488" s="6" t="str">
        <f>HYPERLINK("http://maps.yandex.ru/?ll=69.35532,56.10133&amp;spn=0.011598,0.004531&amp;z=17&amp;l=map&amp;pt=69.35532,56.10133", "56.101337//69.35532")</f>
        <v>56.101337//69.35532</v>
      </c>
      <c r="J488" s="5" t="s">
        <v>503</v>
      </c>
      <c r="K488" s="6" t="str">
        <f>HYPERLINK("http://maps.yandex.ru/?ll=73.35446,54.87844&amp;spn=0.011598,0.004531&amp;z=17&amp;l=map&amp;pt=73.35446,54.87844", "54.878445//73.35446")</f>
        <v>54.878445//73.35446</v>
      </c>
      <c r="L488" s="5" t="s">
        <v>190</v>
      </c>
      <c r="M488" s="5" t="s">
        <v>4768</v>
      </c>
      <c r="N488" s="5" t="s">
        <v>1404</v>
      </c>
      <c r="O488" s="5" t="s">
        <v>13</v>
      </c>
      <c r="P488" s="5">
        <v>22</v>
      </c>
      <c r="Q488" s="5">
        <v>78</v>
      </c>
      <c r="R488" s="5">
        <v>0</v>
      </c>
      <c r="S488" s="5">
        <v>356.512</v>
      </c>
      <c r="T488" s="5" t="s">
        <v>4807</v>
      </c>
      <c r="U488" s="5" t="s">
        <v>4808</v>
      </c>
      <c r="V488" s="5" t="s">
        <v>4809</v>
      </c>
      <c r="W488" s="5">
        <v>14.85</v>
      </c>
      <c r="X488" s="5">
        <v>67.14</v>
      </c>
      <c r="Y488" s="5">
        <v>91</v>
      </c>
      <c r="Z488" s="5" t="s">
        <v>2510</v>
      </c>
      <c r="AA488" s="5" t="s">
        <v>2450</v>
      </c>
      <c r="AB488" s="5" t="s">
        <v>2373</v>
      </c>
      <c r="AC488" s="5" t="s">
        <v>1673</v>
      </c>
      <c r="AD488" s="5" t="s">
        <v>19</v>
      </c>
      <c r="AE488" s="5" t="s">
        <v>1621</v>
      </c>
      <c r="AF488" s="5" t="s">
        <v>4810</v>
      </c>
      <c r="AG488" s="5">
        <v>113</v>
      </c>
      <c r="AH488" s="5">
        <v>1</v>
      </c>
      <c r="AI488" s="5">
        <v>112</v>
      </c>
      <c r="AJ488" s="5">
        <v>33.729999999999997</v>
      </c>
      <c r="AK488" s="5">
        <v>33.43</v>
      </c>
      <c r="AL488" s="5" t="s">
        <v>12</v>
      </c>
      <c r="AM488" s="5" t="s">
        <v>12</v>
      </c>
      <c r="AN488" s="5" t="s">
        <v>12</v>
      </c>
      <c r="AO488" s="5" t="s">
        <v>11</v>
      </c>
      <c r="AP488" s="5" t="s">
        <v>11</v>
      </c>
      <c r="AQ488" s="5" t="s">
        <v>53</v>
      </c>
      <c r="AR488" s="5" t="s">
        <v>52</v>
      </c>
    </row>
    <row r="489" spans="1:44" ht="31.5" x14ac:dyDescent="0.25">
      <c r="A489" s="10">
        <v>46096</v>
      </c>
      <c r="B489" s="5" t="s">
        <v>253</v>
      </c>
      <c r="C489" s="5" t="s">
        <v>2610</v>
      </c>
      <c r="D489" s="5" t="s">
        <v>11</v>
      </c>
      <c r="E489" s="5" t="s">
        <v>3</v>
      </c>
      <c r="F489" s="5" t="s">
        <v>3</v>
      </c>
      <c r="G489" s="5" t="s">
        <v>3103</v>
      </c>
      <c r="H489" s="5" t="s">
        <v>4811</v>
      </c>
      <c r="I489" s="6" t="str">
        <f>HYPERLINK("http://maps.yandex.ru/?ll=39.133244,44.8053&amp;spn=0.011598,0.004531&amp;z=17&amp;l=map&amp;pt=39.133244,44.8053", "44.80532//39.133244")</f>
        <v>44.80532//39.133244</v>
      </c>
      <c r="J489" s="5" t="s">
        <v>88</v>
      </c>
      <c r="K489" s="6" t="str">
        <f>HYPERLINK("http://maps.yandex.ru/?ll=41.967896,44.6515&amp;spn=0.011598,0.004531&amp;z=17&amp;l=map&amp;pt=41.967896,44.6515", "44.65153//41.967896")</f>
        <v>44.65153//41.967896</v>
      </c>
      <c r="L489" s="5" t="s">
        <v>208</v>
      </c>
      <c r="M489" s="5" t="s">
        <v>1212</v>
      </c>
      <c r="N489" s="5" t="s">
        <v>860</v>
      </c>
      <c r="O489" s="5" t="s">
        <v>3653</v>
      </c>
      <c r="P489" s="5">
        <v>47</v>
      </c>
      <c r="Q489" s="5">
        <v>5</v>
      </c>
      <c r="R489" s="5">
        <v>47</v>
      </c>
      <c r="S489" s="5">
        <v>1019.4349999999999</v>
      </c>
      <c r="T489" s="5" t="s">
        <v>4226</v>
      </c>
      <c r="U489" s="5" t="s">
        <v>4812</v>
      </c>
      <c r="V489" s="5" t="s">
        <v>4813</v>
      </c>
      <c r="W489" s="5">
        <v>42.48</v>
      </c>
      <c r="X489" s="5">
        <v>89.65</v>
      </c>
      <c r="Y489" s="5">
        <v>139</v>
      </c>
      <c r="Z489" s="5" t="s">
        <v>2602</v>
      </c>
      <c r="AA489" s="5" t="s">
        <v>2910</v>
      </c>
      <c r="AB489" s="5" t="s">
        <v>1576</v>
      </c>
      <c r="AC489" s="5" t="s">
        <v>1673</v>
      </c>
      <c r="AD489" s="5" t="s">
        <v>19</v>
      </c>
      <c r="AE489" s="5" t="s">
        <v>1567</v>
      </c>
      <c r="AF489" s="5" t="s">
        <v>4814</v>
      </c>
      <c r="AG489" s="5">
        <v>105</v>
      </c>
      <c r="AH489" s="5">
        <v>0</v>
      </c>
      <c r="AI489" s="5">
        <v>105</v>
      </c>
      <c r="AJ489" s="5">
        <v>30.17</v>
      </c>
      <c r="AK489" s="5">
        <v>30.17</v>
      </c>
      <c r="AL489" s="5" t="s">
        <v>12</v>
      </c>
      <c r="AM489" s="5" t="s">
        <v>12</v>
      </c>
      <c r="AN489" s="5" t="s">
        <v>12</v>
      </c>
      <c r="AO489" s="5" t="s">
        <v>11</v>
      </c>
      <c r="AP489" s="5" t="s">
        <v>11</v>
      </c>
      <c r="AQ489" s="5" t="s">
        <v>18</v>
      </c>
      <c r="AR489" s="5" t="s">
        <v>74</v>
      </c>
    </row>
    <row r="490" spans="1:44" ht="15.75" x14ac:dyDescent="0.25">
      <c r="A490" s="10">
        <v>46096</v>
      </c>
      <c r="B490" s="5" t="s">
        <v>250</v>
      </c>
      <c r="C490" s="5" t="s">
        <v>2673</v>
      </c>
      <c r="D490" s="5" t="s">
        <v>11</v>
      </c>
      <c r="E490" s="5" t="s">
        <v>4</v>
      </c>
      <c r="F490" s="5" t="s">
        <v>4</v>
      </c>
      <c r="G490" s="5" t="s">
        <v>11</v>
      </c>
      <c r="H490" s="5" t="s">
        <v>11</v>
      </c>
      <c r="I490" s="6" t="str">
        <f>HYPERLINK("http://maps.yandex.ru/?ll=,&amp;spn=0.011598,0.004531&amp;z=17&amp;l=map&amp;pt=,", "")</f>
        <v/>
      </c>
      <c r="J490" s="5" t="s">
        <v>84</v>
      </c>
      <c r="K490" s="6" t="str">
        <f>HYPERLINK("http://maps.yandex.ru/?ll=,&amp;spn=0.011598,0.004531&amp;z=17&amp;l=map&amp;pt=,", "")</f>
        <v/>
      </c>
      <c r="L490" s="5" t="s">
        <v>84</v>
      </c>
      <c r="M490" s="5" t="s">
        <v>13</v>
      </c>
      <c r="N490" s="5" t="s">
        <v>58</v>
      </c>
      <c r="O490" s="5" t="s">
        <v>13</v>
      </c>
      <c r="P490" s="5">
        <v>0</v>
      </c>
      <c r="Q490" s="5">
        <v>100</v>
      </c>
      <c r="R490" s="5">
        <v>0</v>
      </c>
      <c r="S490" s="5">
        <v>0</v>
      </c>
      <c r="T490" s="5" t="s">
        <v>1671</v>
      </c>
      <c r="U490" s="5" t="s">
        <v>2674</v>
      </c>
      <c r="V490" s="5" t="s">
        <v>4815</v>
      </c>
      <c r="W490" s="5">
        <v>0</v>
      </c>
      <c r="X490" s="5">
        <v>0</v>
      </c>
      <c r="Y490" s="5">
        <v>0</v>
      </c>
      <c r="Z490" s="5" t="s">
        <v>2488</v>
      </c>
      <c r="AA490" s="5" t="s">
        <v>2536</v>
      </c>
      <c r="AB490" s="5" t="s">
        <v>19</v>
      </c>
      <c r="AC490" s="5" t="s">
        <v>19</v>
      </c>
      <c r="AD490" s="5" t="s">
        <v>19</v>
      </c>
      <c r="AE490" s="5" t="s">
        <v>1695</v>
      </c>
      <c r="AF490" s="5" t="s">
        <v>12</v>
      </c>
      <c r="AG490" s="5">
        <v>3</v>
      </c>
      <c r="AH490" s="5">
        <v>3</v>
      </c>
      <c r="AI490" s="5">
        <v>0</v>
      </c>
      <c r="AJ490" s="5">
        <v>150</v>
      </c>
      <c r="AK490" s="5">
        <v>0</v>
      </c>
      <c r="AL490" s="5" t="s">
        <v>12</v>
      </c>
      <c r="AM490" s="5" t="s">
        <v>12</v>
      </c>
      <c r="AN490" s="5" t="s">
        <v>12</v>
      </c>
      <c r="AO490" s="5" t="s">
        <v>11</v>
      </c>
      <c r="AP490" s="5" t="s">
        <v>11</v>
      </c>
      <c r="AQ490" s="5" t="s">
        <v>53</v>
      </c>
      <c r="AR490" s="5" t="s">
        <v>52</v>
      </c>
    </row>
    <row r="491" spans="1:44" ht="31.5" x14ac:dyDescent="0.25">
      <c r="A491" s="10">
        <v>46096</v>
      </c>
      <c r="B491" s="5" t="s">
        <v>248</v>
      </c>
      <c r="C491" s="5" t="s">
        <v>2675</v>
      </c>
      <c r="D491" s="5" t="s">
        <v>11</v>
      </c>
      <c r="E491" s="5" t="s">
        <v>3</v>
      </c>
      <c r="F491" s="5" t="s">
        <v>3</v>
      </c>
      <c r="G491" s="5" t="s">
        <v>3103</v>
      </c>
      <c r="H491" s="5" t="s">
        <v>4816</v>
      </c>
      <c r="I491" s="6" t="str">
        <f>HYPERLINK("http://maps.yandex.ru/?ll=39.894077,47.3644&amp;spn=0.011598,0.004531&amp;z=17&amp;l=map&amp;pt=39.894077,47.3644", "47.36442//39.894077")</f>
        <v>47.36442//39.894077</v>
      </c>
      <c r="J491" s="5" t="s">
        <v>64</v>
      </c>
      <c r="K491" s="6" t="str">
        <f>HYPERLINK("http://maps.yandex.ru/?ll=39.88762,47.3931&amp;spn=0.011598,0.004531&amp;z=17&amp;l=map&amp;pt=39.88762,47.3931", "47.39315//39.88762")</f>
        <v>47.39315//39.88762</v>
      </c>
      <c r="L491" s="5" t="s">
        <v>64</v>
      </c>
      <c r="M491" s="5" t="s">
        <v>222</v>
      </c>
      <c r="N491" s="5" t="s">
        <v>1409</v>
      </c>
      <c r="O491" s="5" t="s">
        <v>1119</v>
      </c>
      <c r="P491" s="5">
        <v>2</v>
      </c>
      <c r="Q491" s="5">
        <v>87</v>
      </c>
      <c r="R491" s="5">
        <v>11</v>
      </c>
      <c r="S491" s="5">
        <v>27.356000000000002</v>
      </c>
      <c r="T491" s="5" t="s">
        <v>1673</v>
      </c>
      <c r="U491" s="5" t="s">
        <v>4817</v>
      </c>
      <c r="V491" s="5" t="s">
        <v>2676</v>
      </c>
      <c r="W491" s="5">
        <v>1.1399999999999999</v>
      </c>
      <c r="X491" s="5">
        <v>62.77</v>
      </c>
      <c r="Y491" s="5">
        <v>120</v>
      </c>
      <c r="Z491" s="5" t="s">
        <v>2677</v>
      </c>
      <c r="AA491" s="5" t="s">
        <v>2776</v>
      </c>
      <c r="AB491" s="5" t="s">
        <v>19</v>
      </c>
      <c r="AC491" s="5" t="s">
        <v>19</v>
      </c>
      <c r="AD491" s="5" t="s">
        <v>19</v>
      </c>
      <c r="AE491" s="5" t="s">
        <v>1889</v>
      </c>
      <c r="AF491" s="5" t="s">
        <v>4818</v>
      </c>
      <c r="AG491" s="5">
        <v>12</v>
      </c>
      <c r="AH491" s="5">
        <v>12</v>
      </c>
      <c r="AI491" s="5">
        <v>0</v>
      </c>
      <c r="AJ491" s="5">
        <v>1200</v>
      </c>
      <c r="AK491" s="5">
        <v>0</v>
      </c>
      <c r="AL491" s="5" t="s">
        <v>12</v>
      </c>
      <c r="AM491" s="5" t="s">
        <v>12</v>
      </c>
      <c r="AN491" s="5" t="s">
        <v>12</v>
      </c>
      <c r="AO491" s="5" t="s">
        <v>11</v>
      </c>
      <c r="AP491" s="5" t="s">
        <v>11</v>
      </c>
      <c r="AQ491" s="5" t="s">
        <v>53</v>
      </c>
      <c r="AR491" s="5" t="s">
        <v>52</v>
      </c>
    </row>
    <row r="492" spans="1:44" ht="31.5" x14ac:dyDescent="0.25">
      <c r="A492" s="10">
        <v>46096</v>
      </c>
      <c r="B492" s="5" t="s">
        <v>245</v>
      </c>
      <c r="C492" s="5" t="s">
        <v>2678</v>
      </c>
      <c r="D492" s="5" t="s">
        <v>11</v>
      </c>
      <c r="E492" s="5" t="s">
        <v>1</v>
      </c>
      <c r="F492" s="5" t="s">
        <v>1</v>
      </c>
      <c r="G492" s="5" t="s">
        <v>3963</v>
      </c>
      <c r="H492" s="5" t="s">
        <v>3121</v>
      </c>
      <c r="I492" s="6" t="str">
        <f>HYPERLINK("http://maps.yandex.ru/?ll=34.243095,57.69927&amp;spn=0.011598,0.004531&amp;z=17&amp;l=map&amp;pt=34.243095,57.69927", "57.699276//34.243095")</f>
        <v>57.699276//34.243095</v>
      </c>
      <c r="J492" s="5" t="s">
        <v>50</v>
      </c>
      <c r="K492" s="6" t="str">
        <f>HYPERLINK("http://maps.yandex.ru/?ll=30.405298,59.7962&amp;spn=0.011598,0.004531&amp;z=17&amp;l=map&amp;pt=30.405298,59.7962", "59.79625//30.405298")</f>
        <v>59.79625//30.405298</v>
      </c>
      <c r="L492" s="5" t="s">
        <v>23</v>
      </c>
      <c r="M492" s="5" t="s">
        <v>3671</v>
      </c>
      <c r="N492" s="5" t="s">
        <v>1522</v>
      </c>
      <c r="O492" s="5" t="s">
        <v>72</v>
      </c>
      <c r="P492" s="5">
        <v>17</v>
      </c>
      <c r="Q492" s="5">
        <v>75</v>
      </c>
      <c r="R492" s="5">
        <v>8</v>
      </c>
      <c r="S492" s="5">
        <v>235.59100000000001</v>
      </c>
      <c r="T492" s="5" t="s">
        <v>12</v>
      </c>
      <c r="U492" s="5" t="s">
        <v>12</v>
      </c>
      <c r="V492" s="5" t="s">
        <v>12</v>
      </c>
      <c r="W492" s="5">
        <v>9.82</v>
      </c>
      <c r="X492" s="5">
        <v>56.61</v>
      </c>
      <c r="Y492" s="5">
        <v>100</v>
      </c>
      <c r="Z492" s="5" t="s">
        <v>12</v>
      </c>
      <c r="AA492" s="5" t="s">
        <v>12</v>
      </c>
      <c r="AB492" s="5" t="s">
        <v>12</v>
      </c>
      <c r="AC492" s="5" t="s">
        <v>12</v>
      </c>
      <c r="AD492" s="5" t="s">
        <v>12</v>
      </c>
      <c r="AE492" s="5" t="s">
        <v>12</v>
      </c>
      <c r="AF492" s="5" t="s">
        <v>12</v>
      </c>
      <c r="AG492" s="5"/>
      <c r="AH492" s="5"/>
      <c r="AI492" s="5"/>
      <c r="AJ492" s="5"/>
      <c r="AK492" s="5"/>
      <c r="AL492" s="5" t="s">
        <v>2679</v>
      </c>
      <c r="AM492" s="5" t="s">
        <v>4819</v>
      </c>
      <c r="AN492" s="5" t="s">
        <v>1807</v>
      </c>
      <c r="AO492" s="5" t="s">
        <v>83</v>
      </c>
      <c r="AP492" s="5" t="s">
        <v>82</v>
      </c>
      <c r="AQ492" s="5" t="s">
        <v>67</v>
      </c>
      <c r="AR492" s="5" t="s">
        <v>66</v>
      </c>
    </row>
    <row r="493" spans="1:44" ht="31.5" x14ac:dyDescent="0.25">
      <c r="A493" s="10">
        <v>46096</v>
      </c>
      <c r="B493" s="5" t="s">
        <v>242</v>
      </c>
      <c r="C493" s="5" t="s">
        <v>2680</v>
      </c>
      <c r="D493" s="5" t="s">
        <v>11</v>
      </c>
      <c r="E493" s="5" t="s">
        <v>4</v>
      </c>
      <c r="F493" s="5" t="s">
        <v>4</v>
      </c>
      <c r="G493" s="5" t="s">
        <v>4820</v>
      </c>
      <c r="H493" s="5" t="s">
        <v>4821</v>
      </c>
      <c r="I493" s="6" t="str">
        <f>HYPERLINK("http://maps.yandex.ru/?ll=48.678734,54.37557&amp;spn=0.011598,0.004531&amp;z=17&amp;l=map&amp;pt=48.678734,54.37557", "54.375576//48.678734")</f>
        <v>54.375576//48.678734</v>
      </c>
      <c r="J493" s="5" t="s">
        <v>61</v>
      </c>
      <c r="K493" s="6" t="str">
        <f>HYPERLINK("http://maps.yandex.ru/?ll=40.268024,54.28941&amp;spn=0.011598,0.004531&amp;z=17&amp;l=map&amp;pt=40.268024,54.28941", "54.289413//40.268024")</f>
        <v>54.289413//40.268024</v>
      </c>
      <c r="L493" s="5" t="s">
        <v>118</v>
      </c>
      <c r="M493" s="5" t="s">
        <v>1120</v>
      </c>
      <c r="N493" s="5" t="s">
        <v>930</v>
      </c>
      <c r="O493" s="5" t="s">
        <v>1363</v>
      </c>
      <c r="P493" s="5">
        <v>39</v>
      </c>
      <c r="Q493" s="5">
        <v>36</v>
      </c>
      <c r="R493" s="5">
        <v>25</v>
      </c>
      <c r="S493" s="5">
        <v>610.56100000000004</v>
      </c>
      <c r="T493" s="5" t="s">
        <v>12</v>
      </c>
      <c r="U493" s="5" t="s">
        <v>12</v>
      </c>
      <c r="V493" s="5" t="s">
        <v>12</v>
      </c>
      <c r="W493" s="5">
        <v>25.44</v>
      </c>
      <c r="X493" s="5">
        <v>66.010000000000005</v>
      </c>
      <c r="Y493" s="5">
        <v>146</v>
      </c>
      <c r="Z493" s="5" t="s">
        <v>12</v>
      </c>
      <c r="AA493" s="5" t="s">
        <v>12</v>
      </c>
      <c r="AB493" s="5" t="s">
        <v>12</v>
      </c>
      <c r="AC493" s="5" t="s">
        <v>12</v>
      </c>
      <c r="AD493" s="5" t="s">
        <v>12</v>
      </c>
      <c r="AE493" s="5" t="s">
        <v>12</v>
      </c>
      <c r="AF493" s="5" t="s">
        <v>12</v>
      </c>
      <c r="AG493" s="5"/>
      <c r="AH493" s="5"/>
      <c r="AI493" s="5"/>
      <c r="AJ493" s="5"/>
      <c r="AK493" s="5"/>
      <c r="AL493" s="5" t="s">
        <v>12</v>
      </c>
      <c r="AM493" s="5" t="s">
        <v>12</v>
      </c>
      <c r="AN493" s="5" t="s">
        <v>12</v>
      </c>
      <c r="AO493" s="5" t="s">
        <v>69</v>
      </c>
      <c r="AP493" s="5" t="s">
        <v>68</v>
      </c>
      <c r="AQ493" s="5" t="s">
        <v>67</v>
      </c>
      <c r="AR493" s="5" t="s">
        <v>66</v>
      </c>
    </row>
    <row r="494" spans="1:44" ht="31.5" x14ac:dyDescent="0.25">
      <c r="A494" s="10">
        <v>46096</v>
      </c>
      <c r="B494" s="5" t="s">
        <v>239</v>
      </c>
      <c r="C494" s="5" t="s">
        <v>2681</v>
      </c>
      <c r="D494" s="5" t="s">
        <v>11</v>
      </c>
      <c r="E494" s="5" t="s">
        <v>1</v>
      </c>
      <c r="F494" s="5" t="s">
        <v>1</v>
      </c>
      <c r="G494" s="5" t="s">
        <v>4822</v>
      </c>
      <c r="H494" s="5" t="s">
        <v>4823</v>
      </c>
      <c r="I494" s="6" t="str">
        <f>HYPERLINK("http://maps.yandex.ru/?ll=39.893852,47.3611&amp;spn=0.011598,0.004531&amp;z=17&amp;l=map&amp;pt=39.893852,47.3611", "47.36113//39.893852")</f>
        <v>47.36113//39.893852</v>
      </c>
      <c r="J494" s="5" t="s">
        <v>64</v>
      </c>
      <c r="K494" s="6" t="str">
        <f>HYPERLINK("http://maps.yandex.ru/?ll=39.89343,47.3610&amp;spn=0.011598,0.004531&amp;z=17&amp;l=map&amp;pt=39.89343,47.3610", "47.36102//39.89343")</f>
        <v>47.36102//39.89343</v>
      </c>
      <c r="L494" s="5" t="s">
        <v>64</v>
      </c>
      <c r="M494" s="5" t="s">
        <v>310</v>
      </c>
      <c r="N494" s="5" t="s">
        <v>4824</v>
      </c>
      <c r="O494" s="5" t="s">
        <v>4825</v>
      </c>
      <c r="P494" s="5">
        <v>1</v>
      </c>
      <c r="Q494" s="5">
        <v>26</v>
      </c>
      <c r="R494" s="5">
        <v>73</v>
      </c>
      <c r="S494" s="5">
        <v>0.27300000000000002</v>
      </c>
      <c r="T494" s="5" t="s">
        <v>12</v>
      </c>
      <c r="U494" s="5" t="s">
        <v>12</v>
      </c>
      <c r="V494" s="5" t="s">
        <v>12</v>
      </c>
      <c r="W494" s="5">
        <v>0.01</v>
      </c>
      <c r="X494" s="5">
        <v>1.63</v>
      </c>
      <c r="Y494" s="5">
        <v>12</v>
      </c>
      <c r="Z494" s="5" t="s">
        <v>1834</v>
      </c>
      <c r="AA494" s="5" t="s">
        <v>2537</v>
      </c>
      <c r="AB494" s="5" t="s">
        <v>19</v>
      </c>
      <c r="AC494" s="5" t="s">
        <v>19</v>
      </c>
      <c r="AD494" s="5" t="s">
        <v>19</v>
      </c>
      <c r="AE494" s="5" t="s">
        <v>1689</v>
      </c>
      <c r="AF494" s="5" t="s">
        <v>12</v>
      </c>
      <c r="AG494" s="5"/>
      <c r="AH494" s="5">
        <v>0</v>
      </c>
      <c r="AI494" s="5"/>
      <c r="AJ494" s="5"/>
      <c r="AK494" s="5"/>
      <c r="AL494" s="5" t="s">
        <v>12</v>
      </c>
      <c r="AM494" s="5" t="s">
        <v>12</v>
      </c>
      <c r="AN494" s="5" t="s">
        <v>12</v>
      </c>
      <c r="AO494" s="5" t="s">
        <v>11</v>
      </c>
      <c r="AP494" s="5" t="s">
        <v>11</v>
      </c>
      <c r="AQ494" s="5" t="s">
        <v>18</v>
      </c>
      <c r="AR494" s="5" t="s">
        <v>17</v>
      </c>
    </row>
    <row r="495" spans="1:44" ht="31.5" x14ac:dyDescent="0.25">
      <c r="A495" s="10">
        <v>46096</v>
      </c>
      <c r="B495" s="5" t="s">
        <v>236</v>
      </c>
      <c r="C495" s="5" t="s">
        <v>2682</v>
      </c>
      <c r="D495" s="5" t="s">
        <v>11</v>
      </c>
      <c r="E495" s="5" t="s">
        <v>1</v>
      </c>
      <c r="F495" s="5" t="s">
        <v>1</v>
      </c>
      <c r="G495" s="5" t="s">
        <v>4826</v>
      </c>
      <c r="H495" s="5" t="s">
        <v>3121</v>
      </c>
      <c r="I495" s="6" t="str">
        <f>HYPERLINK("http://maps.yandex.ru/?ll=33.579597,57.92569&amp;spn=0.011598,0.004531&amp;z=17&amp;l=map&amp;pt=33.579597,57.92569", "57.925697//33.579597")</f>
        <v>57.925697//33.579597</v>
      </c>
      <c r="J495" s="5" t="s">
        <v>148</v>
      </c>
      <c r="K495" s="6" t="str">
        <f>HYPERLINK("http://maps.yandex.ru/?ll=37.87119,56.4380&amp;spn=0.011598,0.004531&amp;z=17&amp;l=map&amp;pt=37.87119,56.4380", "56.43806//37.87119")</f>
        <v>56.43806//37.87119</v>
      </c>
      <c r="L495" s="5" t="s">
        <v>56</v>
      </c>
      <c r="M495" s="5" t="s">
        <v>3883</v>
      </c>
      <c r="N495" s="5" t="s">
        <v>1388</v>
      </c>
      <c r="O495" s="5" t="s">
        <v>763</v>
      </c>
      <c r="P495" s="5">
        <v>24</v>
      </c>
      <c r="Q495" s="5">
        <v>73</v>
      </c>
      <c r="R495" s="5">
        <v>4</v>
      </c>
      <c r="S495" s="5">
        <v>339.714</v>
      </c>
      <c r="T495" s="5" t="s">
        <v>3187</v>
      </c>
      <c r="U495" s="5" t="s">
        <v>4827</v>
      </c>
      <c r="V495" s="5" t="s">
        <v>4828</v>
      </c>
      <c r="W495" s="5">
        <v>14.15</v>
      </c>
      <c r="X495" s="5">
        <v>59.6</v>
      </c>
      <c r="Y495" s="5">
        <v>105</v>
      </c>
      <c r="Z495" s="5" t="s">
        <v>2060</v>
      </c>
      <c r="AA495" s="5" t="s">
        <v>2554</v>
      </c>
      <c r="AB495" s="5" t="s">
        <v>2129</v>
      </c>
      <c r="AC495" s="5" t="s">
        <v>1673</v>
      </c>
      <c r="AD495" s="5" t="s">
        <v>19</v>
      </c>
      <c r="AE495" s="5" t="s">
        <v>2240</v>
      </c>
      <c r="AF495" s="5" t="s">
        <v>4829</v>
      </c>
      <c r="AG495" s="5">
        <v>112</v>
      </c>
      <c r="AH495" s="5">
        <v>2</v>
      </c>
      <c r="AI495" s="5">
        <v>110</v>
      </c>
      <c r="AJ495" s="5">
        <v>28.57</v>
      </c>
      <c r="AK495" s="5">
        <v>28.06</v>
      </c>
      <c r="AL495" s="5" t="s">
        <v>12</v>
      </c>
      <c r="AM495" s="5" t="s">
        <v>12</v>
      </c>
      <c r="AN495" s="5" t="s">
        <v>12</v>
      </c>
      <c r="AO495" s="5" t="s">
        <v>11</v>
      </c>
      <c r="AP495" s="5" t="s">
        <v>11</v>
      </c>
      <c r="AQ495" s="5" t="s">
        <v>10</v>
      </c>
      <c r="AR495" s="5" t="s">
        <v>233</v>
      </c>
    </row>
    <row r="496" spans="1:44" ht="15.75" x14ac:dyDescent="0.25">
      <c r="A496" s="10">
        <v>46096</v>
      </c>
      <c r="B496" s="5" t="s">
        <v>232</v>
      </c>
      <c r="C496" s="5" t="s">
        <v>2683</v>
      </c>
      <c r="D496" s="5" t="s">
        <v>11</v>
      </c>
      <c r="E496" s="5" t="s">
        <v>164</v>
      </c>
      <c r="F496" s="5" t="s">
        <v>164</v>
      </c>
      <c r="G496" s="5" t="s">
        <v>11</v>
      </c>
      <c r="H496" s="5" t="s">
        <v>11</v>
      </c>
      <c r="I496" s="6" t="str">
        <f>HYPERLINK("http://maps.yandex.ru/?ll=,&amp;spn=0.011598,0.004531&amp;z=17&amp;l=map&amp;pt=,", "")</f>
        <v/>
      </c>
      <c r="J496" s="5" t="s">
        <v>84</v>
      </c>
      <c r="K496" s="6" t="str">
        <f>HYPERLINK("http://maps.yandex.ru/?ll=,&amp;spn=0.011598,0.004531&amp;z=17&amp;l=map&amp;pt=,", "")</f>
        <v/>
      </c>
      <c r="L496" s="5" t="s">
        <v>84</v>
      </c>
      <c r="M496" s="5" t="s">
        <v>13</v>
      </c>
      <c r="N496" s="5" t="s">
        <v>58</v>
      </c>
      <c r="O496" s="5" t="s">
        <v>13</v>
      </c>
      <c r="P496" s="5">
        <v>0</v>
      </c>
      <c r="Q496" s="5">
        <v>100</v>
      </c>
      <c r="R496" s="5">
        <v>0</v>
      </c>
      <c r="S496" s="5">
        <v>0</v>
      </c>
      <c r="T496" s="5" t="s">
        <v>12</v>
      </c>
      <c r="U496" s="5" t="s">
        <v>12</v>
      </c>
      <c r="V496" s="5" t="s">
        <v>12</v>
      </c>
      <c r="W496" s="5">
        <v>0</v>
      </c>
      <c r="X496" s="5">
        <v>0</v>
      </c>
      <c r="Y496" s="5">
        <v>0</v>
      </c>
      <c r="Z496" s="5" t="s">
        <v>12</v>
      </c>
      <c r="AA496" s="5" t="s">
        <v>12</v>
      </c>
      <c r="AB496" s="5" t="s">
        <v>12</v>
      </c>
      <c r="AC496" s="5" t="s">
        <v>12</v>
      </c>
      <c r="AD496" s="5" t="s">
        <v>12</v>
      </c>
      <c r="AE496" s="5" t="s">
        <v>12</v>
      </c>
      <c r="AF496" s="5" t="s">
        <v>12</v>
      </c>
      <c r="AG496" s="5"/>
      <c r="AH496" s="5">
        <v>0</v>
      </c>
      <c r="AI496" s="5"/>
      <c r="AJ496" s="5"/>
      <c r="AK496" s="5"/>
      <c r="AL496" s="5" t="s">
        <v>12</v>
      </c>
      <c r="AM496" s="5" t="s">
        <v>12</v>
      </c>
      <c r="AN496" s="5" t="s">
        <v>12</v>
      </c>
      <c r="AO496" s="5" t="s">
        <v>11</v>
      </c>
      <c r="AP496" s="5" t="s">
        <v>11</v>
      </c>
      <c r="AQ496" s="5" t="s">
        <v>18</v>
      </c>
      <c r="AR496" s="5" t="s">
        <v>17</v>
      </c>
    </row>
    <row r="497" spans="1:44" ht="31.5" x14ac:dyDescent="0.25">
      <c r="A497" s="10">
        <v>46096</v>
      </c>
      <c r="B497" s="5" t="s">
        <v>228</v>
      </c>
      <c r="C497" s="5" t="s">
        <v>2684</v>
      </c>
      <c r="D497" s="5" t="s">
        <v>11</v>
      </c>
      <c r="E497" s="5" t="s">
        <v>1</v>
      </c>
      <c r="F497" s="5" t="s">
        <v>1</v>
      </c>
      <c r="G497" s="5" t="s">
        <v>4830</v>
      </c>
      <c r="H497" s="5" t="s">
        <v>4831</v>
      </c>
      <c r="I497" s="6" t="str">
        <f>HYPERLINK("http://maps.yandex.ru/?ll=59.596004,55.12149&amp;spn=0.011598,0.004531&amp;z=17&amp;l=map&amp;pt=59.596004,55.12149", "55.121494//59.596004")</f>
        <v>55.121494//59.596004</v>
      </c>
      <c r="J497" s="5" t="s">
        <v>227</v>
      </c>
      <c r="K497" s="6" t="str">
        <f>HYPERLINK("http://maps.yandex.ru/?ll=56.734127,54.8170&amp;spn=0.011598,0.004531&amp;z=17&amp;l=map&amp;pt=56.734127,54.8170", "54.81701//56.734127")</f>
        <v>54.81701//56.734127</v>
      </c>
      <c r="L497" s="5" t="s">
        <v>34</v>
      </c>
      <c r="M497" s="5" t="s">
        <v>880</v>
      </c>
      <c r="N497" s="5" t="s">
        <v>4690</v>
      </c>
      <c r="O497" s="5" t="s">
        <v>13</v>
      </c>
      <c r="P497" s="5">
        <v>16</v>
      </c>
      <c r="Q497" s="5">
        <v>84</v>
      </c>
      <c r="R497" s="5">
        <v>0</v>
      </c>
      <c r="S497" s="5">
        <v>231.60300000000001</v>
      </c>
      <c r="T497" s="5" t="s">
        <v>2536</v>
      </c>
      <c r="U497" s="5" t="s">
        <v>4832</v>
      </c>
      <c r="V497" s="5" t="s">
        <v>4833</v>
      </c>
      <c r="W497" s="5">
        <v>9.65</v>
      </c>
      <c r="X497" s="5">
        <v>59.48</v>
      </c>
      <c r="Y497" s="5">
        <v>95</v>
      </c>
      <c r="Z497" s="5" t="s">
        <v>3627</v>
      </c>
      <c r="AA497" s="5" t="s">
        <v>4834</v>
      </c>
      <c r="AB497" s="5" t="s">
        <v>19</v>
      </c>
      <c r="AC497" s="5" t="s">
        <v>19</v>
      </c>
      <c r="AD497" s="5" t="s">
        <v>19</v>
      </c>
      <c r="AE497" s="5" t="s">
        <v>1912</v>
      </c>
      <c r="AF497" s="5" t="s">
        <v>4835</v>
      </c>
      <c r="AG497" s="5">
        <v>87</v>
      </c>
      <c r="AH497" s="5">
        <v>6</v>
      </c>
      <c r="AI497" s="5">
        <v>81</v>
      </c>
      <c r="AJ497" s="5">
        <v>35.799999999999997</v>
      </c>
      <c r="AK497" s="5">
        <v>33.33</v>
      </c>
      <c r="AL497" s="5" t="s">
        <v>12</v>
      </c>
      <c r="AM497" s="5" t="s">
        <v>12</v>
      </c>
      <c r="AN497" s="5" t="s">
        <v>12</v>
      </c>
      <c r="AO497" s="5" t="s">
        <v>11</v>
      </c>
      <c r="AP497" s="5" t="s">
        <v>11</v>
      </c>
      <c r="AQ497" s="5" t="s">
        <v>43</v>
      </c>
      <c r="AR497" s="5" t="s">
        <v>42</v>
      </c>
    </row>
    <row r="498" spans="1:44" ht="15.75" x14ac:dyDescent="0.25">
      <c r="A498" s="10">
        <v>46096</v>
      </c>
      <c r="B498" s="5" t="s">
        <v>225</v>
      </c>
      <c r="C498" s="5" t="s">
        <v>2685</v>
      </c>
      <c r="D498" s="5" t="s">
        <v>11</v>
      </c>
      <c r="E498" s="5" t="s">
        <v>5</v>
      </c>
      <c r="F498" s="5" t="s">
        <v>5</v>
      </c>
      <c r="G498" s="5" t="s">
        <v>11</v>
      </c>
      <c r="H498" s="5" t="s">
        <v>11</v>
      </c>
      <c r="I498" s="6" t="str">
        <f>HYPERLINK("http://maps.yandex.ru/?ll=,&amp;spn=0.011598,0.004531&amp;z=17&amp;l=map&amp;pt=,", "")</f>
        <v/>
      </c>
      <c r="J498" s="5" t="s">
        <v>84</v>
      </c>
      <c r="K498" s="6" t="str">
        <f>HYPERLINK("http://maps.yandex.ru/?ll=,&amp;spn=0.011598,0.004531&amp;z=17&amp;l=map&amp;pt=,", "")</f>
        <v/>
      </c>
      <c r="L498" s="5" t="s">
        <v>84</v>
      </c>
      <c r="M498" s="5" t="s">
        <v>13</v>
      </c>
      <c r="N498" s="5" t="s">
        <v>13</v>
      </c>
      <c r="O498" s="5" t="s">
        <v>58</v>
      </c>
      <c r="P498" s="5">
        <v>0</v>
      </c>
      <c r="Q498" s="5">
        <v>0</v>
      </c>
      <c r="R498" s="5">
        <v>100</v>
      </c>
      <c r="S498" s="5">
        <v>0</v>
      </c>
      <c r="T498" s="5" t="s">
        <v>12</v>
      </c>
      <c r="U498" s="5" t="s">
        <v>12</v>
      </c>
      <c r="V498" s="5" t="s">
        <v>12</v>
      </c>
      <c r="W498" s="5">
        <v>0</v>
      </c>
      <c r="X498" s="5">
        <v>0</v>
      </c>
      <c r="Y498" s="5">
        <v>0</v>
      </c>
      <c r="Z498" s="5" t="s">
        <v>12</v>
      </c>
      <c r="AA498" s="5" t="s">
        <v>12</v>
      </c>
      <c r="AB498" s="5" t="s">
        <v>19</v>
      </c>
      <c r="AC498" s="5" t="s">
        <v>19</v>
      </c>
      <c r="AD498" s="5" t="s">
        <v>19</v>
      </c>
      <c r="AE498" s="5" t="s">
        <v>12</v>
      </c>
      <c r="AF498" s="5" t="s">
        <v>12</v>
      </c>
      <c r="AG498" s="5"/>
      <c r="AH498" s="5"/>
      <c r="AI498" s="5"/>
      <c r="AJ498" s="5"/>
      <c r="AK498" s="5"/>
      <c r="AL498" s="5" t="s">
        <v>12</v>
      </c>
      <c r="AM498" s="5" t="s">
        <v>12</v>
      </c>
      <c r="AN498" s="5" t="s">
        <v>12</v>
      </c>
      <c r="AO498" s="5" t="s">
        <v>69</v>
      </c>
      <c r="AP498" s="5" t="s">
        <v>68</v>
      </c>
      <c r="AQ498" s="5" t="s">
        <v>67</v>
      </c>
      <c r="AR498" s="5" t="s">
        <v>66</v>
      </c>
    </row>
    <row r="499" spans="1:44" ht="31.5" x14ac:dyDescent="0.25">
      <c r="A499" s="10">
        <v>46096</v>
      </c>
      <c r="B499" s="5" t="s">
        <v>223</v>
      </c>
      <c r="C499" s="5" t="s">
        <v>2686</v>
      </c>
      <c r="D499" s="5" t="s">
        <v>11</v>
      </c>
      <c r="E499" s="5" t="s">
        <v>11</v>
      </c>
      <c r="F499" s="5" t="s">
        <v>11</v>
      </c>
      <c r="G499" s="5" t="s">
        <v>4836</v>
      </c>
      <c r="H499" s="5" t="s">
        <v>3121</v>
      </c>
      <c r="I499" s="6" t="str">
        <f>HYPERLINK("http://maps.yandex.ru/?ll=38.327175,55.72037&amp;spn=0.011598,0.004531&amp;z=17&amp;l=map&amp;pt=38.327175,55.72037", "55.720375//38.327175")</f>
        <v>55.720375//38.327175</v>
      </c>
      <c r="J499" s="5" t="s">
        <v>56</v>
      </c>
      <c r="K499" s="6" t="str">
        <f>HYPERLINK("http://maps.yandex.ru/?ll=38.413452,55.64964&amp;spn=0.011598,0.004531&amp;z=17&amp;l=map&amp;pt=38.413452,55.64964", "55.649647//38.413452")</f>
        <v>55.649647//38.413452</v>
      </c>
      <c r="L499" s="5" t="s">
        <v>56</v>
      </c>
      <c r="M499" s="5" t="s">
        <v>1345</v>
      </c>
      <c r="N499" s="5" t="s">
        <v>136</v>
      </c>
      <c r="O499" s="5" t="s">
        <v>292</v>
      </c>
      <c r="P499" s="5">
        <v>5</v>
      </c>
      <c r="Q499" s="5">
        <v>50</v>
      </c>
      <c r="R499" s="5">
        <v>45</v>
      </c>
      <c r="S499" s="5">
        <v>63.829000000000001</v>
      </c>
      <c r="T499" s="5" t="s">
        <v>1673</v>
      </c>
      <c r="U499" s="5" t="s">
        <v>4837</v>
      </c>
      <c r="V499" s="5" t="s">
        <v>2687</v>
      </c>
      <c r="W499" s="5">
        <v>2.66</v>
      </c>
      <c r="X499" s="5">
        <v>51.82</v>
      </c>
      <c r="Y499" s="5">
        <v>183</v>
      </c>
      <c r="Z499" s="5" t="s">
        <v>2688</v>
      </c>
      <c r="AA499" s="5" t="s">
        <v>2327</v>
      </c>
      <c r="AB499" s="5" t="s">
        <v>19</v>
      </c>
      <c r="AC499" s="5" t="s">
        <v>19</v>
      </c>
      <c r="AD499" s="5" t="s">
        <v>19</v>
      </c>
      <c r="AE499" s="5" t="s">
        <v>1671</v>
      </c>
      <c r="AF499" s="5" t="s">
        <v>4838</v>
      </c>
      <c r="AG499" s="5">
        <v>3</v>
      </c>
      <c r="AH499" s="5">
        <v>1</v>
      </c>
      <c r="AI499" s="5">
        <v>2</v>
      </c>
      <c r="AJ499" s="5">
        <v>300</v>
      </c>
      <c r="AK499" s="5">
        <v>200</v>
      </c>
      <c r="AL499" s="5" t="s">
        <v>12</v>
      </c>
      <c r="AM499" s="5" t="s">
        <v>12</v>
      </c>
      <c r="AN499" s="5" t="s">
        <v>12</v>
      </c>
      <c r="AO499" s="5" t="s">
        <v>11</v>
      </c>
      <c r="AP499" s="5" t="s">
        <v>11</v>
      </c>
      <c r="AQ499" s="5" t="s">
        <v>10</v>
      </c>
      <c r="AR499" s="5" t="s">
        <v>9</v>
      </c>
    </row>
    <row r="500" spans="1:44" ht="31.5" x14ac:dyDescent="0.25">
      <c r="A500" s="10">
        <v>46096</v>
      </c>
      <c r="B500" s="5" t="s">
        <v>221</v>
      </c>
      <c r="C500" s="5" t="s">
        <v>2689</v>
      </c>
      <c r="D500" s="5" t="s">
        <v>11</v>
      </c>
      <c r="E500" s="5" t="s">
        <v>1</v>
      </c>
      <c r="F500" s="5" t="s">
        <v>1</v>
      </c>
      <c r="G500" s="5" t="s">
        <v>4839</v>
      </c>
      <c r="H500" s="5" t="s">
        <v>4840</v>
      </c>
      <c r="I500" s="6" t="str">
        <f>HYPERLINK("http://maps.yandex.ru/?ll=55.78329,54.67156&amp;spn=0.011598,0.004531&amp;z=17&amp;l=map&amp;pt=55.78329,54.67156", "54.671562//55.78329")</f>
        <v>54.671562//55.78329</v>
      </c>
      <c r="J500" s="5" t="s">
        <v>34</v>
      </c>
      <c r="K500" s="6" t="str">
        <f>HYPERLINK("http://maps.yandex.ru/?ll=60.944866,54.9648&amp;spn=0.011598,0.004531&amp;z=17&amp;l=map&amp;pt=60.944866,54.9648", "54.96484//60.944866")</f>
        <v>54.96484//60.944866</v>
      </c>
      <c r="L500" s="5" t="s">
        <v>227</v>
      </c>
      <c r="M500" s="5" t="s">
        <v>1008</v>
      </c>
      <c r="N500" s="5" t="s">
        <v>1522</v>
      </c>
      <c r="O500" s="5" t="s">
        <v>13</v>
      </c>
      <c r="P500" s="5">
        <v>25</v>
      </c>
      <c r="Q500" s="5">
        <v>75</v>
      </c>
      <c r="R500" s="5">
        <v>0</v>
      </c>
      <c r="S500" s="5">
        <v>383.18400000000003</v>
      </c>
      <c r="T500" s="5" t="s">
        <v>2381</v>
      </c>
      <c r="U500" s="5" t="s">
        <v>4841</v>
      </c>
      <c r="V500" s="5" t="s">
        <v>4842</v>
      </c>
      <c r="W500" s="5">
        <v>15.97</v>
      </c>
      <c r="X500" s="5">
        <v>63.08</v>
      </c>
      <c r="Y500" s="5">
        <v>105</v>
      </c>
      <c r="Z500" s="5" t="s">
        <v>1843</v>
      </c>
      <c r="AA500" s="5" t="s">
        <v>3863</v>
      </c>
      <c r="AB500" s="5" t="s">
        <v>1888</v>
      </c>
      <c r="AC500" s="5" t="s">
        <v>1673</v>
      </c>
      <c r="AD500" s="5" t="s">
        <v>19</v>
      </c>
      <c r="AE500" s="5" t="s">
        <v>2006</v>
      </c>
      <c r="AF500" s="5" t="s">
        <v>4843</v>
      </c>
      <c r="AG500" s="5">
        <v>166</v>
      </c>
      <c r="AH500" s="5">
        <v>1</v>
      </c>
      <c r="AI500" s="5">
        <v>165</v>
      </c>
      <c r="AJ500" s="5">
        <v>41.5</v>
      </c>
      <c r="AK500" s="5">
        <v>41.25</v>
      </c>
      <c r="AL500" s="5" t="s">
        <v>12</v>
      </c>
      <c r="AM500" s="5" t="s">
        <v>12</v>
      </c>
      <c r="AN500" s="5" t="s">
        <v>12</v>
      </c>
      <c r="AO500" s="5" t="s">
        <v>11</v>
      </c>
      <c r="AP500" s="5" t="s">
        <v>11</v>
      </c>
      <c r="AQ500" s="5" t="s">
        <v>18</v>
      </c>
      <c r="AR500" s="5" t="s">
        <v>17</v>
      </c>
    </row>
    <row r="501" spans="1:44" ht="31.5" x14ac:dyDescent="0.25">
      <c r="A501" s="10">
        <v>46096</v>
      </c>
      <c r="B501" s="5" t="s">
        <v>217</v>
      </c>
      <c r="C501" s="5" t="s">
        <v>2692</v>
      </c>
      <c r="D501" s="5" t="s">
        <v>11</v>
      </c>
      <c r="E501" s="5" t="s">
        <v>5</v>
      </c>
      <c r="F501" s="5" t="s">
        <v>5</v>
      </c>
      <c r="G501" s="5" t="s">
        <v>4844</v>
      </c>
      <c r="H501" s="5" t="s">
        <v>4845</v>
      </c>
      <c r="I501" s="6" t="str">
        <f>HYPERLINK("http://maps.yandex.ru/?ll=60.776382,56.9140&amp;spn=0.011598,0.004531&amp;z=17&amp;l=map&amp;pt=60.776382,56.9140", "56.91406//60.776382")</f>
        <v>56.91406//60.776382</v>
      </c>
      <c r="J501" s="5" t="s">
        <v>77</v>
      </c>
      <c r="K501" s="6" t="str">
        <f>HYPERLINK("http://maps.yandex.ru/?ll=56.75758,54.81536&amp;spn=0.011598,0.004531&amp;z=17&amp;l=map&amp;pt=56.75758,54.81536", "54.815365//56.75758")</f>
        <v>54.815365//56.75758</v>
      </c>
      <c r="L501" s="5" t="s">
        <v>34</v>
      </c>
      <c r="M501" s="5" t="s">
        <v>1408</v>
      </c>
      <c r="N501" s="5" t="s">
        <v>1368</v>
      </c>
      <c r="O501" s="5" t="s">
        <v>13</v>
      </c>
      <c r="P501" s="5">
        <v>40</v>
      </c>
      <c r="Q501" s="5">
        <v>60</v>
      </c>
      <c r="R501" s="5">
        <v>0</v>
      </c>
      <c r="S501" s="5">
        <v>631.07399999999996</v>
      </c>
      <c r="T501" s="5" t="s">
        <v>2229</v>
      </c>
      <c r="U501" s="5" t="s">
        <v>4846</v>
      </c>
      <c r="V501" s="5" t="s">
        <v>4847</v>
      </c>
      <c r="W501" s="5">
        <v>26.3</v>
      </c>
      <c r="X501" s="5">
        <v>65.03</v>
      </c>
      <c r="Y501" s="5">
        <v>117</v>
      </c>
      <c r="Z501" s="5" t="s">
        <v>12</v>
      </c>
      <c r="AA501" s="5" t="s">
        <v>12</v>
      </c>
      <c r="AB501" s="5" t="s">
        <v>12</v>
      </c>
      <c r="AC501" s="5" t="s">
        <v>12</v>
      </c>
      <c r="AD501" s="5" t="s">
        <v>12</v>
      </c>
      <c r="AE501" s="5" t="s">
        <v>12</v>
      </c>
      <c r="AF501" s="5" t="s">
        <v>12</v>
      </c>
      <c r="AG501" s="5">
        <v>0</v>
      </c>
      <c r="AH501" s="5">
        <v>0</v>
      </c>
      <c r="AI501" s="5">
        <v>0</v>
      </c>
      <c r="AJ501" s="5">
        <v>0</v>
      </c>
      <c r="AK501" s="5">
        <v>0</v>
      </c>
      <c r="AL501" s="5" t="s">
        <v>12</v>
      </c>
      <c r="AM501" s="5" t="s">
        <v>12</v>
      </c>
      <c r="AN501" s="5" t="s">
        <v>12</v>
      </c>
      <c r="AO501" s="5" t="s">
        <v>11</v>
      </c>
      <c r="AP501" s="5" t="s">
        <v>11</v>
      </c>
      <c r="AQ501" s="5" t="s">
        <v>147</v>
      </c>
      <c r="AR501" s="5" t="s">
        <v>146</v>
      </c>
    </row>
    <row r="502" spans="1:44" ht="31.5" x14ac:dyDescent="0.25">
      <c r="A502" s="10">
        <v>46096</v>
      </c>
      <c r="B502" s="5" t="s">
        <v>214</v>
      </c>
      <c r="C502" s="5" t="s">
        <v>2693</v>
      </c>
      <c r="D502" s="5" t="s">
        <v>11</v>
      </c>
      <c r="E502" s="5" t="s">
        <v>6</v>
      </c>
      <c r="F502" s="5" t="s">
        <v>6</v>
      </c>
      <c r="G502" s="5" t="s">
        <v>3103</v>
      </c>
      <c r="H502" s="5" t="s">
        <v>4848</v>
      </c>
      <c r="I502" s="6" t="str">
        <f>HYPERLINK("http://maps.yandex.ru/?ll=39.093136,44.7499&amp;spn=0.011598,0.004531&amp;z=17&amp;l=map&amp;pt=39.093136,44.7499", "44.74994//39.093136")</f>
        <v>44.74994//39.093136</v>
      </c>
      <c r="J502" s="5" t="s">
        <v>88</v>
      </c>
      <c r="K502" s="6" t="str">
        <f>HYPERLINK("http://maps.yandex.ru/?ll=38.010674,45.0046&amp;spn=0.011598,0.004531&amp;z=17&amp;l=map&amp;pt=38.010674,45.0046", "45.00466//38.010674")</f>
        <v>45.00466//38.010674</v>
      </c>
      <c r="L502" s="5" t="s">
        <v>88</v>
      </c>
      <c r="M502" s="5" t="s">
        <v>351</v>
      </c>
      <c r="N502" s="5" t="s">
        <v>761</v>
      </c>
      <c r="O502" s="5" t="s">
        <v>341</v>
      </c>
      <c r="P502" s="5">
        <v>54</v>
      </c>
      <c r="Q502" s="5">
        <v>15</v>
      </c>
      <c r="R502" s="5">
        <v>30</v>
      </c>
      <c r="S502" s="5">
        <v>958.50800000000004</v>
      </c>
      <c r="T502" s="5" t="s">
        <v>12</v>
      </c>
      <c r="U502" s="5" t="s">
        <v>12</v>
      </c>
      <c r="V502" s="5" t="s">
        <v>12</v>
      </c>
      <c r="W502" s="5">
        <v>39.94</v>
      </c>
      <c r="X502" s="5">
        <v>73.34</v>
      </c>
      <c r="Y502" s="5">
        <v>131</v>
      </c>
      <c r="Z502" s="5" t="s">
        <v>2029</v>
      </c>
      <c r="AA502" s="5" t="s">
        <v>1474</v>
      </c>
      <c r="AB502" s="5" t="s">
        <v>19</v>
      </c>
      <c r="AC502" s="5" t="s">
        <v>19</v>
      </c>
      <c r="AD502" s="5" t="s">
        <v>19</v>
      </c>
      <c r="AE502" s="5" t="s">
        <v>1929</v>
      </c>
      <c r="AF502" s="5" t="s">
        <v>12</v>
      </c>
      <c r="AG502" s="5"/>
      <c r="AH502" s="5"/>
      <c r="AI502" s="5"/>
      <c r="AJ502" s="5"/>
      <c r="AK502" s="5"/>
      <c r="AL502" s="5" t="s">
        <v>4849</v>
      </c>
      <c r="AM502" s="5" t="s">
        <v>4850</v>
      </c>
      <c r="AN502" s="5" t="s">
        <v>1720</v>
      </c>
      <c r="AO502" s="5" t="s">
        <v>69</v>
      </c>
      <c r="AP502" s="5" t="s">
        <v>68</v>
      </c>
      <c r="AQ502" s="5" t="s">
        <v>67</v>
      </c>
      <c r="AR502" s="5" t="s">
        <v>66</v>
      </c>
    </row>
    <row r="503" spans="1:44" ht="31.5" x14ac:dyDescent="0.25">
      <c r="A503" s="10">
        <v>46096</v>
      </c>
      <c r="B503" s="5" t="s">
        <v>211</v>
      </c>
      <c r="C503" s="5" t="s">
        <v>2694</v>
      </c>
      <c r="D503" s="5" t="s">
        <v>11</v>
      </c>
      <c r="E503" s="5" t="s">
        <v>0</v>
      </c>
      <c r="F503" s="5" t="s">
        <v>0</v>
      </c>
      <c r="G503" s="5" t="s">
        <v>4851</v>
      </c>
      <c r="H503" s="5" t="s">
        <v>4852</v>
      </c>
      <c r="I503" s="6" t="str">
        <f>HYPERLINK("http://maps.yandex.ru/?ll=30.258476,60.10212&amp;spn=0.011598,0.004531&amp;z=17&amp;l=map&amp;pt=30.258476,60.10212", "60.102127//30.258476")</f>
        <v>60.102127//30.258476</v>
      </c>
      <c r="J503" s="5" t="s">
        <v>23</v>
      </c>
      <c r="K503" s="6" t="str">
        <f>HYPERLINK("http://maps.yandex.ru/?ll=30.245987,60.09971&amp;spn=0.011598,0.004531&amp;z=17&amp;l=map&amp;pt=30.245987,60.09971", "60.099716//30.245987")</f>
        <v>60.099716//30.245987</v>
      </c>
      <c r="L503" s="5" t="s">
        <v>23</v>
      </c>
      <c r="M503" s="5" t="s">
        <v>310</v>
      </c>
      <c r="N503" s="5" t="s">
        <v>4853</v>
      </c>
      <c r="O503" s="5" t="s">
        <v>13</v>
      </c>
      <c r="P503" s="5">
        <v>1</v>
      </c>
      <c r="Q503" s="5">
        <v>99</v>
      </c>
      <c r="R503" s="5">
        <v>0</v>
      </c>
      <c r="S503" s="5">
        <v>4.1639999999999997</v>
      </c>
      <c r="T503" s="5" t="s">
        <v>12</v>
      </c>
      <c r="U503" s="5" t="s">
        <v>12</v>
      </c>
      <c r="V503" s="5" t="s">
        <v>12</v>
      </c>
      <c r="W503" s="5">
        <v>0.17</v>
      </c>
      <c r="X503" s="5">
        <v>23.39</v>
      </c>
      <c r="Y503" s="5">
        <v>74</v>
      </c>
      <c r="Z503" s="5" t="s">
        <v>1877</v>
      </c>
      <c r="AA503" s="5" t="s">
        <v>2041</v>
      </c>
      <c r="AB503" s="5" t="s">
        <v>19</v>
      </c>
      <c r="AC503" s="5" t="s">
        <v>19</v>
      </c>
      <c r="AD503" s="5" t="s">
        <v>19</v>
      </c>
      <c r="AE503" s="5" t="s">
        <v>3008</v>
      </c>
      <c r="AF503" s="5" t="s">
        <v>12</v>
      </c>
      <c r="AG503" s="5"/>
      <c r="AH503" s="5"/>
      <c r="AI503" s="5"/>
      <c r="AJ503" s="5"/>
      <c r="AK503" s="5"/>
      <c r="AL503" s="5" t="s">
        <v>12</v>
      </c>
      <c r="AM503" s="5" t="s">
        <v>12</v>
      </c>
      <c r="AN503" s="5" t="s">
        <v>12</v>
      </c>
      <c r="AO503" s="5" t="s">
        <v>69</v>
      </c>
      <c r="AP503" s="5" t="s">
        <v>68</v>
      </c>
      <c r="AQ503" s="5" t="s">
        <v>67</v>
      </c>
      <c r="AR503" s="5" t="s">
        <v>66</v>
      </c>
    </row>
    <row r="504" spans="1:44" ht="15.75" x14ac:dyDescent="0.25">
      <c r="A504" s="10">
        <v>46096</v>
      </c>
      <c r="B504" s="5" t="s">
        <v>209</v>
      </c>
      <c r="C504" s="5" t="s">
        <v>2695</v>
      </c>
      <c r="D504" s="5" t="s">
        <v>11</v>
      </c>
      <c r="E504" s="5" t="s">
        <v>3</v>
      </c>
      <c r="F504" s="5" t="s">
        <v>3</v>
      </c>
      <c r="G504" s="5" t="s">
        <v>4854</v>
      </c>
      <c r="H504" s="5" t="s">
        <v>4855</v>
      </c>
      <c r="I504" s="6" t="str">
        <f>HYPERLINK("http://maps.yandex.ru/?ll=43.14005,44.1705&amp;spn=0.011598,0.004531&amp;z=17&amp;l=map&amp;pt=43.14005,44.1705", "44.17054//43.14005")</f>
        <v>44.17054//43.14005</v>
      </c>
      <c r="J504" s="5" t="s">
        <v>208</v>
      </c>
      <c r="K504" s="6" t="str">
        <f>HYPERLINK("http://maps.yandex.ru/?ll=43.14004,44.1704&amp;spn=0.011598,0.004531&amp;z=17&amp;l=map&amp;pt=43.14004,44.1704", "44.17048//43.14004")</f>
        <v>44.17048//43.14004</v>
      </c>
      <c r="L504" s="5" t="s">
        <v>208</v>
      </c>
      <c r="M504" s="5" t="s">
        <v>13</v>
      </c>
      <c r="N504" s="5" t="s">
        <v>58</v>
      </c>
      <c r="O504" s="5" t="s">
        <v>13</v>
      </c>
      <c r="P504" s="5">
        <v>0</v>
      </c>
      <c r="Q504" s="5">
        <v>100</v>
      </c>
      <c r="R504" s="5">
        <v>0</v>
      </c>
      <c r="S504" s="5">
        <v>0</v>
      </c>
      <c r="T504" s="5" t="s">
        <v>12</v>
      </c>
      <c r="U504" s="5" t="s">
        <v>12</v>
      </c>
      <c r="V504" s="5" t="s">
        <v>12</v>
      </c>
      <c r="W504" s="5">
        <v>0</v>
      </c>
      <c r="X504" s="5">
        <v>0</v>
      </c>
      <c r="Y504" s="5">
        <v>5</v>
      </c>
      <c r="Z504" s="5" t="s">
        <v>12</v>
      </c>
      <c r="AA504" s="5" t="s">
        <v>12</v>
      </c>
      <c r="AB504" s="5" t="s">
        <v>12</v>
      </c>
      <c r="AC504" s="5" t="s">
        <v>12</v>
      </c>
      <c r="AD504" s="5" t="s">
        <v>12</v>
      </c>
      <c r="AE504" s="5" t="s">
        <v>12</v>
      </c>
      <c r="AF504" s="5" t="s">
        <v>12</v>
      </c>
      <c r="AG504" s="5"/>
      <c r="AH504" s="5"/>
      <c r="AI504" s="5"/>
      <c r="AJ504" s="5"/>
      <c r="AK504" s="5"/>
      <c r="AL504" s="5" t="s">
        <v>12</v>
      </c>
      <c r="AM504" s="5" t="s">
        <v>12</v>
      </c>
      <c r="AN504" s="5" t="s">
        <v>12</v>
      </c>
      <c r="AO504" s="5" t="s">
        <v>11</v>
      </c>
      <c r="AP504" s="5" t="s">
        <v>11</v>
      </c>
      <c r="AQ504" s="5" t="s">
        <v>67</v>
      </c>
      <c r="AR504" s="5" t="s">
        <v>66</v>
      </c>
    </row>
    <row r="505" spans="1:44" ht="15.75" x14ac:dyDescent="0.25">
      <c r="A505" s="10">
        <v>46096</v>
      </c>
      <c r="B505" s="5" t="s">
        <v>205</v>
      </c>
      <c r="C505" s="5" t="s">
        <v>2696</v>
      </c>
      <c r="D505" s="5" t="s">
        <v>11</v>
      </c>
      <c r="E505" s="5" t="s">
        <v>3</v>
      </c>
      <c r="F505" s="5" t="s">
        <v>3</v>
      </c>
      <c r="G505" s="5" t="s">
        <v>11</v>
      </c>
      <c r="H505" s="5" t="s">
        <v>11</v>
      </c>
      <c r="I505" s="6" t="str">
        <f>HYPERLINK("http://maps.yandex.ru/?ll=,&amp;spn=0.011598,0.004531&amp;z=17&amp;l=map&amp;pt=,", "")</f>
        <v/>
      </c>
      <c r="J505" s="5" t="s">
        <v>84</v>
      </c>
      <c r="K505" s="6" t="str">
        <f>HYPERLINK("http://maps.yandex.ru/?ll=,&amp;spn=0.011598,0.004531&amp;z=17&amp;l=map&amp;pt=,", "")</f>
        <v/>
      </c>
      <c r="L505" s="5" t="s">
        <v>84</v>
      </c>
      <c r="M505" s="5" t="s">
        <v>13</v>
      </c>
      <c r="N505" s="5" t="s">
        <v>499</v>
      </c>
      <c r="O505" s="5" t="s">
        <v>4856</v>
      </c>
      <c r="P505" s="5">
        <v>0</v>
      </c>
      <c r="Q505" s="5">
        <v>3</v>
      </c>
      <c r="R505" s="5">
        <v>97</v>
      </c>
      <c r="S505" s="5">
        <v>0</v>
      </c>
      <c r="T505" s="5" t="s">
        <v>12</v>
      </c>
      <c r="U505" s="5" t="s">
        <v>12</v>
      </c>
      <c r="V505" s="5" t="s">
        <v>12</v>
      </c>
      <c r="W505" s="5">
        <v>0</v>
      </c>
      <c r="X505" s="5">
        <v>0</v>
      </c>
      <c r="Y505" s="5">
        <v>0</v>
      </c>
      <c r="Z505" s="5" t="s">
        <v>12</v>
      </c>
      <c r="AA505" s="5" t="s">
        <v>12</v>
      </c>
      <c r="AB505" s="5" t="s">
        <v>12</v>
      </c>
      <c r="AC505" s="5" t="s">
        <v>12</v>
      </c>
      <c r="AD505" s="5" t="s">
        <v>12</v>
      </c>
      <c r="AE505" s="5" t="s">
        <v>12</v>
      </c>
      <c r="AF505" s="5" t="s">
        <v>12</v>
      </c>
      <c r="AG505" s="5"/>
      <c r="AH505" s="5"/>
      <c r="AI505" s="5"/>
      <c r="AJ505" s="5"/>
      <c r="AK505" s="5"/>
      <c r="AL505" s="5" t="s">
        <v>12</v>
      </c>
      <c r="AM505" s="5" t="s">
        <v>12</v>
      </c>
      <c r="AN505" s="5" t="s">
        <v>12</v>
      </c>
      <c r="AO505" s="5" t="s">
        <v>11</v>
      </c>
      <c r="AP505" s="5" t="s">
        <v>11</v>
      </c>
      <c r="AQ505" s="5" t="s">
        <v>106</v>
      </c>
      <c r="AR505" s="5" t="s">
        <v>105</v>
      </c>
    </row>
    <row r="506" spans="1:44" ht="31.5" x14ac:dyDescent="0.25">
      <c r="A506" s="10">
        <v>46096</v>
      </c>
      <c r="B506" s="5" t="s">
        <v>204</v>
      </c>
      <c r="C506" s="5" t="s">
        <v>2697</v>
      </c>
      <c r="D506" s="5" t="s">
        <v>11</v>
      </c>
      <c r="E506" s="5" t="s">
        <v>3</v>
      </c>
      <c r="F506" s="5" t="s">
        <v>3</v>
      </c>
      <c r="G506" s="5" t="s">
        <v>3103</v>
      </c>
      <c r="H506" s="5" t="s">
        <v>4857</v>
      </c>
      <c r="I506" s="6" t="str">
        <f>HYPERLINK("http://maps.yandex.ru/?ll=39.822243,46.88535&amp;spn=0.011598,0.004531&amp;z=17&amp;l=map&amp;pt=39.822243,46.88535", "46.885353//39.822243")</f>
        <v>46.885353//39.822243</v>
      </c>
      <c r="J506" s="5" t="s">
        <v>64</v>
      </c>
      <c r="K506" s="6" t="str">
        <f>HYPERLINK("http://maps.yandex.ru/?ll=39.820778,46.94332&amp;spn=0.011598,0.004531&amp;z=17&amp;l=map&amp;pt=39.820778,46.94332", "46.943325//39.820778")</f>
        <v>46.943325//39.820778</v>
      </c>
      <c r="L506" s="5" t="s">
        <v>64</v>
      </c>
      <c r="M506" s="5" t="s">
        <v>1343</v>
      </c>
      <c r="N506" s="5" t="s">
        <v>13</v>
      </c>
      <c r="O506" s="5" t="s">
        <v>1361</v>
      </c>
      <c r="P506" s="5">
        <v>0</v>
      </c>
      <c r="Q506" s="5">
        <v>0</v>
      </c>
      <c r="R506" s="5">
        <v>100</v>
      </c>
      <c r="S506" s="5">
        <v>6.4610000000000003</v>
      </c>
      <c r="T506" s="5" t="s">
        <v>2625</v>
      </c>
      <c r="U506" s="5" t="s">
        <v>4858</v>
      </c>
      <c r="V506" s="5" t="s">
        <v>4859</v>
      </c>
      <c r="W506" s="5">
        <v>0.27</v>
      </c>
      <c r="X506" s="5">
        <v>151.04</v>
      </c>
      <c r="Y506" s="5">
        <v>159</v>
      </c>
      <c r="Z506" s="5" t="s">
        <v>2698</v>
      </c>
      <c r="AA506" s="5" t="s">
        <v>4860</v>
      </c>
      <c r="AB506" s="5" t="s">
        <v>19</v>
      </c>
      <c r="AC506" s="5" t="s">
        <v>19</v>
      </c>
      <c r="AD506" s="5" t="s">
        <v>4861</v>
      </c>
      <c r="AE506" s="5" t="s">
        <v>4862</v>
      </c>
      <c r="AF506" s="5" t="s">
        <v>4863</v>
      </c>
      <c r="AG506" s="5">
        <v>268</v>
      </c>
      <c r="AH506" s="5">
        <v>0</v>
      </c>
      <c r="AI506" s="5">
        <v>268</v>
      </c>
      <c r="AJ506" s="5">
        <v>33.97</v>
      </c>
      <c r="AK506" s="5">
        <v>33.97</v>
      </c>
      <c r="AL506" s="5" t="s">
        <v>12</v>
      </c>
      <c r="AM506" s="5" t="s">
        <v>12</v>
      </c>
      <c r="AN506" s="5" t="s">
        <v>12</v>
      </c>
      <c r="AO506" s="5" t="s">
        <v>11</v>
      </c>
      <c r="AP506" s="5" t="s">
        <v>11</v>
      </c>
      <c r="AQ506" s="5" t="s">
        <v>43</v>
      </c>
      <c r="AR506" s="5" t="s">
        <v>42</v>
      </c>
    </row>
    <row r="507" spans="1:44" ht="15.75" x14ac:dyDescent="0.25">
      <c r="A507" s="10">
        <v>46096</v>
      </c>
      <c r="B507" s="5" t="s">
        <v>203</v>
      </c>
      <c r="C507" s="5" t="s">
        <v>2699</v>
      </c>
      <c r="D507" s="5" t="s">
        <v>11</v>
      </c>
      <c r="E507" s="5" t="s">
        <v>11</v>
      </c>
      <c r="F507" s="5" t="s">
        <v>11</v>
      </c>
      <c r="G507" s="5" t="s">
        <v>11</v>
      </c>
      <c r="H507" s="5" t="s">
        <v>11</v>
      </c>
      <c r="I507" s="6" t="str">
        <f>HYPERLINK("http://maps.yandex.ru/?ll=,&amp;spn=0.011598,0.004531&amp;z=17&amp;l=map&amp;pt=,", "")</f>
        <v/>
      </c>
      <c r="J507" s="5" t="s">
        <v>84</v>
      </c>
      <c r="K507" s="6" t="str">
        <f>HYPERLINK("http://maps.yandex.ru/?ll=,&amp;spn=0.011598,0.004531&amp;z=17&amp;l=map&amp;pt=,", "")</f>
        <v/>
      </c>
      <c r="L507" s="5" t="s">
        <v>84</v>
      </c>
      <c r="M507" s="5" t="s">
        <v>13</v>
      </c>
      <c r="N507" s="5" t="s">
        <v>842</v>
      </c>
      <c r="O507" s="5" t="s">
        <v>4864</v>
      </c>
      <c r="P507" s="5">
        <v>0</v>
      </c>
      <c r="Q507" s="5">
        <v>23</v>
      </c>
      <c r="R507" s="5">
        <v>77</v>
      </c>
      <c r="S507" s="5">
        <v>0</v>
      </c>
      <c r="T507" s="5" t="s">
        <v>2688</v>
      </c>
      <c r="U507" s="5" t="s">
        <v>4865</v>
      </c>
      <c r="V507" s="5" t="s">
        <v>4866</v>
      </c>
      <c r="W507" s="5">
        <v>0</v>
      </c>
      <c r="X507" s="5">
        <v>0</v>
      </c>
      <c r="Y507" s="5">
        <v>0</v>
      </c>
      <c r="Z507" s="5" t="s">
        <v>12</v>
      </c>
      <c r="AA507" s="5" t="s">
        <v>12</v>
      </c>
      <c r="AB507" s="5" t="s">
        <v>12</v>
      </c>
      <c r="AC507" s="5" t="s">
        <v>12</v>
      </c>
      <c r="AD507" s="5" t="s">
        <v>12</v>
      </c>
      <c r="AE507" s="5" t="s">
        <v>12</v>
      </c>
      <c r="AF507" s="5" t="s">
        <v>12</v>
      </c>
      <c r="AG507" s="5">
        <v>224</v>
      </c>
      <c r="AH507" s="5">
        <v>1</v>
      </c>
      <c r="AI507" s="5">
        <v>223</v>
      </c>
      <c r="AJ507" s="5">
        <v>36.9</v>
      </c>
      <c r="AK507" s="5">
        <v>36.74</v>
      </c>
      <c r="AL507" s="5" t="s">
        <v>12</v>
      </c>
      <c r="AM507" s="5" t="s">
        <v>12</v>
      </c>
      <c r="AN507" s="5" t="s">
        <v>12</v>
      </c>
      <c r="AO507" s="5" t="s">
        <v>11</v>
      </c>
      <c r="AP507" s="5" t="s">
        <v>11</v>
      </c>
      <c r="AQ507" s="5" t="s">
        <v>43</v>
      </c>
      <c r="AR507" s="5" t="s">
        <v>42</v>
      </c>
    </row>
    <row r="508" spans="1:44" ht="15.75" x14ac:dyDescent="0.25">
      <c r="A508" s="10">
        <v>46096</v>
      </c>
      <c r="B508" s="5" t="s">
        <v>200</v>
      </c>
      <c r="C508" s="5" t="s">
        <v>2700</v>
      </c>
      <c r="D508" s="5" t="s">
        <v>11</v>
      </c>
      <c r="E508" s="5" t="s">
        <v>1</v>
      </c>
      <c r="F508" s="5" t="s">
        <v>1</v>
      </c>
      <c r="G508" s="5" t="s">
        <v>11</v>
      </c>
      <c r="H508" s="5" t="s">
        <v>11</v>
      </c>
      <c r="I508" s="6" t="str">
        <f>HYPERLINK("http://maps.yandex.ru/?ll=,&amp;spn=0.011598,0.004531&amp;z=17&amp;l=map&amp;pt=,", "")</f>
        <v/>
      </c>
      <c r="J508" s="5" t="s">
        <v>84</v>
      </c>
      <c r="K508" s="6" t="str">
        <f>HYPERLINK("http://maps.yandex.ru/?ll=,&amp;spn=0.011598,0.004531&amp;z=17&amp;l=map&amp;pt=,", "")</f>
        <v/>
      </c>
      <c r="L508" s="5" t="s">
        <v>84</v>
      </c>
      <c r="M508" s="5" t="s">
        <v>13</v>
      </c>
      <c r="N508" s="5" t="s">
        <v>58</v>
      </c>
      <c r="O508" s="5" t="s">
        <v>13</v>
      </c>
      <c r="P508" s="5">
        <v>0</v>
      </c>
      <c r="Q508" s="5">
        <v>100</v>
      </c>
      <c r="R508" s="5">
        <v>0</v>
      </c>
      <c r="S508" s="5">
        <v>0</v>
      </c>
      <c r="T508" s="5" t="s">
        <v>12</v>
      </c>
      <c r="U508" s="5" t="s">
        <v>12</v>
      </c>
      <c r="V508" s="5" t="s">
        <v>12</v>
      </c>
      <c r="W508" s="5">
        <v>0</v>
      </c>
      <c r="X508" s="5">
        <v>0</v>
      </c>
      <c r="Y508" s="5">
        <v>0</v>
      </c>
      <c r="Z508" s="5" t="s">
        <v>12</v>
      </c>
      <c r="AA508" s="5" t="s">
        <v>12</v>
      </c>
      <c r="AB508" s="5" t="s">
        <v>12</v>
      </c>
      <c r="AC508" s="5" t="s">
        <v>12</v>
      </c>
      <c r="AD508" s="5" t="s">
        <v>12</v>
      </c>
      <c r="AE508" s="5" t="s">
        <v>12</v>
      </c>
      <c r="AF508" s="5" t="s">
        <v>12</v>
      </c>
      <c r="AG508" s="5"/>
      <c r="AH508" s="5"/>
      <c r="AI508" s="5"/>
      <c r="AJ508" s="5"/>
      <c r="AK508" s="5"/>
      <c r="AL508" s="5" t="s">
        <v>12</v>
      </c>
      <c r="AM508" s="5" t="s">
        <v>12</v>
      </c>
      <c r="AN508" s="5" t="s">
        <v>12</v>
      </c>
      <c r="AO508" s="5" t="s">
        <v>11</v>
      </c>
      <c r="AP508" s="5" t="s">
        <v>11</v>
      </c>
      <c r="AQ508" s="5" t="s">
        <v>67</v>
      </c>
      <c r="AR508" s="5" t="s">
        <v>66</v>
      </c>
    </row>
    <row r="509" spans="1:44" ht="15.75" x14ac:dyDescent="0.25">
      <c r="A509" s="10">
        <v>46096</v>
      </c>
      <c r="B509" s="5" t="s">
        <v>199</v>
      </c>
      <c r="C509" s="5" t="s">
        <v>2701</v>
      </c>
      <c r="D509" s="5" t="s">
        <v>11</v>
      </c>
      <c r="E509" s="5" t="s">
        <v>11</v>
      </c>
      <c r="F509" s="5" t="s">
        <v>11</v>
      </c>
      <c r="G509" s="5" t="s">
        <v>11</v>
      </c>
      <c r="H509" s="5" t="s">
        <v>11</v>
      </c>
      <c r="I509" s="6" t="str">
        <f>HYPERLINK("http://maps.yandex.ru/?ll=,&amp;spn=0.011598,0.004531&amp;z=17&amp;l=map&amp;pt=,", "")</f>
        <v/>
      </c>
      <c r="J509" s="5" t="s">
        <v>84</v>
      </c>
      <c r="K509" s="6" t="str">
        <f>HYPERLINK("http://maps.yandex.ru/?ll=,&amp;spn=0.011598,0.004531&amp;z=17&amp;l=map&amp;pt=,", "")</f>
        <v/>
      </c>
      <c r="L509" s="5" t="s">
        <v>84</v>
      </c>
      <c r="M509" s="5" t="s">
        <v>13</v>
      </c>
      <c r="N509" s="5" t="s">
        <v>58</v>
      </c>
      <c r="O509" s="5" t="s">
        <v>13</v>
      </c>
      <c r="P509" s="5">
        <v>0</v>
      </c>
      <c r="Q509" s="5">
        <v>100</v>
      </c>
      <c r="R509" s="5">
        <v>0</v>
      </c>
      <c r="S509" s="5">
        <v>0</v>
      </c>
      <c r="T509" s="5" t="s">
        <v>1673</v>
      </c>
      <c r="U509" s="5" t="s">
        <v>2702</v>
      </c>
      <c r="V509" s="5" t="s">
        <v>2703</v>
      </c>
      <c r="W509" s="5">
        <v>0</v>
      </c>
      <c r="X509" s="5">
        <v>0</v>
      </c>
      <c r="Y509" s="5">
        <v>0</v>
      </c>
      <c r="Z509" s="5" t="s">
        <v>2149</v>
      </c>
      <c r="AA509" s="5" t="s">
        <v>2825</v>
      </c>
      <c r="AB509" s="5" t="s">
        <v>19</v>
      </c>
      <c r="AC509" s="5" t="s">
        <v>19</v>
      </c>
      <c r="AD509" s="5" t="s">
        <v>19</v>
      </c>
      <c r="AE509" s="5" t="s">
        <v>1870</v>
      </c>
      <c r="AF509" s="5" t="s">
        <v>12</v>
      </c>
      <c r="AG509" s="5">
        <v>3</v>
      </c>
      <c r="AH509" s="5">
        <v>3</v>
      </c>
      <c r="AI509" s="5">
        <v>0</v>
      </c>
      <c r="AJ509" s="5">
        <v>300</v>
      </c>
      <c r="AK509" s="5">
        <v>0</v>
      </c>
      <c r="AL509" s="5" t="s">
        <v>12</v>
      </c>
      <c r="AM509" s="5" t="s">
        <v>12</v>
      </c>
      <c r="AN509" s="5" t="s">
        <v>12</v>
      </c>
      <c r="AO509" s="5" t="s">
        <v>11</v>
      </c>
      <c r="AP509" s="5" t="s">
        <v>11</v>
      </c>
      <c r="AQ509" s="5" t="s">
        <v>11</v>
      </c>
      <c r="AR509" s="5" t="s">
        <v>11</v>
      </c>
    </row>
    <row r="510" spans="1:44" ht="31.5" x14ac:dyDescent="0.25">
      <c r="A510" s="10">
        <v>46096</v>
      </c>
      <c r="B510" s="5" t="s">
        <v>197</v>
      </c>
      <c r="C510" s="5" t="s">
        <v>2704</v>
      </c>
      <c r="D510" s="5" t="s">
        <v>11</v>
      </c>
      <c r="E510" s="5" t="s">
        <v>1</v>
      </c>
      <c r="F510" s="5" t="s">
        <v>1</v>
      </c>
      <c r="G510" s="5" t="s">
        <v>4867</v>
      </c>
      <c r="H510" s="5" t="s">
        <v>4868</v>
      </c>
      <c r="I510" s="6" t="str">
        <f>HYPERLINK("http://maps.yandex.ru/?ll=49.997066,55.6430&amp;spn=0.011598,0.004531&amp;z=17&amp;l=map&amp;pt=49.997066,55.6430", "55.64309//49.997066")</f>
        <v>55.64309//49.997066</v>
      </c>
      <c r="J510" s="5" t="s">
        <v>28</v>
      </c>
      <c r="K510" s="6" t="str">
        <f>HYPERLINK("http://maps.yandex.ru/?ll=55.95839,57.89362&amp;spn=0.011598,0.004531&amp;z=17&amp;l=map&amp;pt=55.95839,57.89362", "57.893627//55.95839")</f>
        <v>57.893627//55.95839</v>
      </c>
      <c r="L510" s="5" t="s">
        <v>509</v>
      </c>
      <c r="M510" s="5" t="s">
        <v>1394</v>
      </c>
      <c r="N510" s="5" t="s">
        <v>1503</v>
      </c>
      <c r="O510" s="5" t="s">
        <v>13</v>
      </c>
      <c r="P510" s="5">
        <v>38</v>
      </c>
      <c r="Q510" s="5">
        <v>62</v>
      </c>
      <c r="R510" s="5">
        <v>0</v>
      </c>
      <c r="S510" s="5">
        <v>653.024</v>
      </c>
      <c r="T510" s="5" t="s">
        <v>12</v>
      </c>
      <c r="U510" s="5" t="s">
        <v>12</v>
      </c>
      <c r="V510" s="5" t="s">
        <v>12</v>
      </c>
      <c r="W510" s="5">
        <v>27.21</v>
      </c>
      <c r="X510" s="5">
        <v>72.11</v>
      </c>
      <c r="Y510" s="5">
        <v>114</v>
      </c>
      <c r="Z510" s="5" t="s">
        <v>12</v>
      </c>
      <c r="AA510" s="5" t="s">
        <v>12</v>
      </c>
      <c r="AB510" s="5" t="s">
        <v>12</v>
      </c>
      <c r="AC510" s="5" t="s">
        <v>12</v>
      </c>
      <c r="AD510" s="5" t="s">
        <v>12</v>
      </c>
      <c r="AE510" s="5" t="s">
        <v>12</v>
      </c>
      <c r="AF510" s="5" t="s">
        <v>12</v>
      </c>
      <c r="AG510" s="5"/>
      <c r="AH510" s="5"/>
      <c r="AI510" s="5"/>
      <c r="AJ510" s="5"/>
      <c r="AK510" s="5"/>
      <c r="AL510" s="5" t="s">
        <v>2705</v>
      </c>
      <c r="AM510" s="5" t="s">
        <v>4869</v>
      </c>
      <c r="AN510" s="5" t="s">
        <v>1756</v>
      </c>
      <c r="AO510" s="5" t="s">
        <v>69</v>
      </c>
      <c r="AP510" s="5" t="s">
        <v>68</v>
      </c>
      <c r="AQ510" s="5" t="s">
        <v>67</v>
      </c>
      <c r="AR510" s="5" t="s">
        <v>66</v>
      </c>
    </row>
    <row r="511" spans="1:44" ht="31.5" x14ac:dyDescent="0.25">
      <c r="A511" s="10">
        <v>46096</v>
      </c>
      <c r="B511" s="5" t="s">
        <v>194</v>
      </c>
      <c r="C511" s="5" t="s">
        <v>2706</v>
      </c>
      <c r="D511" s="5" t="s">
        <v>11</v>
      </c>
      <c r="E511" s="5" t="s">
        <v>1</v>
      </c>
      <c r="F511" s="5" t="s">
        <v>1</v>
      </c>
      <c r="G511" s="5" t="s">
        <v>4870</v>
      </c>
      <c r="H511" s="5" t="s">
        <v>4871</v>
      </c>
      <c r="I511" s="6" t="str">
        <f>HYPERLINK("http://maps.yandex.ru/?ll=30.420637,59.7910&amp;spn=0.011598,0.004531&amp;z=17&amp;l=map&amp;pt=30.420637,59.7910", "59.79102//30.420637")</f>
        <v>59.79102//30.420637</v>
      </c>
      <c r="J511" s="5" t="s">
        <v>23</v>
      </c>
      <c r="K511" s="6" t="str">
        <f>HYPERLINK("http://maps.yandex.ru/?ll=31.151222,59.39084&amp;spn=0.011598,0.004531&amp;z=17&amp;l=map&amp;pt=31.151222,59.39084", "59.390842//31.151222")</f>
        <v>59.390842//31.151222</v>
      </c>
      <c r="L511" s="5" t="s">
        <v>22</v>
      </c>
      <c r="M511" s="5" t="s">
        <v>1389</v>
      </c>
      <c r="N511" s="5" t="s">
        <v>230</v>
      </c>
      <c r="O511" s="5" t="s">
        <v>637</v>
      </c>
      <c r="P511" s="5">
        <v>15</v>
      </c>
      <c r="Q511" s="5">
        <v>62</v>
      </c>
      <c r="R511" s="5">
        <v>23</v>
      </c>
      <c r="S511" s="5">
        <v>119.443</v>
      </c>
      <c r="T511" s="5" t="s">
        <v>1863</v>
      </c>
      <c r="U511" s="5" t="s">
        <v>2707</v>
      </c>
      <c r="V511" s="5" t="s">
        <v>4872</v>
      </c>
      <c r="W511" s="5">
        <v>4.9800000000000004</v>
      </c>
      <c r="X511" s="5">
        <v>32.72</v>
      </c>
      <c r="Y511" s="5">
        <v>91</v>
      </c>
      <c r="Z511" s="5" t="s">
        <v>1542</v>
      </c>
      <c r="AA511" s="5" t="s">
        <v>2139</v>
      </c>
      <c r="AB511" s="5" t="s">
        <v>19</v>
      </c>
      <c r="AC511" s="5" t="s">
        <v>19</v>
      </c>
      <c r="AD511" s="5" t="s">
        <v>19</v>
      </c>
      <c r="AE511" s="5" t="s">
        <v>1935</v>
      </c>
      <c r="AF511" s="5" t="s">
        <v>4873</v>
      </c>
      <c r="AG511" s="5">
        <v>53</v>
      </c>
      <c r="AH511" s="5">
        <v>9</v>
      </c>
      <c r="AI511" s="5">
        <v>44</v>
      </c>
      <c r="AJ511" s="5">
        <v>43.8</v>
      </c>
      <c r="AK511" s="5">
        <v>36.36</v>
      </c>
      <c r="AL511" s="5" t="s">
        <v>12</v>
      </c>
      <c r="AM511" s="5" t="s">
        <v>12</v>
      </c>
      <c r="AN511" s="5" t="s">
        <v>12</v>
      </c>
      <c r="AO511" s="5" t="s">
        <v>11</v>
      </c>
      <c r="AP511" s="5" t="s">
        <v>11</v>
      </c>
      <c r="AQ511" s="5" t="s">
        <v>53</v>
      </c>
      <c r="AR511" s="5" t="s">
        <v>52</v>
      </c>
    </row>
    <row r="512" spans="1:44" ht="15.75" x14ac:dyDescent="0.25">
      <c r="A512" s="10">
        <v>46096</v>
      </c>
      <c r="B512" s="5" t="s">
        <v>192</v>
      </c>
      <c r="C512" s="5" t="s">
        <v>2709</v>
      </c>
      <c r="D512" s="5" t="s">
        <v>11</v>
      </c>
      <c r="E512" s="5" t="s">
        <v>6</v>
      </c>
      <c r="F512" s="5" t="s">
        <v>6</v>
      </c>
      <c r="G512" s="5" t="s">
        <v>11</v>
      </c>
      <c r="H512" s="5" t="s">
        <v>11</v>
      </c>
      <c r="I512" s="6" t="str">
        <f>HYPERLINK("http://maps.yandex.ru/?ll=,&amp;spn=0.011598,0.004531&amp;z=17&amp;l=map&amp;pt=,", "")</f>
        <v/>
      </c>
      <c r="J512" s="5" t="s">
        <v>84</v>
      </c>
      <c r="K512" s="6" t="str">
        <f>HYPERLINK("http://maps.yandex.ru/?ll=,&amp;spn=0.011598,0.004531&amp;z=17&amp;l=map&amp;pt=,", "")</f>
        <v/>
      </c>
      <c r="L512" s="5" t="s">
        <v>84</v>
      </c>
      <c r="M512" s="5" t="s">
        <v>13</v>
      </c>
      <c r="N512" s="5" t="s">
        <v>13</v>
      </c>
      <c r="O512" s="5" t="s">
        <v>58</v>
      </c>
      <c r="P512" s="5">
        <v>0</v>
      </c>
      <c r="Q512" s="5">
        <v>0</v>
      </c>
      <c r="R512" s="5">
        <v>100</v>
      </c>
      <c r="S512" s="5">
        <v>0</v>
      </c>
      <c r="T512" s="5" t="s">
        <v>12</v>
      </c>
      <c r="U512" s="5" t="s">
        <v>12</v>
      </c>
      <c r="V512" s="5" t="s">
        <v>12</v>
      </c>
      <c r="W512" s="5">
        <v>0</v>
      </c>
      <c r="X512" s="5">
        <v>0</v>
      </c>
      <c r="Y512" s="5">
        <v>0</v>
      </c>
      <c r="Z512" s="5" t="s">
        <v>12</v>
      </c>
      <c r="AA512" s="5" t="s">
        <v>12</v>
      </c>
      <c r="AB512" s="5" t="s">
        <v>12</v>
      </c>
      <c r="AC512" s="5" t="s">
        <v>12</v>
      </c>
      <c r="AD512" s="5" t="s">
        <v>12</v>
      </c>
      <c r="AE512" s="5" t="s">
        <v>12</v>
      </c>
      <c r="AF512" s="5" t="s">
        <v>12</v>
      </c>
      <c r="AG512" s="5"/>
      <c r="AH512" s="5"/>
      <c r="AI512" s="5"/>
      <c r="AJ512" s="5"/>
      <c r="AK512" s="5"/>
      <c r="AL512" s="5" t="s">
        <v>12</v>
      </c>
      <c r="AM512" s="5" t="s">
        <v>12</v>
      </c>
      <c r="AN512" s="5" t="s">
        <v>12</v>
      </c>
      <c r="AO512" s="5" t="s">
        <v>69</v>
      </c>
      <c r="AP512" s="5" t="s">
        <v>68</v>
      </c>
      <c r="AQ512" s="5" t="s">
        <v>99</v>
      </c>
      <c r="AR512" s="5" t="s">
        <v>98</v>
      </c>
    </row>
    <row r="513" spans="1:44" ht="15.75" x14ac:dyDescent="0.25">
      <c r="A513" s="10">
        <v>46096</v>
      </c>
      <c r="B513" s="5" t="s">
        <v>191</v>
      </c>
      <c r="C513" s="5" t="s">
        <v>2710</v>
      </c>
      <c r="D513" s="5" t="s">
        <v>11</v>
      </c>
      <c r="E513" s="5" t="s">
        <v>11</v>
      </c>
      <c r="F513" s="5" t="s">
        <v>11</v>
      </c>
      <c r="G513" s="5" t="s">
        <v>11</v>
      </c>
      <c r="H513" s="5" t="s">
        <v>11</v>
      </c>
      <c r="I513" s="6" t="str">
        <f>HYPERLINK("http://maps.yandex.ru/?ll=,&amp;spn=0.011598,0.004531&amp;z=17&amp;l=map&amp;pt=,", "")</f>
        <v/>
      </c>
      <c r="J513" s="5" t="s">
        <v>84</v>
      </c>
      <c r="K513" s="6" t="str">
        <f>HYPERLINK("http://maps.yandex.ru/?ll=,&amp;spn=0.011598,0.004531&amp;z=17&amp;l=map&amp;pt=,", "")</f>
        <v/>
      </c>
      <c r="L513" s="5" t="s">
        <v>84</v>
      </c>
      <c r="M513" s="5" t="s">
        <v>13</v>
      </c>
      <c r="N513" s="5" t="s">
        <v>58</v>
      </c>
      <c r="O513" s="5" t="s">
        <v>13</v>
      </c>
      <c r="P513" s="5">
        <v>0</v>
      </c>
      <c r="Q513" s="5">
        <v>100</v>
      </c>
      <c r="R513" s="5">
        <v>0</v>
      </c>
      <c r="S513" s="5">
        <v>0</v>
      </c>
      <c r="T513" s="5" t="s">
        <v>12</v>
      </c>
      <c r="U513" s="5" t="s">
        <v>12</v>
      </c>
      <c r="V513" s="5" t="s">
        <v>12</v>
      </c>
      <c r="W513" s="5">
        <v>0</v>
      </c>
      <c r="X513" s="5">
        <v>0</v>
      </c>
      <c r="Y513" s="5">
        <v>0</v>
      </c>
      <c r="Z513" s="5" t="s">
        <v>12</v>
      </c>
      <c r="AA513" s="5" t="s">
        <v>12</v>
      </c>
      <c r="AB513" s="5" t="s">
        <v>12</v>
      </c>
      <c r="AC513" s="5" t="s">
        <v>12</v>
      </c>
      <c r="AD513" s="5" t="s">
        <v>12</v>
      </c>
      <c r="AE513" s="5" t="s">
        <v>12</v>
      </c>
      <c r="AF513" s="5" t="s">
        <v>12</v>
      </c>
      <c r="AG513" s="5"/>
      <c r="AH513" s="5"/>
      <c r="AI513" s="5"/>
      <c r="AJ513" s="5"/>
      <c r="AK513" s="5"/>
      <c r="AL513" s="5" t="s">
        <v>4874</v>
      </c>
      <c r="AM513" s="5" t="s">
        <v>4875</v>
      </c>
      <c r="AN513" s="5" t="s">
        <v>1673</v>
      </c>
      <c r="AO513" s="5" t="s">
        <v>69</v>
      </c>
      <c r="AP513" s="5" t="s">
        <v>68</v>
      </c>
      <c r="AQ513" s="5" t="s">
        <v>99</v>
      </c>
      <c r="AR513" s="5" t="s">
        <v>98</v>
      </c>
    </row>
    <row r="514" spans="1:44" ht="31.5" x14ac:dyDescent="0.25">
      <c r="A514" s="10">
        <v>46096</v>
      </c>
      <c r="B514" s="5" t="s">
        <v>188</v>
      </c>
      <c r="C514" s="5" t="s">
        <v>2711</v>
      </c>
      <c r="D514" s="5" t="s">
        <v>11</v>
      </c>
      <c r="E514" s="5" t="s">
        <v>5</v>
      </c>
      <c r="F514" s="5" t="s">
        <v>5</v>
      </c>
      <c r="G514" s="5" t="s">
        <v>4876</v>
      </c>
      <c r="H514" s="5" t="s">
        <v>4877</v>
      </c>
      <c r="I514" s="6" t="str">
        <f>HYPERLINK("http://maps.yandex.ru/?ll=41.7085,54.0586&amp;spn=0.011598,0.004531&amp;z=17&amp;l=map&amp;pt=41.7085,54.0586", "54.05865//41.7085")</f>
        <v>54.05865//41.7085</v>
      </c>
      <c r="J514" s="5" t="s">
        <v>118</v>
      </c>
      <c r="K514" s="6" t="str">
        <f>HYPERLINK("http://maps.yandex.ru/?ll=50.134064,53.09256&amp;spn=0.011598,0.004531&amp;z=17&amp;l=map&amp;pt=50.134064,53.09256", "53.092564//50.134064")</f>
        <v>53.092564//50.134064</v>
      </c>
      <c r="L514" s="5" t="s">
        <v>76</v>
      </c>
      <c r="M514" s="5" t="s">
        <v>4268</v>
      </c>
      <c r="N514" s="5" t="s">
        <v>280</v>
      </c>
      <c r="O514" s="5" t="s">
        <v>1317</v>
      </c>
      <c r="P514" s="5">
        <v>38</v>
      </c>
      <c r="Q514" s="5">
        <v>47</v>
      </c>
      <c r="R514" s="5">
        <v>15</v>
      </c>
      <c r="S514" s="5">
        <v>625.85299999999995</v>
      </c>
      <c r="T514" s="5" t="s">
        <v>2928</v>
      </c>
      <c r="U514" s="5" t="s">
        <v>4878</v>
      </c>
      <c r="V514" s="5" t="s">
        <v>4879</v>
      </c>
      <c r="W514" s="5">
        <v>26.08</v>
      </c>
      <c r="X514" s="5">
        <v>67.78</v>
      </c>
      <c r="Y514" s="5">
        <v>155</v>
      </c>
      <c r="Z514" s="5" t="s">
        <v>1589</v>
      </c>
      <c r="AA514" s="5" t="s">
        <v>3845</v>
      </c>
      <c r="AB514" s="5" t="s">
        <v>2373</v>
      </c>
      <c r="AC514" s="5" t="s">
        <v>1673</v>
      </c>
      <c r="AD514" s="5" t="s">
        <v>19</v>
      </c>
      <c r="AE514" s="5" t="s">
        <v>2634</v>
      </c>
      <c r="AF514" s="5" t="s">
        <v>1608</v>
      </c>
      <c r="AG514" s="5">
        <v>2147524604</v>
      </c>
      <c r="AH514" s="5">
        <v>8590097738</v>
      </c>
      <c r="AI514" s="5">
        <v>-6442573134</v>
      </c>
      <c r="AJ514" s="5">
        <v>263823661.43000001</v>
      </c>
      <c r="AK514" s="5">
        <v>-791470900.98000002</v>
      </c>
      <c r="AL514" s="5" t="s">
        <v>12</v>
      </c>
      <c r="AM514" s="5" t="s">
        <v>12</v>
      </c>
      <c r="AN514" s="5" t="s">
        <v>12</v>
      </c>
      <c r="AO514" s="5" t="s">
        <v>11</v>
      </c>
      <c r="AP514" s="5" t="s">
        <v>11</v>
      </c>
      <c r="AQ514" s="5" t="s">
        <v>11</v>
      </c>
      <c r="AR514" s="5" t="s">
        <v>11</v>
      </c>
    </row>
    <row r="515" spans="1:44" ht="31.5" x14ac:dyDescent="0.25">
      <c r="A515" s="10">
        <v>46096</v>
      </c>
      <c r="B515" s="5" t="s">
        <v>186</v>
      </c>
      <c r="C515" s="5" t="s">
        <v>2714</v>
      </c>
      <c r="D515" s="5" t="s">
        <v>11</v>
      </c>
      <c r="E515" s="5" t="s">
        <v>11</v>
      </c>
      <c r="F515" s="5" t="s">
        <v>11</v>
      </c>
      <c r="G515" s="5" t="s">
        <v>4880</v>
      </c>
      <c r="H515" s="5" t="s">
        <v>4881</v>
      </c>
      <c r="I515" s="6" t="str">
        <f>HYPERLINK("http://maps.yandex.ru/?ll=38.119736,55.3714&amp;spn=0.011598,0.004531&amp;z=17&amp;l=map&amp;pt=38.119736,55.3714", "55.37143//38.119736")</f>
        <v>55.37143//38.119736</v>
      </c>
      <c r="J515" s="5" t="s">
        <v>56</v>
      </c>
      <c r="K515" s="6" t="str">
        <f>HYPERLINK("http://maps.yandex.ru/?ll=38.11861,55.37111&amp;spn=0.011598,0.004531&amp;z=17&amp;l=map&amp;pt=38.11861,55.37111", "55.371113//38.11861")</f>
        <v>55.371113//38.11861</v>
      </c>
      <c r="L515" s="5" t="s">
        <v>56</v>
      </c>
      <c r="M515" s="5" t="s">
        <v>86</v>
      </c>
      <c r="N515" s="5" t="s">
        <v>1536</v>
      </c>
      <c r="O515" s="5" t="s">
        <v>13</v>
      </c>
      <c r="P515" s="5">
        <v>1</v>
      </c>
      <c r="Q515" s="5">
        <v>99</v>
      </c>
      <c r="R515" s="5">
        <v>0</v>
      </c>
      <c r="S515" s="5">
        <v>5.6719999999999997</v>
      </c>
      <c r="T515" s="5" t="s">
        <v>12</v>
      </c>
      <c r="U515" s="5" t="s">
        <v>12</v>
      </c>
      <c r="V515" s="5" t="s">
        <v>12</v>
      </c>
      <c r="W515" s="5">
        <v>0.24</v>
      </c>
      <c r="X515" s="5">
        <v>19.25</v>
      </c>
      <c r="Y515" s="5">
        <v>75</v>
      </c>
      <c r="Z515" s="5" t="s">
        <v>12</v>
      </c>
      <c r="AA515" s="5" t="s">
        <v>12</v>
      </c>
      <c r="AB515" s="5" t="s">
        <v>12</v>
      </c>
      <c r="AC515" s="5" t="s">
        <v>12</v>
      </c>
      <c r="AD515" s="5" t="s">
        <v>12</v>
      </c>
      <c r="AE515" s="5" t="s">
        <v>12</v>
      </c>
      <c r="AF515" s="5" t="s">
        <v>12</v>
      </c>
      <c r="AG515" s="5"/>
      <c r="AH515" s="5"/>
      <c r="AI515" s="5"/>
      <c r="AJ515" s="5"/>
      <c r="AK515" s="5"/>
      <c r="AL515" s="5" t="s">
        <v>2715</v>
      </c>
      <c r="AM515" s="5" t="s">
        <v>4882</v>
      </c>
      <c r="AN515" s="5" t="s">
        <v>1711</v>
      </c>
      <c r="AO515" s="5" t="s">
        <v>69</v>
      </c>
      <c r="AP515" s="5" t="s">
        <v>68</v>
      </c>
      <c r="AQ515" s="5" t="s">
        <v>99</v>
      </c>
      <c r="AR515" s="5" t="s">
        <v>98</v>
      </c>
    </row>
    <row r="516" spans="1:44" ht="15.75" x14ac:dyDescent="0.25">
      <c r="A516" s="10">
        <v>46096</v>
      </c>
      <c r="B516" s="5" t="s">
        <v>183</v>
      </c>
      <c r="C516" s="5" t="s">
        <v>2716</v>
      </c>
      <c r="D516" s="5" t="s">
        <v>11</v>
      </c>
      <c r="E516" s="5" t="s">
        <v>8</v>
      </c>
      <c r="F516" s="5" t="s">
        <v>8</v>
      </c>
      <c r="G516" s="5" t="s">
        <v>4883</v>
      </c>
      <c r="H516" s="5" t="s">
        <v>4884</v>
      </c>
      <c r="I516" s="6" t="str">
        <f>HYPERLINK("http://maps.yandex.ru/?ll=55.0093,54.72935&amp;spn=0.011598,0.004531&amp;z=17&amp;l=map&amp;pt=55.0093,54.72935", "54.729355//55.0093")</f>
        <v>54.729355//55.0093</v>
      </c>
      <c r="J516" s="5" t="s">
        <v>34</v>
      </c>
      <c r="K516" s="6" t="str">
        <f>HYPERLINK("http://maps.yandex.ru/?ll=60.9718,56.75177&amp;spn=0.011598,0.004531&amp;z=17&amp;l=map&amp;pt=60.9718,56.75177", "56.751774//60.9718")</f>
        <v>56.751774//60.9718</v>
      </c>
      <c r="L516" s="5" t="s">
        <v>77</v>
      </c>
      <c r="M516" s="5" t="s">
        <v>1421</v>
      </c>
      <c r="N516" s="5" t="s">
        <v>1058</v>
      </c>
      <c r="O516" s="5" t="s">
        <v>390</v>
      </c>
      <c r="P516" s="5">
        <v>33</v>
      </c>
      <c r="Q516" s="5">
        <v>64</v>
      </c>
      <c r="R516" s="5">
        <v>3</v>
      </c>
      <c r="S516" s="5">
        <v>573.48099999999999</v>
      </c>
      <c r="T516" s="5" t="s">
        <v>12</v>
      </c>
      <c r="U516" s="5" t="s">
        <v>12</v>
      </c>
      <c r="V516" s="5" t="s">
        <v>12</v>
      </c>
      <c r="W516" s="5">
        <v>23.9</v>
      </c>
      <c r="X516" s="5">
        <v>73.05</v>
      </c>
      <c r="Y516" s="5">
        <v>105</v>
      </c>
      <c r="Z516" s="5" t="s">
        <v>1731</v>
      </c>
      <c r="AA516" s="5" t="s">
        <v>1716</v>
      </c>
      <c r="AB516" s="5" t="s">
        <v>19</v>
      </c>
      <c r="AC516" s="5" t="s">
        <v>19</v>
      </c>
      <c r="AD516" s="5" t="s">
        <v>19</v>
      </c>
      <c r="AE516" s="5" t="s">
        <v>1673</v>
      </c>
      <c r="AF516" s="5" t="s">
        <v>12</v>
      </c>
      <c r="AG516" s="5"/>
      <c r="AH516" s="5"/>
      <c r="AI516" s="5"/>
      <c r="AJ516" s="5"/>
      <c r="AK516" s="5"/>
      <c r="AL516" s="5" t="s">
        <v>4885</v>
      </c>
      <c r="AM516" s="5" t="s">
        <v>4885</v>
      </c>
      <c r="AN516" s="5" t="s">
        <v>19</v>
      </c>
      <c r="AO516" s="5" t="s">
        <v>69</v>
      </c>
      <c r="AP516" s="5" t="s">
        <v>68</v>
      </c>
      <c r="AQ516" s="5" t="s">
        <v>99</v>
      </c>
      <c r="AR516" s="5" t="s">
        <v>98</v>
      </c>
    </row>
    <row r="517" spans="1:44" ht="15.75" x14ac:dyDescent="0.25">
      <c r="A517" s="10">
        <v>46096</v>
      </c>
      <c r="B517" s="5" t="s">
        <v>180</v>
      </c>
      <c r="C517" s="5" t="s">
        <v>2717</v>
      </c>
      <c r="D517" s="5" t="s">
        <v>11</v>
      </c>
      <c r="E517" s="5" t="s">
        <v>5</v>
      </c>
      <c r="F517" s="5" t="s">
        <v>5</v>
      </c>
      <c r="G517" s="5" t="s">
        <v>11</v>
      </c>
      <c r="H517" s="5" t="s">
        <v>11</v>
      </c>
      <c r="I517" s="6" t="str">
        <f>HYPERLINK("http://maps.yandex.ru/?ll=,&amp;spn=0.011598,0.004531&amp;z=17&amp;l=map&amp;pt=,", "")</f>
        <v/>
      </c>
      <c r="J517" s="5" t="s">
        <v>84</v>
      </c>
      <c r="K517" s="6" t="str">
        <f>HYPERLINK("http://maps.yandex.ru/?ll=,&amp;spn=0.011598,0.004531&amp;z=17&amp;l=map&amp;pt=,", "")</f>
        <v/>
      </c>
      <c r="L517" s="5" t="s">
        <v>84</v>
      </c>
      <c r="M517" s="5" t="s">
        <v>13</v>
      </c>
      <c r="N517" s="5" t="s">
        <v>13</v>
      </c>
      <c r="O517" s="5" t="s">
        <v>58</v>
      </c>
      <c r="P517" s="5">
        <v>0</v>
      </c>
      <c r="Q517" s="5">
        <v>0</v>
      </c>
      <c r="R517" s="5">
        <v>100</v>
      </c>
      <c r="S517" s="5">
        <v>0</v>
      </c>
      <c r="T517" s="5" t="s">
        <v>12</v>
      </c>
      <c r="U517" s="5" t="s">
        <v>12</v>
      </c>
      <c r="V517" s="5" t="s">
        <v>12</v>
      </c>
      <c r="W517" s="5">
        <v>0</v>
      </c>
      <c r="X517" s="5">
        <v>0</v>
      </c>
      <c r="Y517" s="5">
        <v>0</v>
      </c>
      <c r="Z517" s="5" t="s">
        <v>12</v>
      </c>
      <c r="AA517" s="5" t="s">
        <v>12</v>
      </c>
      <c r="AB517" s="5" t="s">
        <v>19</v>
      </c>
      <c r="AC517" s="5" t="s">
        <v>19</v>
      </c>
      <c r="AD517" s="5" t="s">
        <v>19</v>
      </c>
      <c r="AE517" s="5" t="s">
        <v>12</v>
      </c>
      <c r="AF517" s="5" t="s">
        <v>12</v>
      </c>
      <c r="AG517" s="5"/>
      <c r="AH517" s="5"/>
      <c r="AI517" s="5"/>
      <c r="AJ517" s="5"/>
      <c r="AK517" s="5"/>
      <c r="AL517" s="5" t="s">
        <v>12</v>
      </c>
      <c r="AM517" s="5" t="s">
        <v>12</v>
      </c>
      <c r="AN517" s="5" t="s">
        <v>12</v>
      </c>
      <c r="AO517" s="5" t="s">
        <v>69</v>
      </c>
      <c r="AP517" s="5" t="s">
        <v>68</v>
      </c>
      <c r="AQ517" s="5" t="s">
        <v>99</v>
      </c>
      <c r="AR517" s="5" t="s">
        <v>98</v>
      </c>
    </row>
    <row r="518" spans="1:44" ht="31.5" x14ac:dyDescent="0.25">
      <c r="A518" s="10">
        <v>46096</v>
      </c>
      <c r="B518" s="5" t="s">
        <v>179</v>
      </c>
      <c r="C518" s="5" t="s">
        <v>2718</v>
      </c>
      <c r="D518" s="5" t="s">
        <v>11</v>
      </c>
      <c r="E518" s="5" t="s">
        <v>5</v>
      </c>
      <c r="F518" s="5" t="s">
        <v>5</v>
      </c>
      <c r="G518" s="5" t="s">
        <v>4886</v>
      </c>
      <c r="H518" s="5" t="s">
        <v>4887</v>
      </c>
      <c r="I518" s="6" t="str">
        <f>HYPERLINK("http://maps.yandex.ru/?ll=50.63328,55.67658&amp;spn=0.011598,0.004531&amp;z=17&amp;l=map&amp;pt=50.63328,55.67658", "55.676582//50.63328")</f>
        <v>55.676582//50.63328</v>
      </c>
      <c r="J518" s="5" t="s">
        <v>28</v>
      </c>
      <c r="K518" s="6" t="str">
        <f>HYPERLINK("http://maps.yandex.ru/?ll=55.962177,57.8954&amp;spn=0.011598,0.004531&amp;z=17&amp;l=map&amp;pt=55.962177,57.8954", "57.89547//55.962177")</f>
        <v>57.89547//55.962177</v>
      </c>
      <c r="L518" s="5" t="s">
        <v>509</v>
      </c>
      <c r="M518" s="5" t="s">
        <v>724</v>
      </c>
      <c r="N518" s="5" t="s">
        <v>4153</v>
      </c>
      <c r="O518" s="5" t="s">
        <v>4693</v>
      </c>
      <c r="P518" s="5">
        <v>32</v>
      </c>
      <c r="Q518" s="5">
        <v>64</v>
      </c>
      <c r="R518" s="5">
        <v>4</v>
      </c>
      <c r="S518" s="5">
        <v>536.50699999999995</v>
      </c>
      <c r="T518" s="5" t="s">
        <v>12</v>
      </c>
      <c r="U518" s="5" t="s">
        <v>12</v>
      </c>
      <c r="V518" s="5" t="s">
        <v>12</v>
      </c>
      <c r="W518" s="5">
        <v>22.35</v>
      </c>
      <c r="X518" s="5">
        <v>69.45</v>
      </c>
      <c r="Y518" s="5">
        <v>110</v>
      </c>
      <c r="Z518" s="5" t="s">
        <v>12</v>
      </c>
      <c r="AA518" s="5" t="s">
        <v>12</v>
      </c>
      <c r="AB518" s="5" t="s">
        <v>19</v>
      </c>
      <c r="AC518" s="5" t="s">
        <v>19</v>
      </c>
      <c r="AD518" s="5" t="s">
        <v>19</v>
      </c>
      <c r="AE518" s="5" t="s">
        <v>12</v>
      </c>
      <c r="AF518" s="5" t="s">
        <v>12</v>
      </c>
      <c r="AG518" s="5"/>
      <c r="AH518" s="5"/>
      <c r="AI518" s="5"/>
      <c r="AJ518" s="5"/>
      <c r="AK518" s="5"/>
      <c r="AL518" s="5" t="s">
        <v>12</v>
      </c>
      <c r="AM518" s="5" t="s">
        <v>12</v>
      </c>
      <c r="AN518" s="5" t="s">
        <v>12</v>
      </c>
      <c r="AO518" s="5" t="s">
        <v>69</v>
      </c>
      <c r="AP518" s="5" t="s">
        <v>68</v>
      </c>
      <c r="AQ518" s="5" t="s">
        <v>99</v>
      </c>
      <c r="AR518" s="5" t="s">
        <v>98</v>
      </c>
    </row>
    <row r="519" spans="1:44" ht="31.5" x14ac:dyDescent="0.25">
      <c r="A519" s="10">
        <v>46096</v>
      </c>
      <c r="B519" s="5" t="s">
        <v>177</v>
      </c>
      <c r="C519" s="5" t="s">
        <v>2719</v>
      </c>
      <c r="D519" s="5" t="s">
        <v>11</v>
      </c>
      <c r="E519" s="5" t="s">
        <v>6</v>
      </c>
      <c r="F519" s="5" t="s">
        <v>6</v>
      </c>
      <c r="G519" s="5" t="s">
        <v>4888</v>
      </c>
      <c r="H519" s="5" t="s">
        <v>4889</v>
      </c>
      <c r="I519" s="6" t="str">
        <f>HYPERLINK("http://maps.yandex.ru/?ll=32.55466,58.2453&amp;spn=0.011598,0.004531&amp;z=17&amp;l=map&amp;pt=32.55466,58.2453", "58.24535//32.55466")</f>
        <v>58.24535//32.55466</v>
      </c>
      <c r="J519" s="5" t="s">
        <v>148</v>
      </c>
      <c r="K519" s="6" t="str">
        <f>HYPERLINK("http://maps.yandex.ru/?ll=30.66022,59.66611&amp;spn=0.011598,0.004531&amp;z=17&amp;l=map&amp;pt=30.66022,59.66611", "59.666115//30.66022")</f>
        <v>59.666115//30.66022</v>
      </c>
      <c r="L519" s="5" t="s">
        <v>22</v>
      </c>
      <c r="M519" s="5" t="s">
        <v>3251</v>
      </c>
      <c r="N519" s="5" t="s">
        <v>1047</v>
      </c>
      <c r="O519" s="5" t="s">
        <v>367</v>
      </c>
      <c r="P519" s="5">
        <v>44</v>
      </c>
      <c r="Q519" s="5">
        <v>51</v>
      </c>
      <c r="R519" s="5">
        <v>6</v>
      </c>
      <c r="S519" s="5">
        <v>384.23899999999998</v>
      </c>
      <c r="T519" s="5" t="s">
        <v>12</v>
      </c>
      <c r="U519" s="5" t="s">
        <v>12</v>
      </c>
      <c r="V519" s="5" t="s">
        <v>12</v>
      </c>
      <c r="W519" s="5">
        <v>16.010000000000002</v>
      </c>
      <c r="X519" s="5">
        <v>36.71</v>
      </c>
      <c r="Y519" s="5">
        <v>100</v>
      </c>
      <c r="Z519" s="5" t="s">
        <v>1948</v>
      </c>
      <c r="AA519" s="5" t="s">
        <v>1553</v>
      </c>
      <c r="AB519" s="5" t="s">
        <v>19</v>
      </c>
      <c r="AC519" s="5" t="s">
        <v>19</v>
      </c>
      <c r="AD519" s="5" t="s">
        <v>19</v>
      </c>
      <c r="AE519" s="5" t="s">
        <v>2195</v>
      </c>
      <c r="AF519" s="5" t="s">
        <v>12</v>
      </c>
      <c r="AG519" s="5"/>
      <c r="AH519" s="5"/>
      <c r="AI519" s="5"/>
      <c r="AJ519" s="5"/>
      <c r="AK519" s="5"/>
      <c r="AL519" s="5" t="s">
        <v>4890</v>
      </c>
      <c r="AM519" s="5" t="s">
        <v>4891</v>
      </c>
      <c r="AN519" s="5" t="s">
        <v>1889</v>
      </c>
      <c r="AO519" s="5" t="s">
        <v>83</v>
      </c>
      <c r="AP519" s="5" t="s">
        <v>82</v>
      </c>
      <c r="AQ519" s="5" t="s">
        <v>99</v>
      </c>
      <c r="AR519" s="5" t="s">
        <v>98</v>
      </c>
    </row>
    <row r="520" spans="1:44" ht="31.5" x14ac:dyDescent="0.25">
      <c r="A520" s="10">
        <v>46096</v>
      </c>
      <c r="B520" s="5" t="s">
        <v>173</v>
      </c>
      <c r="C520" s="5" t="s">
        <v>2720</v>
      </c>
      <c r="D520" s="5" t="s">
        <v>11</v>
      </c>
      <c r="E520" s="5" t="s">
        <v>6</v>
      </c>
      <c r="F520" s="5" t="s">
        <v>6</v>
      </c>
      <c r="G520" s="5" t="s">
        <v>4892</v>
      </c>
      <c r="H520" s="5" t="s">
        <v>4893</v>
      </c>
      <c r="I520" s="6" t="str">
        <f>HYPERLINK("http://maps.yandex.ru/?ll=39.525646,45.58372&amp;spn=0.011598,0.004531&amp;z=17&amp;l=map&amp;pt=39.525646,45.58372", "45.583725//39.525646")</f>
        <v>45.583725//39.525646</v>
      </c>
      <c r="J520" s="5" t="s">
        <v>88</v>
      </c>
      <c r="K520" s="6" t="str">
        <f>HYPERLINK("http://maps.yandex.ru/?ll=37.647778,44.81007&amp;spn=0.011598,0.004531&amp;z=17&amp;l=map&amp;pt=37.647778,44.81007", "44.810078//37.647778")</f>
        <v>44.810078//37.647778</v>
      </c>
      <c r="L520" s="5" t="s">
        <v>88</v>
      </c>
      <c r="M520" s="5" t="s">
        <v>463</v>
      </c>
      <c r="N520" s="5" t="s">
        <v>4894</v>
      </c>
      <c r="O520" s="5" t="s">
        <v>279</v>
      </c>
      <c r="P520" s="5">
        <v>18</v>
      </c>
      <c r="Q520" s="5">
        <v>51</v>
      </c>
      <c r="R520" s="5">
        <v>31</v>
      </c>
      <c r="S520" s="5">
        <v>306.69299999999998</v>
      </c>
      <c r="T520" s="5" t="s">
        <v>12</v>
      </c>
      <c r="U520" s="5" t="s">
        <v>12</v>
      </c>
      <c r="V520" s="5" t="s">
        <v>12</v>
      </c>
      <c r="W520" s="5">
        <v>12.78</v>
      </c>
      <c r="X520" s="5">
        <v>71.37</v>
      </c>
      <c r="Y520" s="5">
        <v>165</v>
      </c>
      <c r="Z520" s="5" t="s">
        <v>1901</v>
      </c>
      <c r="AA520" s="5" t="s">
        <v>1515</v>
      </c>
      <c r="AB520" s="5" t="s">
        <v>2891</v>
      </c>
      <c r="AC520" s="5" t="s">
        <v>1673</v>
      </c>
      <c r="AD520" s="5" t="s">
        <v>19</v>
      </c>
      <c r="AE520" s="5" t="s">
        <v>1927</v>
      </c>
      <c r="AF520" s="5" t="s">
        <v>12</v>
      </c>
      <c r="AG520" s="5"/>
      <c r="AH520" s="5"/>
      <c r="AI520" s="5"/>
      <c r="AJ520" s="5"/>
      <c r="AK520" s="5"/>
      <c r="AL520" s="5" t="s">
        <v>4895</v>
      </c>
      <c r="AM520" s="5" t="s">
        <v>4896</v>
      </c>
      <c r="AN520" s="5" t="s">
        <v>1607</v>
      </c>
      <c r="AO520" s="5" t="s">
        <v>69</v>
      </c>
      <c r="AP520" s="5" t="s">
        <v>68</v>
      </c>
      <c r="AQ520" s="5" t="s">
        <v>99</v>
      </c>
      <c r="AR520" s="5" t="s">
        <v>98</v>
      </c>
    </row>
    <row r="521" spans="1:44" ht="31.5" x14ac:dyDescent="0.25">
      <c r="A521" s="10">
        <v>46096</v>
      </c>
      <c r="B521" s="5" t="s">
        <v>169</v>
      </c>
      <c r="C521" s="5" t="s">
        <v>2721</v>
      </c>
      <c r="D521" s="5" t="s">
        <v>11</v>
      </c>
      <c r="E521" s="5" t="s">
        <v>0</v>
      </c>
      <c r="F521" s="5" t="s">
        <v>0</v>
      </c>
      <c r="G521" s="5" t="s">
        <v>4897</v>
      </c>
      <c r="H521" s="5" t="s">
        <v>4898</v>
      </c>
      <c r="I521" s="6" t="str">
        <f>HYPERLINK("http://maps.yandex.ru/?ll=37.180317,56.11701&amp;spn=0.011598,0.004531&amp;z=17&amp;l=map&amp;pt=37.180317,56.11701", "56.117012//37.180317")</f>
        <v>56.117012//37.180317</v>
      </c>
      <c r="J521" s="5" t="s">
        <v>56</v>
      </c>
      <c r="K521" s="6" t="str">
        <f>HYPERLINK("http://maps.yandex.ru/?ll=34.70875,57.46525&amp;spn=0.011598,0.004531&amp;z=17&amp;l=map&amp;pt=34.70875,57.46525", "57.465256//34.70875")</f>
        <v>57.465256//34.70875</v>
      </c>
      <c r="L521" s="5" t="s">
        <v>50</v>
      </c>
      <c r="M521" s="5" t="s">
        <v>1153</v>
      </c>
      <c r="N521" s="5" t="s">
        <v>1270</v>
      </c>
      <c r="O521" s="5" t="s">
        <v>260</v>
      </c>
      <c r="P521" s="5">
        <v>17</v>
      </c>
      <c r="Q521" s="5">
        <v>80</v>
      </c>
      <c r="R521" s="5">
        <v>4</v>
      </c>
      <c r="S521" s="5">
        <v>219.40299999999999</v>
      </c>
      <c r="T521" s="5" t="s">
        <v>12</v>
      </c>
      <c r="U521" s="5" t="s">
        <v>12</v>
      </c>
      <c r="V521" s="5" t="s">
        <v>12</v>
      </c>
      <c r="W521" s="5">
        <v>9.14</v>
      </c>
      <c r="X521" s="5">
        <v>55.33</v>
      </c>
      <c r="Y521" s="5">
        <v>95</v>
      </c>
      <c r="Z521" s="5" t="s">
        <v>1474</v>
      </c>
      <c r="AA521" s="5" t="s">
        <v>1896</v>
      </c>
      <c r="AB521" s="5" t="s">
        <v>19</v>
      </c>
      <c r="AC521" s="5" t="s">
        <v>19</v>
      </c>
      <c r="AD521" s="5" t="s">
        <v>19</v>
      </c>
      <c r="AE521" s="5" t="s">
        <v>1671</v>
      </c>
      <c r="AF521" s="5" t="s">
        <v>12</v>
      </c>
      <c r="AG521" s="5"/>
      <c r="AH521" s="5"/>
      <c r="AI521" s="5"/>
      <c r="AJ521" s="5"/>
      <c r="AK521" s="5"/>
      <c r="AL521" s="5" t="s">
        <v>2722</v>
      </c>
      <c r="AM521" s="5" t="s">
        <v>4899</v>
      </c>
      <c r="AN521" s="5" t="s">
        <v>1673</v>
      </c>
      <c r="AO521" s="5" t="s">
        <v>69</v>
      </c>
      <c r="AP521" s="5" t="s">
        <v>68</v>
      </c>
      <c r="AQ521" s="5" t="s">
        <v>99</v>
      </c>
      <c r="AR521" s="5" t="s">
        <v>98</v>
      </c>
    </row>
    <row r="522" spans="1:44" ht="15.75" x14ac:dyDescent="0.25">
      <c r="A522" s="10">
        <v>46096</v>
      </c>
      <c r="B522" s="5" t="s">
        <v>165</v>
      </c>
      <c r="C522" s="5" t="s">
        <v>2723</v>
      </c>
      <c r="D522" s="5" t="s">
        <v>11</v>
      </c>
      <c r="E522" s="5" t="s">
        <v>164</v>
      </c>
      <c r="F522" s="5" t="s">
        <v>164</v>
      </c>
      <c r="G522" s="5" t="s">
        <v>11</v>
      </c>
      <c r="H522" s="5" t="s">
        <v>11</v>
      </c>
      <c r="I522" s="6" t="str">
        <f>HYPERLINK("http://maps.yandex.ru/?ll=,&amp;spn=0.011598,0.004531&amp;z=17&amp;l=map&amp;pt=,", "")</f>
        <v/>
      </c>
      <c r="J522" s="5" t="s">
        <v>84</v>
      </c>
      <c r="K522" s="6" t="str">
        <f>HYPERLINK("http://maps.yandex.ru/?ll=,&amp;spn=0.011598,0.004531&amp;z=17&amp;l=map&amp;pt=,", "")</f>
        <v/>
      </c>
      <c r="L522" s="5" t="s">
        <v>84</v>
      </c>
      <c r="M522" s="5" t="s">
        <v>13</v>
      </c>
      <c r="N522" s="5" t="s">
        <v>13</v>
      </c>
      <c r="O522" s="5" t="s">
        <v>58</v>
      </c>
      <c r="P522" s="5">
        <v>0</v>
      </c>
      <c r="Q522" s="5">
        <v>0</v>
      </c>
      <c r="R522" s="5">
        <v>100</v>
      </c>
      <c r="S522" s="5">
        <v>0</v>
      </c>
      <c r="T522" s="5" t="s">
        <v>12</v>
      </c>
      <c r="U522" s="5" t="s">
        <v>12</v>
      </c>
      <c r="V522" s="5" t="s">
        <v>12</v>
      </c>
      <c r="W522" s="5">
        <v>0</v>
      </c>
      <c r="X522" s="5">
        <v>0</v>
      </c>
      <c r="Y522" s="5">
        <v>0</v>
      </c>
      <c r="Z522" s="5" t="s">
        <v>12</v>
      </c>
      <c r="AA522" s="5" t="s">
        <v>12</v>
      </c>
      <c r="AB522" s="5" t="s">
        <v>19</v>
      </c>
      <c r="AC522" s="5" t="s">
        <v>19</v>
      </c>
      <c r="AD522" s="5" t="s">
        <v>19</v>
      </c>
      <c r="AE522" s="5" t="s">
        <v>12</v>
      </c>
      <c r="AF522" s="5" t="s">
        <v>12</v>
      </c>
      <c r="AG522" s="5"/>
      <c r="AH522" s="5"/>
      <c r="AI522" s="5"/>
      <c r="AJ522" s="5"/>
      <c r="AK522" s="5"/>
      <c r="AL522" s="5" t="s">
        <v>12</v>
      </c>
      <c r="AM522" s="5" t="s">
        <v>12</v>
      </c>
      <c r="AN522" s="5" t="s">
        <v>12</v>
      </c>
      <c r="AO522" s="5" t="s">
        <v>69</v>
      </c>
      <c r="AP522" s="5" t="s">
        <v>68</v>
      </c>
      <c r="AQ522" s="5" t="s">
        <v>99</v>
      </c>
      <c r="AR522" s="5" t="s">
        <v>98</v>
      </c>
    </row>
    <row r="523" spans="1:44" ht="31.5" x14ac:dyDescent="0.25">
      <c r="A523" s="10">
        <v>46096</v>
      </c>
      <c r="B523" s="5" t="s">
        <v>163</v>
      </c>
      <c r="C523" s="5" t="s">
        <v>2724</v>
      </c>
      <c r="D523" s="5" t="s">
        <v>11</v>
      </c>
      <c r="E523" s="5" t="s">
        <v>1</v>
      </c>
      <c r="F523" s="5" t="s">
        <v>1</v>
      </c>
      <c r="G523" s="5" t="s">
        <v>4900</v>
      </c>
      <c r="H523" s="5" t="s">
        <v>4901</v>
      </c>
      <c r="I523" s="6" t="str">
        <f>HYPERLINK("http://maps.yandex.ru/?ll=92.926,56.15943&amp;spn=0.011598,0.004531&amp;z=17&amp;l=map&amp;pt=92.926,56.15943", "56.159435//92.926")</f>
        <v>56.159435//92.926</v>
      </c>
      <c r="J523" s="5" t="s">
        <v>162</v>
      </c>
      <c r="K523" s="6" t="str">
        <f>HYPERLINK("http://maps.yandex.ru/?ll=92.92628,56.15922&amp;spn=0.011598,0.004531&amp;z=17&amp;l=map&amp;pt=92.92628,56.15922", "56.159225//92.92628")</f>
        <v>56.159225//92.92628</v>
      </c>
      <c r="L523" s="5" t="s">
        <v>162</v>
      </c>
      <c r="M523" s="5" t="s">
        <v>1123</v>
      </c>
      <c r="N523" s="5" t="s">
        <v>1419</v>
      </c>
      <c r="O523" s="5" t="s">
        <v>463</v>
      </c>
      <c r="P523" s="5">
        <v>7</v>
      </c>
      <c r="Q523" s="5">
        <v>76</v>
      </c>
      <c r="R523" s="5">
        <v>18</v>
      </c>
      <c r="S523" s="5">
        <v>0.69599999999999995</v>
      </c>
      <c r="T523" s="5" t="s">
        <v>12</v>
      </c>
      <c r="U523" s="5" t="s">
        <v>12</v>
      </c>
      <c r="V523" s="5" t="s">
        <v>12</v>
      </c>
      <c r="W523" s="5">
        <v>0.03</v>
      </c>
      <c r="X523" s="5">
        <v>0.44</v>
      </c>
      <c r="Y523" s="5">
        <v>10</v>
      </c>
      <c r="Z523" s="5" t="s">
        <v>2613</v>
      </c>
      <c r="AA523" s="5" t="s">
        <v>2613</v>
      </c>
      <c r="AB523" s="5" t="s">
        <v>19</v>
      </c>
      <c r="AC523" s="5" t="s">
        <v>19</v>
      </c>
      <c r="AD523" s="5" t="s">
        <v>19</v>
      </c>
      <c r="AE523" s="5" t="s">
        <v>19</v>
      </c>
      <c r="AF523" s="5" t="s">
        <v>12</v>
      </c>
      <c r="AG523" s="5"/>
      <c r="AH523" s="5"/>
      <c r="AI523" s="5"/>
      <c r="AJ523" s="5"/>
      <c r="AK523" s="5"/>
      <c r="AL523" s="5" t="s">
        <v>12</v>
      </c>
      <c r="AM523" s="5" t="s">
        <v>12</v>
      </c>
      <c r="AN523" s="5" t="s">
        <v>12</v>
      </c>
      <c r="AO523" s="5" t="s">
        <v>115</v>
      </c>
      <c r="AP523" s="5" t="s">
        <v>114</v>
      </c>
      <c r="AQ523" s="5" t="s">
        <v>99</v>
      </c>
      <c r="AR523" s="5" t="s">
        <v>98</v>
      </c>
    </row>
    <row r="524" spans="1:44" ht="31.5" x14ac:dyDescent="0.25">
      <c r="A524" s="10">
        <v>46096</v>
      </c>
      <c r="B524" s="5" t="s">
        <v>160</v>
      </c>
      <c r="C524" s="5" t="s">
        <v>2725</v>
      </c>
      <c r="D524" s="5" t="s">
        <v>11</v>
      </c>
      <c r="E524" s="5" t="s">
        <v>8</v>
      </c>
      <c r="F524" s="5" t="s">
        <v>8</v>
      </c>
      <c r="G524" s="5" t="s">
        <v>4250</v>
      </c>
      <c r="H524" s="5" t="s">
        <v>4902</v>
      </c>
      <c r="I524" s="6" t="str">
        <f>HYPERLINK("http://maps.yandex.ru/?ll=44.47655,56.03849&amp;spn=0.011598,0.004531&amp;z=17&amp;l=map&amp;pt=44.47655,56.03849", "56.038494//44.47655")</f>
        <v>56.038494//44.47655</v>
      </c>
      <c r="J524" s="5" t="s">
        <v>15</v>
      </c>
      <c r="K524" s="6" t="str">
        <f>HYPERLINK("http://maps.yandex.ru/?ll=53.751923,54.4677&amp;spn=0.011598,0.004531&amp;z=17&amp;l=map&amp;pt=53.751923,54.4677", "54.46779//53.751923")</f>
        <v>54.46779//53.751923</v>
      </c>
      <c r="L524" s="5" t="s">
        <v>34</v>
      </c>
      <c r="M524" s="5" t="s">
        <v>3782</v>
      </c>
      <c r="N524" s="5" t="s">
        <v>1303</v>
      </c>
      <c r="O524" s="5" t="s">
        <v>13</v>
      </c>
      <c r="P524" s="5">
        <v>44</v>
      </c>
      <c r="Q524" s="5">
        <v>56</v>
      </c>
      <c r="R524" s="5">
        <v>0</v>
      </c>
      <c r="S524" s="5">
        <v>750.03099999999995</v>
      </c>
      <c r="T524" s="5" t="s">
        <v>12</v>
      </c>
      <c r="U524" s="5" t="s">
        <v>12</v>
      </c>
      <c r="V524" s="5" t="s">
        <v>12</v>
      </c>
      <c r="W524" s="5">
        <v>31.25</v>
      </c>
      <c r="X524" s="5">
        <v>70.63</v>
      </c>
      <c r="Y524" s="5">
        <v>130</v>
      </c>
      <c r="Z524" s="5" t="s">
        <v>1888</v>
      </c>
      <c r="AA524" s="5" t="s">
        <v>1606</v>
      </c>
      <c r="AB524" s="5" t="s">
        <v>19</v>
      </c>
      <c r="AC524" s="5" t="s">
        <v>19</v>
      </c>
      <c r="AD524" s="5" t="s">
        <v>19</v>
      </c>
      <c r="AE524" s="5" t="s">
        <v>1839</v>
      </c>
      <c r="AF524" s="5" t="s">
        <v>12</v>
      </c>
      <c r="AG524" s="5"/>
      <c r="AH524" s="5"/>
      <c r="AI524" s="5"/>
      <c r="AJ524" s="5"/>
      <c r="AK524" s="5"/>
      <c r="AL524" s="5" t="s">
        <v>1529</v>
      </c>
      <c r="AM524" s="5" t="s">
        <v>4759</v>
      </c>
      <c r="AN524" s="5" t="s">
        <v>1927</v>
      </c>
      <c r="AO524" s="5" t="s">
        <v>115</v>
      </c>
      <c r="AP524" s="5" t="s">
        <v>114</v>
      </c>
      <c r="AQ524" s="5" t="s">
        <v>99</v>
      </c>
      <c r="AR524" s="5" t="s">
        <v>98</v>
      </c>
    </row>
    <row r="525" spans="1:44" ht="31.5" x14ac:dyDescent="0.25">
      <c r="A525" s="10">
        <v>46096</v>
      </c>
      <c r="B525" s="5" t="s">
        <v>156</v>
      </c>
      <c r="C525" s="5" t="s">
        <v>2727</v>
      </c>
      <c r="D525" s="5" t="s">
        <v>11</v>
      </c>
      <c r="E525" s="5" t="s">
        <v>0</v>
      </c>
      <c r="F525" s="5" t="s">
        <v>0</v>
      </c>
      <c r="G525" s="5" t="s">
        <v>3103</v>
      </c>
      <c r="H525" s="5" t="s">
        <v>4903</v>
      </c>
      <c r="I525" s="6" t="str">
        <f>HYPERLINK("http://maps.yandex.ru/?ll=113.36922,51.58671&amp;spn=0.011598,0.004531&amp;z=17&amp;l=map&amp;pt=113.36922,51.58671", "51.586716//113.36922")</f>
        <v>51.586716//113.36922</v>
      </c>
      <c r="J525" s="5" t="s">
        <v>155</v>
      </c>
      <c r="K525" s="6" t="str">
        <f>HYPERLINK("http://maps.yandex.ru/?ll=113.20771,52.23595&amp;spn=0.011598,0.004531&amp;z=17&amp;l=map&amp;pt=113.20771,52.23595", "52.235954//113.20771")</f>
        <v>52.235954//113.20771</v>
      </c>
      <c r="L525" s="5" t="s">
        <v>155</v>
      </c>
      <c r="M525" s="5" t="s">
        <v>930</v>
      </c>
      <c r="N525" s="5" t="s">
        <v>13</v>
      </c>
      <c r="O525" s="5" t="s">
        <v>4904</v>
      </c>
      <c r="P525" s="5">
        <v>36</v>
      </c>
      <c r="Q525" s="5">
        <v>0</v>
      </c>
      <c r="R525" s="5">
        <v>64</v>
      </c>
      <c r="S525" s="5">
        <v>2420.4479999999999</v>
      </c>
      <c r="T525" s="5" t="s">
        <v>12</v>
      </c>
      <c r="U525" s="5" t="s">
        <v>12</v>
      </c>
      <c r="V525" s="5" t="s">
        <v>12</v>
      </c>
      <c r="W525" s="5">
        <v>100.85</v>
      </c>
      <c r="X525" s="5">
        <v>278.74</v>
      </c>
      <c r="Y525" s="5">
        <v>112</v>
      </c>
      <c r="Z525" s="5" t="s">
        <v>1764</v>
      </c>
      <c r="AA525" s="5" t="s">
        <v>2239</v>
      </c>
      <c r="AB525" s="5" t="s">
        <v>19</v>
      </c>
      <c r="AC525" s="5" t="s">
        <v>19</v>
      </c>
      <c r="AD525" s="5" t="s">
        <v>19</v>
      </c>
      <c r="AE525" s="5" t="s">
        <v>2365</v>
      </c>
      <c r="AF525" s="5" t="s">
        <v>12</v>
      </c>
      <c r="AG525" s="5"/>
      <c r="AH525" s="5"/>
      <c r="AI525" s="5"/>
      <c r="AJ525" s="5"/>
      <c r="AK525" s="5"/>
      <c r="AL525" s="5" t="s">
        <v>3618</v>
      </c>
      <c r="AM525" s="5" t="s">
        <v>4905</v>
      </c>
      <c r="AN525" s="5" t="s">
        <v>1870</v>
      </c>
      <c r="AO525" s="5" t="s">
        <v>115</v>
      </c>
      <c r="AP525" s="5" t="s">
        <v>114</v>
      </c>
      <c r="AQ525" s="5" t="s">
        <v>99</v>
      </c>
      <c r="AR525" s="5" t="s">
        <v>98</v>
      </c>
    </row>
    <row r="526" spans="1:44" ht="31.5" x14ac:dyDescent="0.25">
      <c r="A526" s="10">
        <v>46096</v>
      </c>
      <c r="B526" s="5" t="s">
        <v>152</v>
      </c>
      <c r="C526" s="5" t="s">
        <v>2728</v>
      </c>
      <c r="D526" s="5" t="s">
        <v>11</v>
      </c>
      <c r="E526" s="5" t="s">
        <v>8</v>
      </c>
      <c r="F526" s="5" t="s">
        <v>8</v>
      </c>
      <c r="G526" s="5" t="s">
        <v>4906</v>
      </c>
      <c r="H526" s="5" t="s">
        <v>4907</v>
      </c>
      <c r="I526" s="6" t="str">
        <f>HYPERLINK("http://maps.yandex.ru/?ll=37.111225,55.58411&amp;spn=0.011598,0.004531&amp;z=17&amp;l=map&amp;pt=37.111225,55.58411", "55.584118//37.111225")</f>
        <v>55.584118//37.111225</v>
      </c>
      <c r="J526" s="5" t="s">
        <v>23</v>
      </c>
      <c r="K526" s="6" t="str">
        <f>HYPERLINK("http://maps.yandex.ru/?ll=36.680443,56.3748&amp;spn=0.011598,0.004531&amp;z=17&amp;l=map&amp;pt=36.680443,56.3748", "56.37485//36.680443")</f>
        <v>56.37485//36.680443</v>
      </c>
      <c r="L526" s="5" t="s">
        <v>56</v>
      </c>
      <c r="M526" s="5" t="s">
        <v>3391</v>
      </c>
      <c r="N526" s="5" t="s">
        <v>3230</v>
      </c>
      <c r="O526" s="5" t="s">
        <v>1246</v>
      </c>
      <c r="P526" s="5">
        <v>15</v>
      </c>
      <c r="Q526" s="5">
        <v>71</v>
      </c>
      <c r="R526" s="5">
        <v>14</v>
      </c>
      <c r="S526" s="5">
        <v>200.203</v>
      </c>
      <c r="T526" s="5" t="s">
        <v>12</v>
      </c>
      <c r="U526" s="5" t="s">
        <v>12</v>
      </c>
      <c r="V526" s="5" t="s">
        <v>12</v>
      </c>
      <c r="W526" s="5">
        <v>8.34</v>
      </c>
      <c r="X526" s="5">
        <v>56.65</v>
      </c>
      <c r="Y526" s="5">
        <v>99</v>
      </c>
      <c r="Z526" s="5" t="s">
        <v>1948</v>
      </c>
      <c r="AA526" s="5" t="s">
        <v>1877</v>
      </c>
      <c r="AB526" s="5" t="s">
        <v>19</v>
      </c>
      <c r="AC526" s="5" t="s">
        <v>19</v>
      </c>
      <c r="AD526" s="5" t="s">
        <v>19</v>
      </c>
      <c r="AE526" s="5" t="s">
        <v>1671</v>
      </c>
      <c r="AF526" s="5" t="s">
        <v>12</v>
      </c>
      <c r="AG526" s="5"/>
      <c r="AH526" s="5"/>
      <c r="AI526" s="5"/>
      <c r="AJ526" s="5"/>
      <c r="AK526" s="5"/>
      <c r="AL526" s="5" t="s">
        <v>12</v>
      </c>
      <c r="AM526" s="5" t="s">
        <v>12</v>
      </c>
      <c r="AN526" s="5" t="s">
        <v>12</v>
      </c>
      <c r="AO526" s="5" t="s">
        <v>115</v>
      </c>
      <c r="AP526" s="5" t="s">
        <v>114</v>
      </c>
      <c r="AQ526" s="5" t="s">
        <v>99</v>
      </c>
      <c r="AR526" s="5" t="s">
        <v>98</v>
      </c>
    </row>
    <row r="527" spans="1:44" ht="31.5" x14ac:dyDescent="0.25">
      <c r="A527" s="10">
        <v>46096</v>
      </c>
      <c r="B527" s="5" t="s">
        <v>256</v>
      </c>
      <c r="C527" s="5" t="s">
        <v>2729</v>
      </c>
      <c r="D527" s="5" t="s">
        <v>11</v>
      </c>
      <c r="E527" s="5" t="s">
        <v>0</v>
      </c>
      <c r="F527" s="5" t="s">
        <v>0</v>
      </c>
      <c r="G527" s="5" t="s">
        <v>4908</v>
      </c>
      <c r="H527" s="5" t="s">
        <v>4909</v>
      </c>
      <c r="I527" s="6" t="str">
        <f>HYPERLINK("http://maps.yandex.ru/?ll=39.77801,47.11739&amp;spn=0.011598,0.004531&amp;z=17&amp;l=map&amp;pt=39.77801,47.11739", "47.117397//39.77801")</f>
        <v>47.117397//39.77801</v>
      </c>
      <c r="J527" s="5" t="s">
        <v>64</v>
      </c>
      <c r="K527" s="6" t="str">
        <f>HYPERLINK("http://maps.yandex.ru/?ll=39.77756,47.1174&amp;spn=0.011598,0.004531&amp;z=17&amp;l=map&amp;pt=39.77756,47.1174", "47.11747//39.77756")</f>
        <v>47.11747//39.77756</v>
      </c>
      <c r="L527" s="5" t="s">
        <v>64</v>
      </c>
      <c r="M527" s="5" t="s">
        <v>1335</v>
      </c>
      <c r="N527" s="5" t="s">
        <v>991</v>
      </c>
      <c r="O527" s="5" t="s">
        <v>396</v>
      </c>
      <c r="P527" s="5">
        <v>44</v>
      </c>
      <c r="Q527" s="5">
        <v>54</v>
      </c>
      <c r="R527" s="5">
        <v>2</v>
      </c>
      <c r="S527" s="5">
        <v>474.30399999999997</v>
      </c>
      <c r="T527" s="5" t="s">
        <v>12</v>
      </c>
      <c r="U527" s="5" t="s">
        <v>12</v>
      </c>
      <c r="V527" s="5" t="s">
        <v>12</v>
      </c>
      <c r="W527" s="5">
        <v>19.760000000000002</v>
      </c>
      <c r="X527" s="5">
        <v>44.81</v>
      </c>
      <c r="Y527" s="5">
        <v>99</v>
      </c>
      <c r="Z527" s="5" t="s">
        <v>1933</v>
      </c>
      <c r="AA527" s="5" t="s">
        <v>1933</v>
      </c>
      <c r="AB527" s="5" t="s">
        <v>19</v>
      </c>
      <c r="AC527" s="5" t="s">
        <v>19</v>
      </c>
      <c r="AD527" s="5" t="s">
        <v>19</v>
      </c>
      <c r="AE527" s="5" t="s">
        <v>19</v>
      </c>
      <c r="AF527" s="5" t="s">
        <v>12</v>
      </c>
      <c r="AG527" s="5"/>
      <c r="AH527" s="5"/>
      <c r="AI527" s="5"/>
      <c r="AJ527" s="5"/>
      <c r="AK527" s="5"/>
      <c r="AL527" s="5" t="s">
        <v>12</v>
      </c>
      <c r="AM527" s="5" t="s">
        <v>12</v>
      </c>
      <c r="AN527" s="5" t="s">
        <v>12</v>
      </c>
      <c r="AO527" s="5" t="s">
        <v>115</v>
      </c>
      <c r="AP527" s="5" t="s">
        <v>114</v>
      </c>
      <c r="AQ527" s="5" t="s">
        <v>99</v>
      </c>
      <c r="AR527" s="5" t="s">
        <v>98</v>
      </c>
    </row>
    <row r="528" spans="1:44" ht="31.5" x14ac:dyDescent="0.25">
      <c r="A528" s="10">
        <v>46096</v>
      </c>
      <c r="B528" s="5" t="s">
        <v>1252</v>
      </c>
      <c r="C528" s="5" t="s">
        <v>2730</v>
      </c>
      <c r="D528" s="5" t="s">
        <v>11</v>
      </c>
      <c r="E528" s="5" t="s">
        <v>3</v>
      </c>
      <c r="F528" s="5" t="s">
        <v>3</v>
      </c>
      <c r="G528" s="5" t="s">
        <v>3103</v>
      </c>
      <c r="H528" s="5" t="s">
        <v>4910</v>
      </c>
      <c r="I528" s="6" t="str">
        <f>HYPERLINK("http://maps.yandex.ru/?ll=44.81628,48.77616&amp;spn=0.011598,0.004531&amp;z=17&amp;l=map&amp;pt=44.81628,48.77616", "48.776165//44.81628")</f>
        <v>48.776165//44.81628</v>
      </c>
      <c r="J528" s="5" t="s">
        <v>95</v>
      </c>
      <c r="K528" s="6" t="str">
        <f>HYPERLINK("http://maps.yandex.ru/?ll=44.092896,49.0560&amp;spn=0.011598,0.004531&amp;z=17&amp;l=map&amp;pt=44.092896,49.0560", "49.05603//44.092896")</f>
        <v>49.05603//44.092896</v>
      </c>
      <c r="L528" s="5" t="s">
        <v>95</v>
      </c>
      <c r="M528" s="5" t="s">
        <v>1026</v>
      </c>
      <c r="N528" s="5" t="s">
        <v>823</v>
      </c>
      <c r="O528" s="5" t="s">
        <v>3969</v>
      </c>
      <c r="P528" s="5">
        <v>20</v>
      </c>
      <c r="Q528" s="5">
        <v>45</v>
      </c>
      <c r="R528" s="5">
        <v>35</v>
      </c>
      <c r="S528" s="5">
        <v>148.84200000000001</v>
      </c>
      <c r="T528" s="5" t="s">
        <v>12</v>
      </c>
      <c r="U528" s="5" t="s">
        <v>12</v>
      </c>
      <c r="V528" s="5" t="s">
        <v>12</v>
      </c>
      <c r="W528" s="5">
        <v>6.2</v>
      </c>
      <c r="X528" s="5">
        <v>30.89</v>
      </c>
      <c r="Y528" s="5">
        <v>101</v>
      </c>
      <c r="Z528" s="5" t="s">
        <v>1736</v>
      </c>
      <c r="AA528" s="5" t="s">
        <v>1540</v>
      </c>
      <c r="AB528" s="5" t="s">
        <v>19</v>
      </c>
      <c r="AC528" s="5" t="s">
        <v>19</v>
      </c>
      <c r="AD528" s="5" t="s">
        <v>19</v>
      </c>
      <c r="AE528" s="5" t="s">
        <v>2226</v>
      </c>
      <c r="AF528" s="5" t="s">
        <v>12</v>
      </c>
      <c r="AG528" s="5"/>
      <c r="AH528" s="5"/>
      <c r="AI528" s="5"/>
      <c r="AJ528" s="5"/>
      <c r="AK528" s="5"/>
      <c r="AL528" s="5" t="s">
        <v>2732</v>
      </c>
      <c r="AM528" s="5" t="s">
        <v>4911</v>
      </c>
      <c r="AN528" s="5" t="s">
        <v>2049</v>
      </c>
      <c r="AO528" s="5" t="s">
        <v>115</v>
      </c>
      <c r="AP528" s="5" t="s">
        <v>114</v>
      </c>
      <c r="AQ528" s="5" t="s">
        <v>99</v>
      </c>
      <c r="AR528" s="5" t="s">
        <v>98</v>
      </c>
    </row>
    <row r="529" spans="1:44" ht="31.5" x14ac:dyDescent="0.25">
      <c r="A529" s="10">
        <v>46096</v>
      </c>
      <c r="B529" s="5" t="s">
        <v>1249</v>
      </c>
      <c r="C529" s="5" t="s">
        <v>2733</v>
      </c>
      <c r="D529" s="5" t="s">
        <v>11</v>
      </c>
      <c r="E529" s="5" t="s">
        <v>0</v>
      </c>
      <c r="F529" s="5" t="s">
        <v>0</v>
      </c>
      <c r="G529" s="5" t="s">
        <v>4912</v>
      </c>
      <c r="H529" s="5" t="s">
        <v>4913</v>
      </c>
      <c r="I529" s="6" t="str">
        <f>HYPERLINK("http://maps.yandex.ru/?ll=45.378914,50.1198&amp;spn=0.011598,0.004531&amp;z=17&amp;l=map&amp;pt=45.378914,50.1198", "50.11986//45.378914")</f>
        <v>50.11986//45.378914</v>
      </c>
      <c r="J529" s="5" t="s">
        <v>95</v>
      </c>
      <c r="K529" s="6" t="str">
        <f>HYPERLINK("http://maps.yandex.ru/?ll=40.241894,48.0144&amp;spn=0.011598,0.004531&amp;z=17&amp;l=map&amp;pt=40.241894,48.0144", "48.01441//40.241894")</f>
        <v>48.01441//40.241894</v>
      </c>
      <c r="L529" s="5" t="s">
        <v>64</v>
      </c>
      <c r="M529" s="5" t="s">
        <v>258</v>
      </c>
      <c r="N529" s="5" t="s">
        <v>434</v>
      </c>
      <c r="O529" s="5" t="s">
        <v>54</v>
      </c>
      <c r="P529" s="5">
        <v>34</v>
      </c>
      <c r="Q529" s="5">
        <v>40</v>
      </c>
      <c r="R529" s="5">
        <v>27</v>
      </c>
      <c r="S529" s="5">
        <v>555.94799999999998</v>
      </c>
      <c r="T529" s="5" t="s">
        <v>4076</v>
      </c>
      <c r="U529" s="5" t="s">
        <v>4914</v>
      </c>
      <c r="V529" s="5" t="s">
        <v>4915</v>
      </c>
      <c r="W529" s="5">
        <v>23.16</v>
      </c>
      <c r="X529" s="5">
        <v>68.77</v>
      </c>
      <c r="Y529" s="5">
        <v>106</v>
      </c>
      <c r="Z529" s="5" t="s">
        <v>826</v>
      </c>
      <c r="AA529" s="5" t="s">
        <v>2497</v>
      </c>
      <c r="AB529" s="5" t="s">
        <v>19</v>
      </c>
      <c r="AC529" s="5" t="s">
        <v>19</v>
      </c>
      <c r="AD529" s="5" t="s">
        <v>19</v>
      </c>
      <c r="AE529" s="5" t="s">
        <v>2274</v>
      </c>
      <c r="AF529" s="5" t="s">
        <v>4916</v>
      </c>
      <c r="AG529" s="5">
        <v>253</v>
      </c>
      <c r="AH529" s="5">
        <v>2</v>
      </c>
      <c r="AI529" s="5">
        <v>251</v>
      </c>
      <c r="AJ529" s="5">
        <v>35.840000000000003</v>
      </c>
      <c r="AK529" s="5">
        <v>35.549999999999997</v>
      </c>
      <c r="AL529" s="5" t="s">
        <v>12</v>
      </c>
      <c r="AM529" s="5" t="s">
        <v>12</v>
      </c>
      <c r="AN529" s="5" t="s">
        <v>12</v>
      </c>
      <c r="AO529" s="5" t="s">
        <v>11</v>
      </c>
      <c r="AP529" s="5" t="s">
        <v>11</v>
      </c>
      <c r="AQ529" s="5" t="s">
        <v>18</v>
      </c>
      <c r="AR529" s="5" t="s">
        <v>17</v>
      </c>
    </row>
    <row r="530" spans="1:44" ht="31.5" x14ac:dyDescent="0.25">
      <c r="A530" s="10">
        <v>46096</v>
      </c>
      <c r="B530" s="5" t="s">
        <v>1248</v>
      </c>
      <c r="C530" s="5" t="s">
        <v>2734</v>
      </c>
      <c r="D530" s="5" t="s">
        <v>11</v>
      </c>
      <c r="E530" s="5" t="s">
        <v>1</v>
      </c>
      <c r="F530" s="5" t="s">
        <v>1</v>
      </c>
      <c r="G530" s="5" t="s">
        <v>4917</v>
      </c>
      <c r="H530" s="5" t="s">
        <v>4918</v>
      </c>
      <c r="I530" s="6" t="str">
        <f>HYPERLINK("http://maps.yandex.ru/?ll=61.051456,55.12981&amp;spn=0.011598,0.004531&amp;z=17&amp;l=map&amp;pt=61.051456,55.12981", "55.129814//61.051456")</f>
        <v>55.129814//61.051456</v>
      </c>
      <c r="J530" s="5" t="s">
        <v>227</v>
      </c>
      <c r="K530" s="6" t="str">
        <f>HYPERLINK("http://maps.yandex.ru/?ll=53.93018,54.4901&amp;spn=0.011598,0.004531&amp;z=17&amp;l=map&amp;pt=53.93018,54.4901", "54.49019//53.93018")</f>
        <v>54.49019//53.93018</v>
      </c>
      <c r="L530" s="5" t="s">
        <v>34</v>
      </c>
      <c r="M530" s="5" t="s">
        <v>930</v>
      </c>
      <c r="N530" s="5" t="s">
        <v>4904</v>
      </c>
      <c r="O530" s="5" t="s">
        <v>13</v>
      </c>
      <c r="P530" s="5">
        <v>36</v>
      </c>
      <c r="Q530" s="5">
        <v>64</v>
      </c>
      <c r="R530" s="5">
        <v>0</v>
      </c>
      <c r="S530" s="5">
        <v>542.53599999999994</v>
      </c>
      <c r="T530" s="5" t="s">
        <v>12</v>
      </c>
      <c r="U530" s="5" t="s">
        <v>12</v>
      </c>
      <c r="V530" s="5" t="s">
        <v>12</v>
      </c>
      <c r="W530" s="5">
        <v>22.61</v>
      </c>
      <c r="X530" s="5">
        <v>62.45</v>
      </c>
      <c r="Y530" s="5">
        <v>94</v>
      </c>
      <c r="Z530" s="5" t="s">
        <v>1586</v>
      </c>
      <c r="AA530" s="5" t="s">
        <v>1532</v>
      </c>
      <c r="AB530" s="5" t="s">
        <v>19</v>
      </c>
      <c r="AC530" s="5" t="s">
        <v>19</v>
      </c>
      <c r="AD530" s="5" t="s">
        <v>19</v>
      </c>
      <c r="AE530" s="5" t="s">
        <v>1777</v>
      </c>
      <c r="AF530" s="5" t="s">
        <v>12</v>
      </c>
      <c r="AG530" s="5"/>
      <c r="AH530" s="5"/>
      <c r="AI530" s="5"/>
      <c r="AJ530" s="5"/>
      <c r="AK530" s="5"/>
      <c r="AL530" s="5" t="s">
        <v>12</v>
      </c>
      <c r="AM530" s="5" t="s">
        <v>12</v>
      </c>
      <c r="AN530" s="5" t="s">
        <v>12</v>
      </c>
      <c r="AO530" s="5" t="s">
        <v>115</v>
      </c>
      <c r="AP530" s="5" t="s">
        <v>114</v>
      </c>
      <c r="AQ530" s="5" t="s">
        <v>99</v>
      </c>
      <c r="AR530" s="5" t="s">
        <v>98</v>
      </c>
    </row>
    <row r="531" spans="1:44" ht="15.75" x14ac:dyDescent="0.25">
      <c r="A531" s="10">
        <v>46096</v>
      </c>
      <c r="B531" s="5" t="s">
        <v>1247</v>
      </c>
      <c r="C531" s="5" t="s">
        <v>2735</v>
      </c>
      <c r="D531" s="5" t="s">
        <v>11</v>
      </c>
      <c r="E531" s="5" t="s">
        <v>7</v>
      </c>
      <c r="F531" s="5" t="s">
        <v>7</v>
      </c>
      <c r="G531" s="5" t="s">
        <v>11</v>
      </c>
      <c r="H531" s="5" t="s">
        <v>11</v>
      </c>
      <c r="I531" s="6" t="str">
        <f>HYPERLINK("http://maps.yandex.ru/?ll=,&amp;spn=0.011598,0.004531&amp;z=17&amp;l=map&amp;pt=,", "")</f>
        <v/>
      </c>
      <c r="J531" s="5" t="s">
        <v>84</v>
      </c>
      <c r="K531" s="6" t="str">
        <f>HYPERLINK("http://maps.yandex.ru/?ll=,&amp;spn=0.011598,0.004531&amp;z=17&amp;l=map&amp;pt=,", "")</f>
        <v/>
      </c>
      <c r="L531" s="5" t="s">
        <v>84</v>
      </c>
      <c r="M531" s="5" t="s">
        <v>13</v>
      </c>
      <c r="N531" s="5" t="s">
        <v>13</v>
      </c>
      <c r="O531" s="5" t="s">
        <v>58</v>
      </c>
      <c r="P531" s="5">
        <v>0</v>
      </c>
      <c r="Q531" s="5">
        <v>0</v>
      </c>
      <c r="R531" s="5">
        <v>100</v>
      </c>
      <c r="S531" s="5">
        <v>0</v>
      </c>
      <c r="T531" s="5" t="s">
        <v>12</v>
      </c>
      <c r="U531" s="5" t="s">
        <v>12</v>
      </c>
      <c r="V531" s="5" t="s">
        <v>12</v>
      </c>
      <c r="W531" s="5">
        <v>0</v>
      </c>
      <c r="X531" s="5">
        <v>0</v>
      </c>
      <c r="Y531" s="5">
        <v>0</v>
      </c>
      <c r="Z531" s="5" t="s">
        <v>12</v>
      </c>
      <c r="AA531" s="5" t="s">
        <v>12</v>
      </c>
      <c r="AB531" s="5" t="s">
        <v>19</v>
      </c>
      <c r="AC531" s="5" t="s">
        <v>19</v>
      </c>
      <c r="AD531" s="5" t="s">
        <v>19</v>
      </c>
      <c r="AE531" s="5" t="s">
        <v>12</v>
      </c>
      <c r="AF531" s="5" t="s">
        <v>12</v>
      </c>
      <c r="AG531" s="5"/>
      <c r="AH531" s="5">
        <v>0</v>
      </c>
      <c r="AI531" s="5"/>
      <c r="AJ531" s="5"/>
      <c r="AK531" s="5"/>
      <c r="AL531" s="5" t="s">
        <v>12</v>
      </c>
      <c r="AM531" s="5" t="s">
        <v>12</v>
      </c>
      <c r="AN531" s="5" t="s">
        <v>12</v>
      </c>
      <c r="AO531" s="5" t="s">
        <v>11</v>
      </c>
      <c r="AP531" s="5" t="s">
        <v>11</v>
      </c>
      <c r="AQ531" s="5" t="s">
        <v>123</v>
      </c>
      <c r="AR531" s="5" t="s">
        <v>122</v>
      </c>
    </row>
    <row r="532" spans="1:44" ht="31.5" x14ac:dyDescent="0.25">
      <c r="A532" s="10">
        <v>46096</v>
      </c>
      <c r="B532" s="5" t="s">
        <v>1245</v>
      </c>
      <c r="C532" s="5" t="s">
        <v>2806</v>
      </c>
      <c r="D532" s="5" t="s">
        <v>11</v>
      </c>
      <c r="E532" s="5" t="s">
        <v>40</v>
      </c>
      <c r="F532" s="5" t="s">
        <v>11</v>
      </c>
      <c r="G532" s="5" t="s">
        <v>3103</v>
      </c>
      <c r="H532" s="5" t="s">
        <v>4919</v>
      </c>
      <c r="I532" s="6" t="str">
        <f>HYPERLINK("http://maps.yandex.ru/?ll=37.11746,55.66969&amp;spn=0.011598,0.004531&amp;z=17&amp;l=map&amp;pt=37.11746,55.66969", "55.669693//37.11746")</f>
        <v>55.669693//37.11746</v>
      </c>
      <c r="J532" s="5" t="s">
        <v>56</v>
      </c>
      <c r="K532" s="6" t="str">
        <f>HYPERLINK("http://maps.yandex.ru/?ll=38.1523,55.816&amp;spn=0.011598,0.004531&amp;z=17&amp;l=map&amp;pt=38.1523,55.816", "55.8166//38.1523")</f>
        <v>55.8166//38.1523</v>
      </c>
      <c r="L532" s="5" t="s">
        <v>56</v>
      </c>
      <c r="M532" s="5" t="s">
        <v>456</v>
      </c>
      <c r="N532" s="5" t="s">
        <v>116</v>
      </c>
      <c r="O532" s="5" t="s">
        <v>1235</v>
      </c>
      <c r="P532" s="5">
        <v>5</v>
      </c>
      <c r="Q532" s="5">
        <v>6</v>
      </c>
      <c r="R532" s="5">
        <v>89</v>
      </c>
      <c r="S532" s="5">
        <v>78.858999999999995</v>
      </c>
      <c r="T532" s="5" t="s">
        <v>1717</v>
      </c>
      <c r="U532" s="5" t="s">
        <v>4920</v>
      </c>
      <c r="V532" s="5" t="s">
        <v>4921</v>
      </c>
      <c r="W532" s="5">
        <v>3.29</v>
      </c>
      <c r="X532" s="5">
        <v>65.959999999999994</v>
      </c>
      <c r="Y532" s="5">
        <v>100</v>
      </c>
      <c r="Z532" s="5" t="s">
        <v>1399</v>
      </c>
      <c r="AA532" s="5" t="s">
        <v>2605</v>
      </c>
      <c r="AB532" s="5" t="s">
        <v>19</v>
      </c>
      <c r="AC532" s="5" t="s">
        <v>19</v>
      </c>
      <c r="AD532" s="5" t="s">
        <v>19</v>
      </c>
      <c r="AE532" s="5" t="s">
        <v>2549</v>
      </c>
      <c r="AF532" s="5" t="s">
        <v>4922</v>
      </c>
      <c r="AG532" s="5">
        <v>27</v>
      </c>
      <c r="AH532" s="5">
        <v>0</v>
      </c>
      <c r="AI532" s="5">
        <v>27</v>
      </c>
      <c r="AJ532" s="5">
        <v>22.69</v>
      </c>
      <c r="AK532" s="5">
        <v>22.69</v>
      </c>
      <c r="AL532" s="5" t="s">
        <v>12</v>
      </c>
      <c r="AM532" s="5" t="s">
        <v>12</v>
      </c>
      <c r="AN532" s="5" t="s">
        <v>12</v>
      </c>
      <c r="AO532" s="5" t="s">
        <v>11</v>
      </c>
      <c r="AP532" s="5" t="s">
        <v>11</v>
      </c>
      <c r="AQ532" s="5" t="s">
        <v>123</v>
      </c>
      <c r="AR532" s="5" t="s">
        <v>122</v>
      </c>
    </row>
    <row r="533" spans="1:44" ht="31.5" x14ac:dyDescent="0.25">
      <c r="A533" s="10">
        <v>46096</v>
      </c>
      <c r="B533" s="5" t="s">
        <v>1243</v>
      </c>
      <c r="C533" s="5" t="s">
        <v>2807</v>
      </c>
      <c r="D533" s="5" t="s">
        <v>11</v>
      </c>
      <c r="E533" s="5" t="s">
        <v>3</v>
      </c>
      <c r="F533" s="5" t="s">
        <v>3</v>
      </c>
      <c r="G533" s="5" t="s">
        <v>3103</v>
      </c>
      <c r="H533" s="5" t="s">
        <v>4923</v>
      </c>
      <c r="I533" s="6" t="str">
        <f>HYPERLINK("http://maps.yandex.ru/?ll=38.148796,53.95987&amp;spn=0.011598,0.004531&amp;z=17&amp;l=map&amp;pt=38.148796,53.95987", "53.959873//38.148796")</f>
        <v>53.959873//38.148796</v>
      </c>
      <c r="J533" s="5" t="s">
        <v>168</v>
      </c>
      <c r="K533" s="6" t="str">
        <f>HYPERLINK("http://maps.yandex.ru/?ll=39.972885,47.4252&amp;spn=0.011598,0.004531&amp;z=17&amp;l=map&amp;pt=39.972885,47.4252", "47.42528//39.972885")</f>
        <v>47.42528//39.972885</v>
      </c>
      <c r="L533" s="5" t="s">
        <v>64</v>
      </c>
      <c r="M533" s="5" t="s">
        <v>3311</v>
      </c>
      <c r="N533" s="5" t="s">
        <v>48</v>
      </c>
      <c r="O533" s="5" t="s">
        <v>4217</v>
      </c>
      <c r="P533" s="5">
        <v>54</v>
      </c>
      <c r="Q533" s="5">
        <v>31</v>
      </c>
      <c r="R533" s="5">
        <v>15</v>
      </c>
      <c r="S533" s="5">
        <v>763.48699999999997</v>
      </c>
      <c r="T533" s="5" t="s">
        <v>2963</v>
      </c>
      <c r="U533" s="5" t="s">
        <v>4924</v>
      </c>
      <c r="V533" s="5" t="s">
        <v>4925</v>
      </c>
      <c r="W533" s="5">
        <v>31.81</v>
      </c>
      <c r="X533" s="5">
        <v>58.95</v>
      </c>
      <c r="Y533" s="5">
        <v>111</v>
      </c>
      <c r="Z533" s="5" t="s">
        <v>2595</v>
      </c>
      <c r="AA533" s="5" t="s">
        <v>4926</v>
      </c>
      <c r="AB533" s="5" t="s">
        <v>19</v>
      </c>
      <c r="AC533" s="5" t="s">
        <v>19</v>
      </c>
      <c r="AD533" s="5" t="s">
        <v>19</v>
      </c>
      <c r="AE533" s="5" t="s">
        <v>3996</v>
      </c>
      <c r="AF533" s="5" t="s">
        <v>4927</v>
      </c>
      <c r="AG533" s="5">
        <v>290</v>
      </c>
      <c r="AH533" s="5">
        <v>4</v>
      </c>
      <c r="AI533" s="5">
        <v>286</v>
      </c>
      <c r="AJ533" s="5">
        <v>35.76</v>
      </c>
      <c r="AK533" s="5">
        <v>35.270000000000003</v>
      </c>
      <c r="AL533" s="5" t="s">
        <v>12</v>
      </c>
      <c r="AM533" s="5" t="s">
        <v>12</v>
      </c>
      <c r="AN533" s="5" t="s">
        <v>12</v>
      </c>
      <c r="AO533" s="5" t="s">
        <v>11</v>
      </c>
      <c r="AP533" s="5" t="s">
        <v>11</v>
      </c>
      <c r="AQ533" s="5" t="s">
        <v>123</v>
      </c>
      <c r="AR533" s="5" t="s">
        <v>122</v>
      </c>
    </row>
    <row r="534" spans="1:44" ht="15.75" x14ac:dyDescent="0.25">
      <c r="A534" s="10">
        <v>46096</v>
      </c>
      <c r="B534" s="5" t="s">
        <v>1242</v>
      </c>
      <c r="C534" s="5" t="s">
        <v>2809</v>
      </c>
      <c r="D534" s="5" t="s">
        <v>11</v>
      </c>
      <c r="E534" s="5" t="s">
        <v>5</v>
      </c>
      <c r="F534" s="5" t="s">
        <v>5</v>
      </c>
      <c r="G534" s="5" t="s">
        <v>11</v>
      </c>
      <c r="H534" s="5" t="s">
        <v>11</v>
      </c>
      <c r="I534" s="6" t="str">
        <f>HYPERLINK("http://maps.yandex.ru/?ll=,&amp;spn=0.011598,0.004531&amp;z=17&amp;l=map&amp;pt=,", "")</f>
        <v/>
      </c>
      <c r="J534" s="5" t="s">
        <v>84</v>
      </c>
      <c r="K534" s="6" t="str">
        <f>HYPERLINK("http://maps.yandex.ru/?ll=,&amp;spn=0.011598,0.004531&amp;z=17&amp;l=map&amp;pt=,", "")</f>
        <v/>
      </c>
      <c r="L534" s="5" t="s">
        <v>84</v>
      </c>
      <c r="M534" s="5" t="s">
        <v>13</v>
      </c>
      <c r="N534" s="5" t="s">
        <v>13</v>
      </c>
      <c r="O534" s="5" t="s">
        <v>58</v>
      </c>
      <c r="P534" s="5">
        <v>0</v>
      </c>
      <c r="Q534" s="5">
        <v>0</v>
      </c>
      <c r="R534" s="5">
        <v>100</v>
      </c>
      <c r="S534" s="5">
        <v>0</v>
      </c>
      <c r="T534" s="5" t="s">
        <v>12</v>
      </c>
      <c r="U534" s="5" t="s">
        <v>12</v>
      </c>
      <c r="V534" s="5" t="s">
        <v>12</v>
      </c>
      <c r="W534" s="5">
        <v>0</v>
      </c>
      <c r="X534" s="5">
        <v>0</v>
      </c>
      <c r="Y534" s="5">
        <v>0</v>
      </c>
      <c r="Z534" s="5" t="s">
        <v>12</v>
      </c>
      <c r="AA534" s="5" t="s">
        <v>12</v>
      </c>
      <c r="AB534" s="5" t="s">
        <v>19</v>
      </c>
      <c r="AC534" s="5" t="s">
        <v>19</v>
      </c>
      <c r="AD534" s="5" t="s">
        <v>19</v>
      </c>
      <c r="AE534" s="5" t="s">
        <v>12</v>
      </c>
      <c r="AF534" s="5" t="s">
        <v>12</v>
      </c>
      <c r="AG534" s="5"/>
      <c r="AH534" s="5"/>
      <c r="AI534" s="5"/>
      <c r="AJ534" s="5"/>
      <c r="AK534" s="5"/>
      <c r="AL534" s="5" t="s">
        <v>12</v>
      </c>
      <c r="AM534" s="5" t="s">
        <v>12</v>
      </c>
      <c r="AN534" s="5" t="s">
        <v>12</v>
      </c>
      <c r="AO534" s="5" t="s">
        <v>115</v>
      </c>
      <c r="AP534" s="5" t="s">
        <v>114</v>
      </c>
      <c r="AQ534" s="5" t="s">
        <v>99</v>
      </c>
      <c r="AR534" s="5" t="s">
        <v>98</v>
      </c>
    </row>
    <row r="535" spans="1:44" ht="31.5" x14ac:dyDescent="0.25">
      <c r="A535" s="10">
        <v>46096</v>
      </c>
      <c r="B535" s="5" t="s">
        <v>1241</v>
      </c>
      <c r="C535" s="5" t="s">
        <v>2810</v>
      </c>
      <c r="D535" s="5" t="s">
        <v>11</v>
      </c>
      <c r="E535" s="5" t="s">
        <v>4</v>
      </c>
      <c r="F535" s="5" t="s">
        <v>4</v>
      </c>
      <c r="G535" s="5" t="s">
        <v>4928</v>
      </c>
      <c r="H535" s="5" t="s">
        <v>4929</v>
      </c>
      <c r="I535" s="6" t="str">
        <f>HYPERLINK("http://maps.yandex.ru/?ll=63.245487,55.2530&amp;spn=0.011598,0.004531&amp;z=17&amp;l=map&amp;pt=63.245487,55.2530", "55.25308//63.245487")</f>
        <v>55.25308//63.245487</v>
      </c>
      <c r="J535" s="5" t="s">
        <v>361</v>
      </c>
      <c r="K535" s="6" t="str">
        <f>HYPERLINK("http://maps.yandex.ru/?ll=73.205696,55.00102&amp;spn=0.011598,0.004531&amp;z=17&amp;l=map&amp;pt=73.205696,55.00102", "55.001026//73.205696")</f>
        <v>55.001026//73.205696</v>
      </c>
      <c r="L535" s="5" t="s">
        <v>190</v>
      </c>
      <c r="M535" s="5" t="s">
        <v>4527</v>
      </c>
      <c r="N535" s="5" t="s">
        <v>414</v>
      </c>
      <c r="O535" s="5" t="s">
        <v>13</v>
      </c>
      <c r="P535" s="5">
        <v>43</v>
      </c>
      <c r="Q535" s="5">
        <v>57</v>
      </c>
      <c r="R535" s="5">
        <v>0</v>
      </c>
      <c r="S535" s="5">
        <v>779.63099999999997</v>
      </c>
      <c r="T535" s="5" t="s">
        <v>12</v>
      </c>
      <c r="U535" s="5" t="s">
        <v>12</v>
      </c>
      <c r="V535" s="5" t="s">
        <v>12</v>
      </c>
      <c r="W535" s="5">
        <v>32.49</v>
      </c>
      <c r="X535" s="5">
        <v>75.319999999999993</v>
      </c>
      <c r="Y535" s="5">
        <v>91</v>
      </c>
      <c r="Z535" s="5" t="s">
        <v>1553</v>
      </c>
      <c r="AA535" s="5" t="s">
        <v>2151</v>
      </c>
      <c r="AB535" s="5" t="s">
        <v>19</v>
      </c>
      <c r="AC535" s="5" t="s">
        <v>19</v>
      </c>
      <c r="AD535" s="5" t="s">
        <v>19</v>
      </c>
      <c r="AE535" s="5" t="s">
        <v>1807</v>
      </c>
      <c r="AF535" s="5" t="s">
        <v>12</v>
      </c>
      <c r="AG535" s="5"/>
      <c r="AH535" s="5"/>
      <c r="AI535" s="5"/>
      <c r="AJ535" s="5"/>
      <c r="AK535" s="5"/>
      <c r="AL535" s="5" t="s">
        <v>1486</v>
      </c>
      <c r="AM535" s="5" t="s">
        <v>4306</v>
      </c>
      <c r="AN535" s="5" t="s">
        <v>1673</v>
      </c>
      <c r="AO535" s="5" t="s">
        <v>115</v>
      </c>
      <c r="AP535" s="5" t="s">
        <v>114</v>
      </c>
      <c r="AQ535" s="5" t="s">
        <v>99</v>
      </c>
      <c r="AR535" s="5" t="s">
        <v>98</v>
      </c>
    </row>
    <row r="536" spans="1:44" ht="31.5" x14ac:dyDescent="0.25">
      <c r="A536" s="10">
        <v>46096</v>
      </c>
      <c r="B536" s="5" t="s">
        <v>1240</v>
      </c>
      <c r="C536" s="5" t="s">
        <v>2811</v>
      </c>
      <c r="D536" s="5" t="s">
        <v>11</v>
      </c>
      <c r="E536" s="5" t="s">
        <v>0</v>
      </c>
      <c r="F536" s="5" t="s">
        <v>0</v>
      </c>
      <c r="G536" s="5" t="s">
        <v>3103</v>
      </c>
      <c r="H536" s="5" t="s">
        <v>4930</v>
      </c>
      <c r="I536" s="6" t="str">
        <f>HYPERLINK("http://maps.yandex.ru/?ll=30.40172,59.79745&amp;spn=0.011598,0.004531&amp;z=17&amp;l=map&amp;pt=30.40172,59.79745", "59.797455//30.40172")</f>
        <v>59.797455//30.40172</v>
      </c>
      <c r="J536" s="5" t="s">
        <v>23</v>
      </c>
      <c r="K536" s="6" t="str">
        <f>HYPERLINK("http://maps.yandex.ru/?ll=30.40228,59.79722&amp;spn=0.011598,0.004531&amp;z=17&amp;l=map&amp;pt=30.40228,59.79722", "59.797222//30.40228")</f>
        <v>59.797222//30.40228</v>
      </c>
      <c r="L536" s="5" t="s">
        <v>23</v>
      </c>
      <c r="M536" s="5" t="s">
        <v>4361</v>
      </c>
      <c r="N536" s="5" t="s">
        <v>4931</v>
      </c>
      <c r="O536" s="5" t="s">
        <v>1454</v>
      </c>
      <c r="P536" s="5">
        <v>8</v>
      </c>
      <c r="Q536" s="5">
        <v>71</v>
      </c>
      <c r="R536" s="5">
        <v>21</v>
      </c>
      <c r="S536" s="5">
        <v>1.653</v>
      </c>
      <c r="T536" s="5" t="s">
        <v>12</v>
      </c>
      <c r="U536" s="5" t="s">
        <v>12</v>
      </c>
      <c r="V536" s="5" t="s">
        <v>12</v>
      </c>
      <c r="W536" s="5">
        <v>7.0000000000000007E-2</v>
      </c>
      <c r="X536" s="5">
        <v>0.84</v>
      </c>
      <c r="Y536" s="5">
        <v>14</v>
      </c>
      <c r="Z536" s="5" t="s">
        <v>1847</v>
      </c>
      <c r="AA536" s="5" t="s">
        <v>1678</v>
      </c>
      <c r="AB536" s="5" t="s">
        <v>19</v>
      </c>
      <c r="AC536" s="5" t="s">
        <v>19</v>
      </c>
      <c r="AD536" s="5" t="s">
        <v>19</v>
      </c>
      <c r="AE536" s="5" t="s">
        <v>1685</v>
      </c>
      <c r="AF536" s="5" t="s">
        <v>12</v>
      </c>
      <c r="AG536" s="5"/>
      <c r="AH536" s="5"/>
      <c r="AI536" s="5"/>
      <c r="AJ536" s="5"/>
      <c r="AK536" s="5"/>
      <c r="AL536" s="5" t="s">
        <v>2812</v>
      </c>
      <c r="AM536" s="5" t="s">
        <v>4932</v>
      </c>
      <c r="AN536" s="5" t="s">
        <v>1756</v>
      </c>
      <c r="AO536" s="5" t="s">
        <v>115</v>
      </c>
      <c r="AP536" s="5" t="s">
        <v>114</v>
      </c>
      <c r="AQ536" s="5" t="s">
        <v>99</v>
      </c>
      <c r="AR536" s="5" t="s">
        <v>98</v>
      </c>
    </row>
    <row r="537" spans="1:44" ht="31.5" x14ac:dyDescent="0.25">
      <c r="A537" s="10">
        <v>46096</v>
      </c>
      <c r="B537" s="5" t="s">
        <v>1239</v>
      </c>
      <c r="C537" s="5" t="s">
        <v>2813</v>
      </c>
      <c r="D537" s="5" t="s">
        <v>11</v>
      </c>
      <c r="E537" s="5" t="s">
        <v>7</v>
      </c>
      <c r="F537" s="5" t="s">
        <v>7</v>
      </c>
      <c r="G537" s="5" t="s">
        <v>4933</v>
      </c>
      <c r="H537" s="5" t="s">
        <v>4934</v>
      </c>
      <c r="I537" s="6" t="str">
        <f>HYPERLINK("http://maps.yandex.ru/?ll=40.959892,56.92977&amp;spn=0.011598,0.004531&amp;z=17&amp;l=map&amp;pt=40.959892,56.92977", "56.929775//40.959892")</f>
        <v>56.929775//40.959892</v>
      </c>
      <c r="J537" s="5" t="s">
        <v>582</v>
      </c>
      <c r="K537" s="6" t="str">
        <f>HYPERLINK("http://maps.yandex.ru/?ll=49.74104,58.6189&amp;spn=0.011598,0.004531&amp;z=17&amp;l=map&amp;pt=49.74104,58.6189", "58.61891//49.74104")</f>
        <v>58.61891//49.74104</v>
      </c>
      <c r="L537" s="5" t="s">
        <v>489</v>
      </c>
      <c r="M537" s="5" t="s">
        <v>608</v>
      </c>
      <c r="N537" s="5" t="s">
        <v>548</v>
      </c>
      <c r="O537" s="5" t="s">
        <v>499</v>
      </c>
      <c r="P537" s="5">
        <v>36</v>
      </c>
      <c r="Q537" s="5">
        <v>60</v>
      </c>
      <c r="R537" s="5">
        <v>3</v>
      </c>
      <c r="S537" s="5">
        <v>662.65</v>
      </c>
      <c r="T537" s="5" t="s">
        <v>4935</v>
      </c>
      <c r="U537" s="5" t="s">
        <v>4936</v>
      </c>
      <c r="V537" s="5" t="s">
        <v>4937</v>
      </c>
      <c r="W537" s="5">
        <v>27.61</v>
      </c>
      <c r="X537" s="5">
        <v>76.349999999999994</v>
      </c>
      <c r="Y537" s="5">
        <v>112</v>
      </c>
      <c r="Z537" s="5" t="s">
        <v>12</v>
      </c>
      <c r="AA537" s="5" t="s">
        <v>12</v>
      </c>
      <c r="AB537" s="5" t="s">
        <v>19</v>
      </c>
      <c r="AC537" s="5" t="s">
        <v>19</v>
      </c>
      <c r="AD537" s="5" t="s">
        <v>19</v>
      </c>
      <c r="AE537" s="5" t="s">
        <v>12</v>
      </c>
      <c r="AF537" s="5" t="s">
        <v>12</v>
      </c>
      <c r="AG537" s="5">
        <v>244</v>
      </c>
      <c r="AH537" s="5">
        <v>0</v>
      </c>
      <c r="AI537" s="5">
        <v>244</v>
      </c>
      <c r="AJ537" s="5">
        <v>37.08</v>
      </c>
      <c r="AK537" s="5">
        <v>37.08</v>
      </c>
      <c r="AL537" s="5" t="s">
        <v>12</v>
      </c>
      <c r="AM537" s="5" t="s">
        <v>12</v>
      </c>
      <c r="AN537" s="5" t="s">
        <v>12</v>
      </c>
      <c r="AO537" s="5" t="s">
        <v>11</v>
      </c>
      <c r="AP537" s="5" t="s">
        <v>11</v>
      </c>
      <c r="AQ537" s="5" t="s">
        <v>123</v>
      </c>
      <c r="AR537" s="5" t="s">
        <v>122</v>
      </c>
    </row>
    <row r="538" spans="1:44" ht="31.5" x14ac:dyDescent="0.25">
      <c r="A538" s="10">
        <v>46096</v>
      </c>
      <c r="B538" s="5" t="s">
        <v>1238</v>
      </c>
      <c r="C538" s="5" t="s">
        <v>2814</v>
      </c>
      <c r="D538" s="5" t="s">
        <v>11</v>
      </c>
      <c r="E538" s="5" t="s">
        <v>1</v>
      </c>
      <c r="F538" s="5" t="s">
        <v>1</v>
      </c>
      <c r="G538" s="5" t="s">
        <v>4938</v>
      </c>
      <c r="H538" s="5" t="s">
        <v>4939</v>
      </c>
      <c r="I538" s="6" t="str">
        <f>HYPERLINK("http://maps.yandex.ru/?ll=39.206177,51.8167&amp;spn=0.011598,0.004531&amp;z=17&amp;l=map&amp;pt=39.206177,51.8167", "51.81674//39.206177")</f>
        <v>51.81674//39.206177</v>
      </c>
      <c r="J538" s="5" t="s">
        <v>101</v>
      </c>
      <c r="K538" s="6" t="str">
        <f>HYPERLINK("http://maps.yandex.ru/?ll=40.62658,49.2028&amp;spn=0.011598,0.004531&amp;z=17&amp;l=map&amp;pt=40.62658,49.2028", "49.20284//40.62658")</f>
        <v>49.20284//40.62658</v>
      </c>
      <c r="L538" s="5" t="s">
        <v>64</v>
      </c>
      <c r="M538" s="5" t="s">
        <v>4940</v>
      </c>
      <c r="N538" s="5" t="s">
        <v>1226</v>
      </c>
      <c r="O538" s="5" t="s">
        <v>1153</v>
      </c>
      <c r="P538" s="5">
        <v>35</v>
      </c>
      <c r="Q538" s="5">
        <v>49</v>
      </c>
      <c r="R538" s="5">
        <v>17</v>
      </c>
      <c r="S538" s="5">
        <v>550.21600000000001</v>
      </c>
      <c r="T538" s="5" t="s">
        <v>2638</v>
      </c>
      <c r="U538" s="5" t="s">
        <v>4941</v>
      </c>
      <c r="V538" s="5" t="s">
        <v>4942</v>
      </c>
      <c r="W538" s="5">
        <v>22.93</v>
      </c>
      <c r="X538" s="5">
        <v>65.97</v>
      </c>
      <c r="Y538" s="5">
        <v>97</v>
      </c>
      <c r="Z538" s="5" t="s">
        <v>1958</v>
      </c>
      <c r="AA538" s="5" t="s">
        <v>1995</v>
      </c>
      <c r="AB538" s="5" t="s">
        <v>2921</v>
      </c>
      <c r="AC538" s="5" t="s">
        <v>1673</v>
      </c>
      <c r="AD538" s="5" t="s">
        <v>19</v>
      </c>
      <c r="AE538" s="5" t="s">
        <v>1609</v>
      </c>
      <c r="AF538" s="5" t="s">
        <v>4943</v>
      </c>
      <c r="AG538" s="5">
        <v>224</v>
      </c>
      <c r="AH538" s="5">
        <v>2</v>
      </c>
      <c r="AI538" s="5">
        <v>222</v>
      </c>
      <c r="AJ538" s="5">
        <v>29.87</v>
      </c>
      <c r="AK538" s="5">
        <v>29.6</v>
      </c>
      <c r="AL538" s="5" t="s">
        <v>12</v>
      </c>
      <c r="AM538" s="5" t="s">
        <v>12</v>
      </c>
      <c r="AN538" s="5" t="s">
        <v>12</v>
      </c>
      <c r="AO538" s="5" t="s">
        <v>11</v>
      </c>
      <c r="AP538" s="5" t="s">
        <v>11</v>
      </c>
      <c r="AQ538" s="5" t="s">
        <v>53</v>
      </c>
      <c r="AR538" s="5" t="s">
        <v>52</v>
      </c>
    </row>
    <row r="539" spans="1:44" ht="31.5" x14ac:dyDescent="0.25">
      <c r="A539" s="10">
        <v>46096</v>
      </c>
      <c r="B539" s="5" t="s">
        <v>1237</v>
      </c>
      <c r="C539" s="5" t="s">
        <v>2815</v>
      </c>
      <c r="D539" s="5" t="s">
        <v>11</v>
      </c>
      <c r="E539" s="5" t="s">
        <v>6</v>
      </c>
      <c r="F539" s="5" t="s">
        <v>6</v>
      </c>
      <c r="G539" s="5" t="s">
        <v>4944</v>
      </c>
      <c r="H539" s="5" t="s">
        <v>4945</v>
      </c>
      <c r="I539" s="6" t="str">
        <f>HYPERLINK("http://maps.yandex.ru/?ll=44.3899,56.06128&amp;spn=0.011598,0.004531&amp;z=17&amp;l=map&amp;pt=44.3899,56.06128", "56.061283//44.3899")</f>
        <v>56.061283//44.3899</v>
      </c>
      <c r="J539" s="5" t="s">
        <v>15</v>
      </c>
      <c r="K539" s="6" t="str">
        <f>HYPERLINK("http://maps.yandex.ru/?ll=38.507755,55.8471&amp;spn=0.011598,0.004531&amp;z=17&amp;l=map&amp;pt=38.507755,55.8471", "55.84716//38.507755")</f>
        <v>55.84716//38.507755</v>
      </c>
      <c r="L539" s="5" t="s">
        <v>56</v>
      </c>
      <c r="M539" s="5" t="s">
        <v>80</v>
      </c>
      <c r="N539" s="5" t="s">
        <v>4946</v>
      </c>
      <c r="O539" s="5" t="s">
        <v>13</v>
      </c>
      <c r="P539" s="5">
        <v>33</v>
      </c>
      <c r="Q539" s="5">
        <v>67</v>
      </c>
      <c r="R539" s="5">
        <v>0</v>
      </c>
      <c r="S539" s="5">
        <v>437.84899999999999</v>
      </c>
      <c r="T539" s="5" t="s">
        <v>1869</v>
      </c>
      <c r="U539" s="5" t="s">
        <v>4947</v>
      </c>
      <c r="V539" s="5" t="s">
        <v>4948</v>
      </c>
      <c r="W539" s="5">
        <v>18.239999999999998</v>
      </c>
      <c r="X539" s="5">
        <v>55.97</v>
      </c>
      <c r="Y539" s="5">
        <v>144</v>
      </c>
      <c r="Z539" s="5" t="s">
        <v>1474</v>
      </c>
      <c r="AA539" s="5" t="s">
        <v>3125</v>
      </c>
      <c r="AB539" s="5" t="s">
        <v>2601</v>
      </c>
      <c r="AC539" s="5" t="s">
        <v>1673</v>
      </c>
      <c r="AD539" s="5" t="s">
        <v>19</v>
      </c>
      <c r="AE539" s="5" t="s">
        <v>1847</v>
      </c>
      <c r="AF539" s="5" t="s">
        <v>4949</v>
      </c>
      <c r="AG539" s="5">
        <v>136</v>
      </c>
      <c r="AH539" s="5">
        <v>2</v>
      </c>
      <c r="AI539" s="5">
        <v>134</v>
      </c>
      <c r="AJ539" s="5">
        <v>30.29</v>
      </c>
      <c r="AK539" s="5">
        <v>29.84</v>
      </c>
      <c r="AL539" s="5" t="s">
        <v>12</v>
      </c>
      <c r="AM539" s="5" t="s">
        <v>12</v>
      </c>
      <c r="AN539" s="5" t="s">
        <v>12</v>
      </c>
      <c r="AO539" s="5" t="s">
        <v>11</v>
      </c>
      <c r="AP539" s="5" t="s">
        <v>11</v>
      </c>
      <c r="AQ539" s="5" t="s">
        <v>53</v>
      </c>
      <c r="AR539" s="5" t="s">
        <v>52</v>
      </c>
    </row>
    <row r="540" spans="1:44" ht="31.5" x14ac:dyDescent="0.25">
      <c r="A540" s="10">
        <v>46096</v>
      </c>
      <c r="B540" s="5" t="s">
        <v>1236</v>
      </c>
      <c r="C540" s="5" t="s">
        <v>2816</v>
      </c>
      <c r="D540" s="5" t="s">
        <v>11</v>
      </c>
      <c r="E540" s="5" t="s">
        <v>6</v>
      </c>
      <c r="F540" s="5" t="s">
        <v>6</v>
      </c>
      <c r="G540" s="5" t="s">
        <v>4950</v>
      </c>
      <c r="H540" s="5" t="s">
        <v>4951</v>
      </c>
      <c r="I540" s="6" t="str">
        <f>HYPERLINK("http://maps.yandex.ru/?ll=42.33995,54.14377&amp;spn=0.011598,0.004531&amp;z=17&amp;l=map&amp;pt=42.33995,54.14377", "54.143776//42.33995")</f>
        <v>54.143776//42.33995</v>
      </c>
      <c r="J540" s="5" t="s">
        <v>118</v>
      </c>
      <c r="K540" s="6" t="str">
        <f>HYPERLINK("http://maps.yandex.ru/?ll=37.816505,55.3427&amp;spn=0.011598,0.004531&amp;z=17&amp;l=map&amp;pt=37.816505,55.3427", "55.34277//37.816505")</f>
        <v>55.34277//37.816505</v>
      </c>
      <c r="L540" s="5" t="s">
        <v>56</v>
      </c>
      <c r="M540" s="5" t="s">
        <v>60</v>
      </c>
      <c r="N540" s="5" t="s">
        <v>4952</v>
      </c>
      <c r="O540" s="5" t="s">
        <v>116</v>
      </c>
      <c r="P540" s="5">
        <v>25</v>
      </c>
      <c r="Q540" s="5">
        <v>69</v>
      </c>
      <c r="R540" s="5">
        <v>6</v>
      </c>
      <c r="S540" s="5">
        <v>322.99200000000002</v>
      </c>
      <c r="T540" s="5" t="s">
        <v>12</v>
      </c>
      <c r="U540" s="5" t="s">
        <v>12</v>
      </c>
      <c r="V540" s="5" t="s">
        <v>12</v>
      </c>
      <c r="W540" s="5">
        <v>13.46</v>
      </c>
      <c r="X540" s="5">
        <v>53.05</v>
      </c>
      <c r="Y540" s="5">
        <v>101</v>
      </c>
      <c r="Z540" s="5" t="s">
        <v>1731</v>
      </c>
      <c r="AA540" s="5" t="s">
        <v>1731</v>
      </c>
      <c r="AB540" s="5" t="s">
        <v>19</v>
      </c>
      <c r="AC540" s="5" t="s">
        <v>19</v>
      </c>
      <c r="AD540" s="5" t="s">
        <v>19</v>
      </c>
      <c r="AE540" s="5" t="s">
        <v>19</v>
      </c>
      <c r="AF540" s="5" t="s">
        <v>12</v>
      </c>
      <c r="AG540" s="5"/>
      <c r="AH540" s="5"/>
      <c r="AI540" s="5"/>
      <c r="AJ540" s="5"/>
      <c r="AK540" s="5"/>
      <c r="AL540" s="5" t="s">
        <v>12</v>
      </c>
      <c r="AM540" s="5" t="s">
        <v>12</v>
      </c>
      <c r="AN540" s="5" t="s">
        <v>12</v>
      </c>
      <c r="AO540" s="5" t="s">
        <v>115</v>
      </c>
      <c r="AP540" s="5" t="s">
        <v>114</v>
      </c>
      <c r="AQ540" s="5" t="s">
        <v>99</v>
      </c>
      <c r="AR540" s="5" t="s">
        <v>98</v>
      </c>
    </row>
    <row r="541" spans="1:44" ht="15.75" x14ac:dyDescent="0.25">
      <c r="A541" s="10">
        <v>46096</v>
      </c>
      <c r="B541" s="5" t="s">
        <v>573</v>
      </c>
      <c r="C541" s="5" t="s">
        <v>2096</v>
      </c>
      <c r="D541" s="5" t="s">
        <v>11</v>
      </c>
      <c r="E541" s="5" t="s">
        <v>6</v>
      </c>
      <c r="F541" s="5" t="s">
        <v>6</v>
      </c>
      <c r="G541" s="5" t="s">
        <v>11</v>
      </c>
      <c r="H541" s="5" t="s">
        <v>11</v>
      </c>
      <c r="I541" s="6" t="str">
        <f>HYPERLINK("http://maps.yandex.ru/?ll=,&amp;spn=0.011598,0.004531&amp;z=17&amp;l=map&amp;pt=,", "")</f>
        <v/>
      </c>
      <c r="J541" s="5" t="s">
        <v>84</v>
      </c>
      <c r="K541" s="6" t="str">
        <f>HYPERLINK("http://maps.yandex.ru/?ll=,&amp;spn=0.011598,0.004531&amp;z=17&amp;l=map&amp;pt=,", "")</f>
        <v/>
      </c>
      <c r="L541" s="5" t="s">
        <v>84</v>
      </c>
      <c r="M541" s="5" t="s">
        <v>13</v>
      </c>
      <c r="N541" s="5" t="s">
        <v>58</v>
      </c>
      <c r="O541" s="5" t="s">
        <v>13</v>
      </c>
      <c r="P541" s="5">
        <v>0</v>
      </c>
      <c r="Q541" s="5">
        <v>100</v>
      </c>
      <c r="R541" s="5">
        <v>0</v>
      </c>
      <c r="S541" s="5">
        <v>0</v>
      </c>
      <c r="T541" s="5" t="s">
        <v>1673</v>
      </c>
      <c r="U541" s="5" t="s">
        <v>4953</v>
      </c>
      <c r="V541" s="5" t="s">
        <v>2097</v>
      </c>
      <c r="W541" s="5">
        <v>0</v>
      </c>
      <c r="X541" s="5">
        <v>0</v>
      </c>
      <c r="Y541" s="5">
        <v>0</v>
      </c>
      <c r="Z541" s="5" t="s">
        <v>2099</v>
      </c>
      <c r="AA541" s="5" t="s">
        <v>2783</v>
      </c>
      <c r="AB541" s="5" t="s">
        <v>19</v>
      </c>
      <c r="AC541" s="5" t="s">
        <v>19</v>
      </c>
      <c r="AD541" s="5" t="s">
        <v>19</v>
      </c>
      <c r="AE541" s="5" t="s">
        <v>1695</v>
      </c>
      <c r="AF541" s="5" t="s">
        <v>12</v>
      </c>
      <c r="AG541" s="5">
        <v>6</v>
      </c>
      <c r="AH541" s="5">
        <v>6</v>
      </c>
      <c r="AI541" s="5">
        <v>0</v>
      </c>
      <c r="AJ541" s="5">
        <v>600</v>
      </c>
      <c r="AK541" s="5">
        <v>0</v>
      </c>
      <c r="AL541" s="5" t="s">
        <v>12</v>
      </c>
      <c r="AM541" s="5" t="s">
        <v>12</v>
      </c>
      <c r="AN541" s="5" t="s">
        <v>12</v>
      </c>
      <c r="AO541" s="5" t="s">
        <v>11</v>
      </c>
      <c r="AP541" s="5" t="s">
        <v>11</v>
      </c>
      <c r="AQ541" s="5" t="s">
        <v>18</v>
      </c>
      <c r="AR541" s="5" t="s">
        <v>17</v>
      </c>
    </row>
    <row r="542" spans="1:44" ht="31.5" x14ac:dyDescent="0.25">
      <c r="A542" s="10">
        <v>46096</v>
      </c>
      <c r="B542" s="5" t="s">
        <v>572</v>
      </c>
      <c r="C542" s="5" t="s">
        <v>2100</v>
      </c>
      <c r="D542" s="5" t="s">
        <v>11</v>
      </c>
      <c r="E542" s="5" t="s">
        <v>6</v>
      </c>
      <c r="F542" s="5" t="s">
        <v>6</v>
      </c>
      <c r="G542" s="5" t="s">
        <v>4954</v>
      </c>
      <c r="H542" s="5" t="s">
        <v>4955</v>
      </c>
      <c r="I542" s="6" t="str">
        <f>HYPERLINK("http://maps.yandex.ru/?ll=42.340065,54.14382&amp;spn=0.011598,0.004531&amp;z=17&amp;l=map&amp;pt=42.340065,54.14382", "54.143826//42.340065")</f>
        <v>54.143826//42.340065</v>
      </c>
      <c r="J542" s="5" t="s">
        <v>118</v>
      </c>
      <c r="K542" s="6" t="str">
        <f>HYPERLINK("http://maps.yandex.ru/?ll=37.81647,55.3427&amp;spn=0.011598,0.004531&amp;z=17&amp;l=map&amp;pt=37.81647,55.3427", "55.34278//37.81647")</f>
        <v>55.34278//37.81647</v>
      </c>
      <c r="L542" s="5" t="s">
        <v>56</v>
      </c>
      <c r="M542" s="5" t="s">
        <v>1284</v>
      </c>
      <c r="N542" s="5" t="s">
        <v>4956</v>
      </c>
      <c r="O542" s="5" t="s">
        <v>1370</v>
      </c>
      <c r="P542" s="5">
        <v>24</v>
      </c>
      <c r="Q542" s="5">
        <v>68</v>
      </c>
      <c r="R542" s="5">
        <v>7</v>
      </c>
      <c r="S542" s="5">
        <v>346.77100000000002</v>
      </c>
      <c r="T542" s="5" t="s">
        <v>1922</v>
      </c>
      <c r="U542" s="5" t="s">
        <v>4957</v>
      </c>
      <c r="V542" s="5" t="s">
        <v>4958</v>
      </c>
      <c r="W542" s="5">
        <v>14.45</v>
      </c>
      <c r="X542" s="5">
        <v>59.24</v>
      </c>
      <c r="Y542" s="5">
        <v>126</v>
      </c>
      <c r="Z542" s="5" t="s">
        <v>2102</v>
      </c>
      <c r="AA542" s="5" t="s">
        <v>1834</v>
      </c>
      <c r="AB542" s="5" t="s">
        <v>19</v>
      </c>
      <c r="AC542" s="5" t="s">
        <v>19</v>
      </c>
      <c r="AD542" s="5" t="s">
        <v>19</v>
      </c>
      <c r="AE542" s="5" t="s">
        <v>2153</v>
      </c>
      <c r="AF542" s="5" t="s">
        <v>4959</v>
      </c>
      <c r="AG542" s="5">
        <v>131</v>
      </c>
      <c r="AH542" s="5">
        <v>1</v>
      </c>
      <c r="AI542" s="5">
        <v>130</v>
      </c>
      <c r="AJ542" s="5">
        <v>32.43</v>
      </c>
      <c r="AK542" s="5">
        <v>32.18</v>
      </c>
      <c r="AL542" s="5" t="s">
        <v>12</v>
      </c>
      <c r="AM542" s="5" t="s">
        <v>12</v>
      </c>
      <c r="AN542" s="5" t="s">
        <v>12</v>
      </c>
      <c r="AO542" s="5" t="s">
        <v>11</v>
      </c>
      <c r="AP542" s="5" t="s">
        <v>11</v>
      </c>
      <c r="AQ542" s="5" t="s">
        <v>18</v>
      </c>
      <c r="AR542" s="5" t="s">
        <v>17</v>
      </c>
    </row>
    <row r="543" spans="1:44" ht="31.5" x14ac:dyDescent="0.25">
      <c r="A543" s="10">
        <v>46096</v>
      </c>
      <c r="B543" s="5" t="s">
        <v>570</v>
      </c>
      <c r="C543" s="5" t="s">
        <v>2103</v>
      </c>
      <c r="D543" s="5" t="s">
        <v>11</v>
      </c>
      <c r="E543" s="5" t="s">
        <v>5</v>
      </c>
      <c r="F543" s="5" t="s">
        <v>5</v>
      </c>
      <c r="G543" s="5" t="s">
        <v>4960</v>
      </c>
      <c r="H543" s="5" t="s">
        <v>4961</v>
      </c>
      <c r="I543" s="6" t="str">
        <f>HYPERLINK("http://maps.yandex.ru/?ll=40.525127,49.82533&amp;spn=0.011598,0.004531&amp;z=17&amp;l=map&amp;pt=40.525127,49.82533", "49.825336//40.525127")</f>
        <v>49.825336//40.525127</v>
      </c>
      <c r="J543" s="5" t="s">
        <v>101</v>
      </c>
      <c r="K543" s="6" t="str">
        <f>HYPERLINK("http://maps.yandex.ru/?ll=39.79031,47.114&amp;spn=0.011598,0.004531&amp;z=17&amp;l=map&amp;pt=39.79031,47.114", "47.1141//39.79031")</f>
        <v>47.1141//39.79031</v>
      </c>
      <c r="L543" s="5" t="s">
        <v>64</v>
      </c>
      <c r="M543" s="5" t="s">
        <v>1450</v>
      </c>
      <c r="N543" s="5" t="s">
        <v>1351</v>
      </c>
      <c r="O543" s="5" t="s">
        <v>320</v>
      </c>
      <c r="P543" s="5">
        <v>15</v>
      </c>
      <c r="Q543" s="5">
        <v>56</v>
      </c>
      <c r="R543" s="5">
        <v>28</v>
      </c>
      <c r="S543" s="5">
        <v>302.30599999999998</v>
      </c>
      <c r="T543" s="5" t="s">
        <v>1517</v>
      </c>
      <c r="U543" s="5" t="s">
        <v>4962</v>
      </c>
      <c r="V543" s="5" t="s">
        <v>4963</v>
      </c>
      <c r="W543" s="5">
        <v>12.6</v>
      </c>
      <c r="X543" s="5">
        <v>81.72</v>
      </c>
      <c r="Y543" s="5">
        <v>156</v>
      </c>
      <c r="Z543" s="5" t="s">
        <v>2104</v>
      </c>
      <c r="AA543" s="5" t="s">
        <v>2279</v>
      </c>
      <c r="AB543" s="5" t="s">
        <v>4964</v>
      </c>
      <c r="AC543" s="5" t="s">
        <v>1673</v>
      </c>
      <c r="AD543" s="5" t="s">
        <v>19</v>
      </c>
      <c r="AE543" s="5" t="s">
        <v>2153</v>
      </c>
      <c r="AF543" s="5" t="s">
        <v>3962</v>
      </c>
      <c r="AG543" s="5">
        <v>112</v>
      </c>
      <c r="AH543" s="5">
        <v>3</v>
      </c>
      <c r="AI543" s="5">
        <v>109</v>
      </c>
      <c r="AJ543" s="5">
        <v>35.78</v>
      </c>
      <c r="AK543" s="5">
        <v>34.82</v>
      </c>
      <c r="AL543" s="5" t="s">
        <v>12</v>
      </c>
      <c r="AM543" s="5" t="s">
        <v>12</v>
      </c>
      <c r="AN543" s="5" t="s">
        <v>12</v>
      </c>
      <c r="AO543" s="5" t="s">
        <v>11</v>
      </c>
      <c r="AP543" s="5" t="s">
        <v>11</v>
      </c>
      <c r="AQ543" s="5" t="s">
        <v>123</v>
      </c>
      <c r="AR543" s="5" t="s">
        <v>122</v>
      </c>
    </row>
    <row r="544" spans="1:44" ht="31.5" x14ac:dyDescent="0.25">
      <c r="A544" s="10">
        <v>46096</v>
      </c>
      <c r="B544" s="5" t="s">
        <v>569</v>
      </c>
      <c r="C544" s="5" t="s">
        <v>2106</v>
      </c>
      <c r="D544" s="5" t="s">
        <v>11</v>
      </c>
      <c r="E544" s="5" t="s">
        <v>40</v>
      </c>
      <c r="F544" s="5" t="s">
        <v>11</v>
      </c>
      <c r="G544" s="5" t="s">
        <v>4965</v>
      </c>
      <c r="H544" s="5" t="s">
        <v>4966</v>
      </c>
      <c r="I544" s="6" t="str">
        <f>HYPERLINK("http://maps.yandex.ru/?ll=37.079037,55.59601&amp;spn=0.011598,0.004531&amp;z=17&amp;l=map&amp;pt=37.079037,55.59601", "55.596016//37.079037")</f>
        <v>55.596016//37.079037</v>
      </c>
      <c r="J544" s="5" t="s">
        <v>56</v>
      </c>
      <c r="K544" s="6" t="str">
        <f>HYPERLINK("http://maps.yandex.ru/?ll=33.233707,54.1691&amp;spn=0.011598,0.004531&amp;z=17&amp;l=map&amp;pt=33.233707,54.1691", "54.16917//33.233707")</f>
        <v>54.16917//33.233707</v>
      </c>
      <c r="L544" s="5" t="s">
        <v>4967</v>
      </c>
      <c r="M544" s="5" t="s">
        <v>4968</v>
      </c>
      <c r="N544" s="5" t="s">
        <v>749</v>
      </c>
      <c r="O544" s="5" t="s">
        <v>4969</v>
      </c>
      <c r="P544" s="5">
        <v>1</v>
      </c>
      <c r="Q544" s="5">
        <v>62</v>
      </c>
      <c r="R544" s="5">
        <v>37</v>
      </c>
      <c r="S544" s="5">
        <v>7.2590000000000003</v>
      </c>
      <c r="T544" s="5" t="s">
        <v>12</v>
      </c>
      <c r="U544" s="5" t="s">
        <v>12</v>
      </c>
      <c r="V544" s="5" t="s">
        <v>12</v>
      </c>
      <c r="W544" s="5">
        <v>0.3</v>
      </c>
      <c r="X544" s="5">
        <v>44.22</v>
      </c>
      <c r="Y544" s="5">
        <v>99</v>
      </c>
      <c r="Z544" s="5" t="s">
        <v>1696</v>
      </c>
      <c r="AA544" s="5" t="s">
        <v>2107</v>
      </c>
      <c r="AB544" s="5" t="s">
        <v>19</v>
      </c>
      <c r="AC544" s="5" t="s">
        <v>19</v>
      </c>
      <c r="AD544" s="5" t="s">
        <v>19</v>
      </c>
      <c r="AE544" s="5" t="s">
        <v>1673</v>
      </c>
      <c r="AF544" s="5" t="s">
        <v>4970</v>
      </c>
      <c r="AG544" s="5"/>
      <c r="AH544" s="5">
        <v>0</v>
      </c>
      <c r="AI544" s="5"/>
      <c r="AJ544" s="5"/>
      <c r="AK544" s="5"/>
      <c r="AL544" s="5" t="s">
        <v>12</v>
      </c>
      <c r="AM544" s="5" t="s">
        <v>12</v>
      </c>
      <c r="AN544" s="5" t="s">
        <v>12</v>
      </c>
      <c r="AO544" s="5" t="s">
        <v>11</v>
      </c>
      <c r="AP544" s="5" t="s">
        <v>11</v>
      </c>
      <c r="AQ544" s="5" t="s">
        <v>123</v>
      </c>
      <c r="AR544" s="5" t="s">
        <v>122</v>
      </c>
    </row>
    <row r="545" spans="1:44" ht="31.5" x14ac:dyDescent="0.25">
      <c r="A545" s="10">
        <v>46096</v>
      </c>
      <c r="B545" s="5" t="s">
        <v>567</v>
      </c>
      <c r="C545" s="5" t="s">
        <v>2108</v>
      </c>
      <c r="D545" s="5" t="s">
        <v>11</v>
      </c>
      <c r="E545" s="5" t="s">
        <v>8</v>
      </c>
      <c r="F545" s="5" t="s">
        <v>8</v>
      </c>
      <c r="G545" s="5" t="s">
        <v>4971</v>
      </c>
      <c r="H545" s="5" t="s">
        <v>3121</v>
      </c>
      <c r="I545" s="6" t="str">
        <f>HYPERLINK("http://maps.yandex.ru/?ll=31.150997,59.39066&amp;spn=0.011598,0.004531&amp;z=17&amp;l=map&amp;pt=31.150997,59.39066", "59.390667//31.150997")</f>
        <v>59.390667//31.150997</v>
      </c>
      <c r="J545" s="5" t="s">
        <v>22</v>
      </c>
      <c r="K545" s="6" t="str">
        <f>HYPERLINK("http://maps.yandex.ru/?ll=38.167072,54.56659&amp;spn=0.011598,0.004531&amp;z=17&amp;l=map&amp;pt=38.167072,54.56659", "54.566597//38.167072")</f>
        <v>54.566597//38.167072</v>
      </c>
      <c r="L545" s="5" t="s">
        <v>168</v>
      </c>
      <c r="M545" s="5" t="s">
        <v>4268</v>
      </c>
      <c r="N545" s="5" t="s">
        <v>117</v>
      </c>
      <c r="O545" s="5" t="s">
        <v>4972</v>
      </c>
      <c r="P545" s="5">
        <v>38</v>
      </c>
      <c r="Q545" s="5">
        <v>46</v>
      </c>
      <c r="R545" s="5">
        <v>16</v>
      </c>
      <c r="S545" s="5">
        <v>680.93</v>
      </c>
      <c r="T545" s="5" t="s">
        <v>12</v>
      </c>
      <c r="U545" s="5" t="s">
        <v>12</v>
      </c>
      <c r="V545" s="5" t="s">
        <v>12</v>
      </c>
      <c r="W545" s="5">
        <v>28.37</v>
      </c>
      <c r="X545" s="5">
        <v>73.739999999999995</v>
      </c>
      <c r="Y545" s="5">
        <v>133</v>
      </c>
      <c r="Z545" s="5" t="s">
        <v>1863</v>
      </c>
      <c r="AA545" s="5" t="s">
        <v>1577</v>
      </c>
      <c r="AB545" s="5" t="s">
        <v>2239</v>
      </c>
      <c r="AC545" s="5" t="s">
        <v>1673</v>
      </c>
      <c r="AD545" s="5" t="s">
        <v>19</v>
      </c>
      <c r="AE545" s="5" t="s">
        <v>1555</v>
      </c>
      <c r="AF545" s="5" t="s">
        <v>12</v>
      </c>
      <c r="AG545" s="5"/>
      <c r="AH545" s="5"/>
      <c r="AI545" s="5"/>
      <c r="AJ545" s="5"/>
      <c r="AK545" s="5"/>
      <c r="AL545" s="5" t="s">
        <v>2109</v>
      </c>
      <c r="AM545" s="5" t="s">
        <v>4973</v>
      </c>
      <c r="AN545" s="5" t="s">
        <v>1927</v>
      </c>
      <c r="AO545" s="5" t="s">
        <v>115</v>
      </c>
      <c r="AP545" s="5" t="s">
        <v>114</v>
      </c>
      <c r="AQ545" s="5" t="s">
        <v>99</v>
      </c>
      <c r="AR545" s="5" t="s">
        <v>98</v>
      </c>
    </row>
    <row r="546" spans="1:44" ht="31.5" x14ac:dyDescent="0.25">
      <c r="A546" s="10">
        <v>46096</v>
      </c>
      <c r="B546" s="5" t="s">
        <v>565</v>
      </c>
      <c r="C546" s="5" t="s">
        <v>2110</v>
      </c>
      <c r="D546" s="5" t="s">
        <v>11</v>
      </c>
      <c r="E546" s="5" t="s">
        <v>8</v>
      </c>
      <c r="F546" s="5" t="s">
        <v>8</v>
      </c>
      <c r="G546" s="5" t="s">
        <v>3103</v>
      </c>
      <c r="H546" s="5" t="s">
        <v>3121</v>
      </c>
      <c r="I546" s="6" t="str">
        <f>HYPERLINK("http://maps.yandex.ru/?ll=39.25709,51.65726&amp;spn=0.011598,0.004531&amp;z=17&amp;l=map&amp;pt=39.25709,51.65726", "51.657265//39.25709")</f>
        <v>51.657265//39.25709</v>
      </c>
      <c r="J546" s="5" t="s">
        <v>101</v>
      </c>
      <c r="K546" s="6" t="str">
        <f>HYPERLINK("http://maps.yandex.ru/?ll=38.311,56.3176&amp;spn=0.011598,0.004531&amp;z=17&amp;l=map&amp;pt=38.311,56.3176", "56.31766//38.311")</f>
        <v>56.31766//38.311</v>
      </c>
      <c r="L546" s="5" t="s">
        <v>56</v>
      </c>
      <c r="M546" s="5" t="s">
        <v>167</v>
      </c>
      <c r="N546" s="5" t="s">
        <v>865</v>
      </c>
      <c r="O546" s="5" t="s">
        <v>196</v>
      </c>
      <c r="P546" s="5">
        <v>62</v>
      </c>
      <c r="Q546" s="5">
        <v>4</v>
      </c>
      <c r="R546" s="5">
        <v>34</v>
      </c>
      <c r="S546" s="5">
        <v>964.91200000000003</v>
      </c>
      <c r="T546" s="5" t="s">
        <v>12</v>
      </c>
      <c r="U546" s="5" t="s">
        <v>12</v>
      </c>
      <c r="V546" s="5" t="s">
        <v>12</v>
      </c>
      <c r="W546" s="5">
        <v>40.21</v>
      </c>
      <c r="X546" s="5">
        <v>64.92</v>
      </c>
      <c r="Y546" s="5">
        <v>151</v>
      </c>
      <c r="Z546" s="5" t="s">
        <v>2111</v>
      </c>
      <c r="AA546" s="5" t="s">
        <v>2111</v>
      </c>
      <c r="AB546" s="5" t="s">
        <v>19</v>
      </c>
      <c r="AC546" s="5" t="s">
        <v>19</v>
      </c>
      <c r="AD546" s="5" t="s">
        <v>19</v>
      </c>
      <c r="AE546" s="5" t="s">
        <v>19</v>
      </c>
      <c r="AF546" s="5" t="s">
        <v>12</v>
      </c>
      <c r="AG546" s="5"/>
      <c r="AH546" s="5"/>
      <c r="AI546" s="5"/>
      <c r="AJ546" s="5"/>
      <c r="AK546" s="5"/>
      <c r="AL546" s="5" t="s">
        <v>12</v>
      </c>
      <c r="AM546" s="5" t="s">
        <v>12</v>
      </c>
      <c r="AN546" s="5" t="s">
        <v>12</v>
      </c>
      <c r="AO546" s="5" t="s">
        <v>115</v>
      </c>
      <c r="AP546" s="5" t="s">
        <v>114</v>
      </c>
      <c r="AQ546" s="5" t="s">
        <v>99</v>
      </c>
      <c r="AR546" s="5" t="s">
        <v>98</v>
      </c>
    </row>
    <row r="547" spans="1:44" ht="31.5" x14ac:dyDescent="0.25">
      <c r="A547" s="10">
        <v>46096</v>
      </c>
      <c r="B547" s="5" t="s">
        <v>564</v>
      </c>
      <c r="C547" s="5" t="s">
        <v>2112</v>
      </c>
      <c r="D547" s="5" t="s">
        <v>11</v>
      </c>
      <c r="E547" s="5" t="s">
        <v>40</v>
      </c>
      <c r="F547" s="5" t="s">
        <v>11</v>
      </c>
      <c r="G547" s="5" t="s">
        <v>4974</v>
      </c>
      <c r="H547" s="5" t="s">
        <v>4975</v>
      </c>
      <c r="I547" s="6" t="str">
        <f>HYPERLINK("http://maps.yandex.ru/?ll=30.419384,59.77007&amp;spn=0.011598,0.004531&amp;z=17&amp;l=map&amp;pt=30.419384,59.77007", "59.770077//30.419384")</f>
        <v>59.770077//30.419384</v>
      </c>
      <c r="J547" s="5" t="s">
        <v>23</v>
      </c>
      <c r="K547" s="6" t="str">
        <f>HYPERLINK("http://maps.yandex.ru/?ll=30.190077,59.87508&amp;spn=0.011598,0.004531&amp;z=17&amp;l=map&amp;pt=30.190077,59.87508", "59.875088//30.190077")</f>
        <v>59.875088//30.190077</v>
      </c>
      <c r="L547" s="5" t="s">
        <v>23</v>
      </c>
      <c r="M547" s="5" t="s">
        <v>1441</v>
      </c>
      <c r="N547" s="5" t="s">
        <v>4976</v>
      </c>
      <c r="O547" s="5" t="s">
        <v>13</v>
      </c>
      <c r="P547" s="5">
        <v>5</v>
      </c>
      <c r="Q547" s="5">
        <v>95</v>
      </c>
      <c r="R547" s="5">
        <v>0</v>
      </c>
      <c r="S547" s="5">
        <v>37.768999999999998</v>
      </c>
      <c r="T547" s="5" t="s">
        <v>12</v>
      </c>
      <c r="U547" s="5" t="s">
        <v>12</v>
      </c>
      <c r="V547" s="5" t="s">
        <v>12</v>
      </c>
      <c r="W547" s="5">
        <v>1.57</v>
      </c>
      <c r="X547" s="5">
        <v>29.08</v>
      </c>
      <c r="Y547" s="5">
        <v>89</v>
      </c>
      <c r="Z547" s="5" t="s">
        <v>1710</v>
      </c>
      <c r="AA547" s="5" t="s">
        <v>1736</v>
      </c>
      <c r="AB547" s="5" t="s">
        <v>19</v>
      </c>
      <c r="AC547" s="5" t="s">
        <v>19</v>
      </c>
      <c r="AD547" s="5" t="s">
        <v>19</v>
      </c>
      <c r="AE547" s="5" t="s">
        <v>1807</v>
      </c>
      <c r="AF547" s="5" t="s">
        <v>12</v>
      </c>
      <c r="AG547" s="5"/>
      <c r="AH547" s="5"/>
      <c r="AI547" s="5"/>
      <c r="AJ547" s="5"/>
      <c r="AK547" s="5"/>
      <c r="AL547" s="5" t="s">
        <v>4977</v>
      </c>
      <c r="AM547" s="5" t="s">
        <v>4977</v>
      </c>
      <c r="AN547" s="5" t="s">
        <v>19</v>
      </c>
      <c r="AO547" s="5" t="s">
        <v>115</v>
      </c>
      <c r="AP547" s="5" t="s">
        <v>114</v>
      </c>
      <c r="AQ547" s="5" t="s">
        <v>99</v>
      </c>
      <c r="AR547" s="5" t="s">
        <v>98</v>
      </c>
    </row>
    <row r="548" spans="1:44" ht="31.5" x14ac:dyDescent="0.25">
      <c r="A548" s="10">
        <v>46096</v>
      </c>
      <c r="B548" s="5" t="s">
        <v>561</v>
      </c>
      <c r="C548" s="5" t="s">
        <v>2113</v>
      </c>
      <c r="D548" s="5" t="s">
        <v>11</v>
      </c>
      <c r="E548" s="5" t="s">
        <v>5</v>
      </c>
      <c r="F548" s="5" t="s">
        <v>5</v>
      </c>
      <c r="G548" s="5" t="s">
        <v>4978</v>
      </c>
      <c r="H548" s="5" t="s">
        <v>3853</v>
      </c>
      <c r="I548" s="6" t="str">
        <f>HYPERLINK("http://maps.yandex.ru/?ll=43.203934,57.80011&amp;spn=0.011598,0.004531&amp;z=17&amp;l=map&amp;pt=43.203934,57.80011", "57.800114//43.203934")</f>
        <v>57.800114//43.203934</v>
      </c>
      <c r="J548" s="5" t="s">
        <v>1525</v>
      </c>
      <c r="K548" s="6" t="str">
        <f>HYPERLINK("http://maps.yandex.ru/?ll=52.156006,58.6867&amp;spn=0.011598,0.004531&amp;z=17&amp;l=map&amp;pt=52.156006,58.6867", "58.68679//52.156006")</f>
        <v>58.68679//52.156006</v>
      </c>
      <c r="L548" s="5" t="s">
        <v>489</v>
      </c>
      <c r="M548" s="5" t="s">
        <v>1420</v>
      </c>
      <c r="N548" s="5" t="s">
        <v>4561</v>
      </c>
      <c r="O548" s="5" t="s">
        <v>13</v>
      </c>
      <c r="P548" s="5">
        <v>37</v>
      </c>
      <c r="Q548" s="5">
        <v>63</v>
      </c>
      <c r="R548" s="5">
        <v>0</v>
      </c>
      <c r="S548" s="5">
        <v>629.43200000000002</v>
      </c>
      <c r="T548" s="5" t="s">
        <v>12</v>
      </c>
      <c r="U548" s="5" t="s">
        <v>12</v>
      </c>
      <c r="V548" s="5" t="s">
        <v>12</v>
      </c>
      <c r="W548" s="5">
        <v>26.23</v>
      </c>
      <c r="X548" s="5">
        <v>70.5</v>
      </c>
      <c r="Y548" s="5">
        <v>91</v>
      </c>
      <c r="Z548" s="5" t="s">
        <v>1669</v>
      </c>
      <c r="AA548" s="5" t="s">
        <v>2033</v>
      </c>
      <c r="AB548" s="5" t="s">
        <v>19</v>
      </c>
      <c r="AC548" s="5" t="s">
        <v>19</v>
      </c>
      <c r="AD548" s="5" t="s">
        <v>19</v>
      </c>
      <c r="AE548" s="5" t="s">
        <v>1929</v>
      </c>
      <c r="AF548" s="5" t="s">
        <v>12</v>
      </c>
      <c r="AG548" s="5"/>
      <c r="AH548" s="5"/>
      <c r="AI548" s="5"/>
      <c r="AJ548" s="5"/>
      <c r="AK548" s="5"/>
      <c r="AL548" s="5" t="s">
        <v>4979</v>
      </c>
      <c r="AM548" s="5" t="s">
        <v>4980</v>
      </c>
      <c r="AN548" s="5" t="s">
        <v>1870</v>
      </c>
      <c r="AO548" s="5" t="s">
        <v>115</v>
      </c>
      <c r="AP548" s="5" t="s">
        <v>114</v>
      </c>
      <c r="AQ548" s="5" t="s">
        <v>99</v>
      </c>
      <c r="AR548" s="5" t="s">
        <v>98</v>
      </c>
    </row>
    <row r="549" spans="1:44" ht="31.5" x14ac:dyDescent="0.25">
      <c r="A549" s="10">
        <v>46096</v>
      </c>
      <c r="B549" s="5" t="s">
        <v>559</v>
      </c>
      <c r="C549" s="5" t="s">
        <v>2114</v>
      </c>
      <c r="D549" s="5" t="s">
        <v>11</v>
      </c>
      <c r="E549" s="5" t="s">
        <v>0</v>
      </c>
      <c r="F549" s="5" t="s">
        <v>0</v>
      </c>
      <c r="G549" s="5" t="s">
        <v>4981</v>
      </c>
      <c r="H549" s="5" t="s">
        <v>4982</v>
      </c>
      <c r="I549" s="6" t="str">
        <f>HYPERLINK("http://maps.yandex.ru/?ll=30.46305,59.77395&amp;spn=0.011598,0.004531&amp;z=17&amp;l=map&amp;pt=30.46305,59.77395", "59.773956//30.46305")</f>
        <v>59.773956//30.46305</v>
      </c>
      <c r="J549" s="5" t="s">
        <v>23</v>
      </c>
      <c r="K549" s="6" t="str">
        <f>HYPERLINK("http://maps.yandex.ru/?ll=30.60958,59.7705&amp;spn=0.011598,0.004531&amp;z=17&amp;l=map&amp;pt=30.60958,59.7705", "59.77059//30.60958")</f>
        <v>59.77059//30.60958</v>
      </c>
      <c r="L549" s="5" t="s">
        <v>23</v>
      </c>
      <c r="M549" s="5" t="s">
        <v>1442</v>
      </c>
      <c r="N549" s="5" t="s">
        <v>4983</v>
      </c>
      <c r="O549" s="5" t="s">
        <v>1000</v>
      </c>
      <c r="P549" s="5">
        <v>8</v>
      </c>
      <c r="Q549" s="5">
        <v>89</v>
      </c>
      <c r="R549" s="5">
        <v>3</v>
      </c>
      <c r="S549" s="5">
        <v>40.149000000000001</v>
      </c>
      <c r="T549" s="5" t="s">
        <v>2188</v>
      </c>
      <c r="U549" s="5" t="s">
        <v>4984</v>
      </c>
      <c r="V549" s="5" t="s">
        <v>4985</v>
      </c>
      <c r="W549" s="5">
        <v>1.67</v>
      </c>
      <c r="X549" s="5">
        <v>21.96</v>
      </c>
      <c r="Y549" s="5">
        <v>109</v>
      </c>
      <c r="Z549" s="5" t="s">
        <v>1881</v>
      </c>
      <c r="AA549" s="5" t="s">
        <v>2540</v>
      </c>
      <c r="AB549" s="5" t="s">
        <v>19</v>
      </c>
      <c r="AC549" s="5" t="s">
        <v>19</v>
      </c>
      <c r="AD549" s="5" t="s">
        <v>19</v>
      </c>
      <c r="AE549" s="5" t="s">
        <v>2337</v>
      </c>
      <c r="AF549" s="5" t="s">
        <v>4986</v>
      </c>
      <c r="AG549" s="5">
        <v>27</v>
      </c>
      <c r="AH549" s="5">
        <v>7</v>
      </c>
      <c r="AI549" s="5">
        <v>20</v>
      </c>
      <c r="AJ549" s="5">
        <v>64.290000000000006</v>
      </c>
      <c r="AK549" s="5">
        <v>47.62</v>
      </c>
      <c r="AL549" s="5" t="s">
        <v>12</v>
      </c>
      <c r="AM549" s="5" t="s">
        <v>12</v>
      </c>
      <c r="AN549" s="5" t="s">
        <v>12</v>
      </c>
      <c r="AO549" s="5" t="s">
        <v>11</v>
      </c>
      <c r="AP549" s="5" t="s">
        <v>11</v>
      </c>
      <c r="AQ549" s="5" t="s">
        <v>53</v>
      </c>
      <c r="AR549" s="5" t="s">
        <v>52</v>
      </c>
    </row>
    <row r="550" spans="1:44" ht="31.5" x14ac:dyDescent="0.25">
      <c r="A550" s="10">
        <v>46096</v>
      </c>
      <c r="B550" s="5" t="s">
        <v>557</v>
      </c>
      <c r="C550" s="5" t="s">
        <v>2115</v>
      </c>
      <c r="D550" s="5" t="s">
        <v>11</v>
      </c>
      <c r="E550" s="5" t="s">
        <v>8</v>
      </c>
      <c r="F550" s="5" t="s">
        <v>8</v>
      </c>
      <c r="G550" s="5" t="s">
        <v>4987</v>
      </c>
      <c r="H550" s="5" t="s">
        <v>4988</v>
      </c>
      <c r="I550" s="6" t="str">
        <f>HYPERLINK("http://maps.yandex.ru/?ll=47.248283,56.05897&amp;spn=0.011598,0.004531&amp;z=17&amp;l=map&amp;pt=47.248283,56.05897", "56.058975//47.248283")</f>
        <v>56.058975//47.248283</v>
      </c>
      <c r="J550" s="5" t="s">
        <v>46</v>
      </c>
      <c r="K550" s="6" t="str">
        <f>HYPERLINK("http://maps.yandex.ru/?ll=49.35854,55.8283&amp;spn=0.011598,0.004531&amp;z=17&amp;l=map&amp;pt=49.35854,55.8283", "55.82831//49.35854")</f>
        <v>55.82831//49.35854</v>
      </c>
      <c r="L550" s="5" t="s">
        <v>28</v>
      </c>
      <c r="M550" s="5" t="s">
        <v>1279</v>
      </c>
      <c r="N550" s="5" t="s">
        <v>4989</v>
      </c>
      <c r="O550" s="5" t="s">
        <v>13</v>
      </c>
      <c r="P550" s="5">
        <v>13</v>
      </c>
      <c r="Q550" s="5">
        <v>87</v>
      </c>
      <c r="R550" s="5">
        <v>0</v>
      </c>
      <c r="S550" s="5">
        <v>181.947</v>
      </c>
      <c r="T550" s="5" t="s">
        <v>1710</v>
      </c>
      <c r="U550" s="5" t="s">
        <v>4990</v>
      </c>
      <c r="V550" s="5" t="s">
        <v>4991</v>
      </c>
      <c r="W550" s="5">
        <v>7.58</v>
      </c>
      <c r="X550" s="5">
        <v>60.25</v>
      </c>
      <c r="Y550" s="5">
        <v>95</v>
      </c>
      <c r="Z550" s="5" t="s">
        <v>2008</v>
      </c>
      <c r="AA550" s="5" t="s">
        <v>2377</v>
      </c>
      <c r="AB550" s="5" t="s">
        <v>19</v>
      </c>
      <c r="AC550" s="5" t="s">
        <v>19</v>
      </c>
      <c r="AD550" s="5" t="s">
        <v>19</v>
      </c>
      <c r="AE550" s="5" t="s">
        <v>2578</v>
      </c>
      <c r="AF550" s="5" t="s">
        <v>1779</v>
      </c>
      <c r="AG550" s="5">
        <v>67</v>
      </c>
      <c r="AH550" s="5">
        <v>3</v>
      </c>
      <c r="AI550" s="5">
        <v>64</v>
      </c>
      <c r="AJ550" s="5">
        <v>36.409999999999997</v>
      </c>
      <c r="AK550" s="5">
        <v>34.78</v>
      </c>
      <c r="AL550" s="5" t="s">
        <v>12</v>
      </c>
      <c r="AM550" s="5" t="s">
        <v>12</v>
      </c>
      <c r="AN550" s="5" t="s">
        <v>12</v>
      </c>
      <c r="AO550" s="5" t="s">
        <v>11</v>
      </c>
      <c r="AP550" s="5" t="s">
        <v>11</v>
      </c>
      <c r="AQ550" s="5" t="s">
        <v>53</v>
      </c>
      <c r="AR550" s="5" t="s">
        <v>52</v>
      </c>
    </row>
    <row r="551" spans="1:44" ht="31.5" x14ac:dyDescent="0.25">
      <c r="A551" s="10">
        <v>46096</v>
      </c>
      <c r="B551" s="5" t="s">
        <v>556</v>
      </c>
      <c r="C551" s="5" t="s">
        <v>2117</v>
      </c>
      <c r="D551" s="5" t="s">
        <v>11</v>
      </c>
      <c r="E551" s="5" t="s">
        <v>1</v>
      </c>
      <c r="F551" s="5" t="s">
        <v>1</v>
      </c>
      <c r="G551" s="5" t="s">
        <v>4992</v>
      </c>
      <c r="H551" s="5" t="s">
        <v>4993</v>
      </c>
      <c r="I551" s="6" t="str">
        <f>HYPERLINK("http://maps.yandex.ru/?ll=57.8493,56.5608&amp;spn=0.011598,0.004531&amp;z=17&amp;l=map&amp;pt=57.8493,56.5608", "56.56082//57.8493")</f>
        <v>56.56082//57.8493</v>
      </c>
      <c r="J551" s="5" t="s">
        <v>77</v>
      </c>
      <c r="K551" s="6" t="str">
        <f>HYPERLINK("http://maps.yandex.ru/?ll=51.994484,54.04549&amp;spn=0.011598,0.004531&amp;z=17&amp;l=map&amp;pt=51.994484,54.04549", "54.045498//51.994484")</f>
        <v>54.045498//51.994484</v>
      </c>
      <c r="L551" s="5" t="s">
        <v>76</v>
      </c>
      <c r="M551" s="5" t="s">
        <v>3464</v>
      </c>
      <c r="N551" s="5" t="s">
        <v>4994</v>
      </c>
      <c r="O551" s="5" t="s">
        <v>13</v>
      </c>
      <c r="P551" s="5">
        <v>40</v>
      </c>
      <c r="Q551" s="5">
        <v>60</v>
      </c>
      <c r="R551" s="5">
        <v>0</v>
      </c>
      <c r="S551" s="5">
        <v>644.10199999999998</v>
      </c>
      <c r="T551" s="5" t="s">
        <v>1544</v>
      </c>
      <c r="U551" s="5" t="s">
        <v>4995</v>
      </c>
      <c r="V551" s="5" t="s">
        <v>4996</v>
      </c>
      <c r="W551" s="5">
        <v>26.84</v>
      </c>
      <c r="X551" s="5">
        <v>67.040000000000006</v>
      </c>
      <c r="Y551" s="5">
        <v>98</v>
      </c>
      <c r="Z551" s="5" t="s">
        <v>1738</v>
      </c>
      <c r="AA551" s="5" t="s">
        <v>4997</v>
      </c>
      <c r="AB551" s="5" t="s">
        <v>19</v>
      </c>
      <c r="AC551" s="5" t="s">
        <v>19</v>
      </c>
      <c r="AD551" s="5" t="s">
        <v>19</v>
      </c>
      <c r="AE551" s="5" t="s">
        <v>2321</v>
      </c>
      <c r="AF551" s="5" t="s">
        <v>4998</v>
      </c>
      <c r="AG551" s="5">
        <v>203</v>
      </c>
      <c r="AH551" s="5">
        <v>2</v>
      </c>
      <c r="AI551" s="5">
        <v>201</v>
      </c>
      <c r="AJ551" s="5">
        <v>31.38</v>
      </c>
      <c r="AK551" s="5">
        <v>31.07</v>
      </c>
      <c r="AL551" s="5" t="s">
        <v>12</v>
      </c>
      <c r="AM551" s="5" t="s">
        <v>12</v>
      </c>
      <c r="AN551" s="5" t="s">
        <v>12</v>
      </c>
      <c r="AO551" s="5" t="s">
        <v>11</v>
      </c>
      <c r="AP551" s="5" t="s">
        <v>11</v>
      </c>
      <c r="AQ551" s="5" t="s">
        <v>53</v>
      </c>
      <c r="AR551" s="5" t="s">
        <v>52</v>
      </c>
    </row>
    <row r="552" spans="1:44" ht="31.5" x14ac:dyDescent="0.25">
      <c r="A552" s="10">
        <v>46096</v>
      </c>
      <c r="B552" s="5" t="s">
        <v>555</v>
      </c>
      <c r="C552" s="5" t="s">
        <v>2118</v>
      </c>
      <c r="D552" s="5" t="s">
        <v>11</v>
      </c>
      <c r="E552" s="5" t="s">
        <v>4</v>
      </c>
      <c r="F552" s="5" t="s">
        <v>4</v>
      </c>
      <c r="G552" s="5" t="s">
        <v>4999</v>
      </c>
      <c r="H552" s="5" t="s">
        <v>5000</v>
      </c>
      <c r="I552" s="6" t="str">
        <f>HYPERLINK("http://maps.yandex.ru/?ll=82.67987,54.98720&amp;spn=0.011598,0.004531&amp;z=17&amp;l=map&amp;pt=82.67987,54.98720", "54.987206//82.67987")</f>
        <v>54.987206//82.67987</v>
      </c>
      <c r="J552" s="5" t="s">
        <v>39</v>
      </c>
      <c r="K552" s="6" t="str">
        <f>HYPERLINK("http://maps.yandex.ru/?ll=82.6799,54.9871&amp;spn=0.011598,0.004531&amp;z=17&amp;l=map&amp;pt=82.6799,54.9871", "54.98719//82.6799")</f>
        <v>54.98719//82.6799</v>
      </c>
      <c r="L552" s="5" t="s">
        <v>39</v>
      </c>
      <c r="M552" s="5" t="s">
        <v>181</v>
      </c>
      <c r="N552" s="5" t="s">
        <v>5001</v>
      </c>
      <c r="O552" s="5" t="s">
        <v>13</v>
      </c>
      <c r="P552" s="5">
        <v>2</v>
      </c>
      <c r="Q552" s="5">
        <v>98</v>
      </c>
      <c r="R552" s="5">
        <v>0</v>
      </c>
      <c r="S552" s="5">
        <v>3.3660000000000001</v>
      </c>
      <c r="T552" s="5" t="s">
        <v>1615</v>
      </c>
      <c r="U552" s="5" t="s">
        <v>2119</v>
      </c>
      <c r="V552" s="5" t="s">
        <v>5002</v>
      </c>
      <c r="W552" s="5">
        <v>0.14000000000000001</v>
      </c>
      <c r="X552" s="5">
        <v>6.36</v>
      </c>
      <c r="Y552" s="5">
        <v>56</v>
      </c>
      <c r="Z552" s="5" t="s">
        <v>1736</v>
      </c>
      <c r="AA552" s="5" t="s">
        <v>2151</v>
      </c>
      <c r="AB552" s="5" t="s">
        <v>19</v>
      </c>
      <c r="AC552" s="5" t="s">
        <v>19</v>
      </c>
      <c r="AD552" s="5" t="s">
        <v>19</v>
      </c>
      <c r="AE552" s="5" t="s">
        <v>2303</v>
      </c>
      <c r="AF552" s="5" t="s">
        <v>5003</v>
      </c>
      <c r="AG552" s="5">
        <v>7</v>
      </c>
      <c r="AH552" s="5">
        <v>3</v>
      </c>
      <c r="AI552" s="5">
        <v>4</v>
      </c>
      <c r="AJ552" s="5">
        <v>140</v>
      </c>
      <c r="AK552" s="5">
        <v>80</v>
      </c>
      <c r="AL552" s="5" t="s">
        <v>12</v>
      </c>
      <c r="AM552" s="5" t="s">
        <v>12</v>
      </c>
      <c r="AN552" s="5" t="s">
        <v>12</v>
      </c>
      <c r="AO552" s="5" t="s">
        <v>11</v>
      </c>
      <c r="AP552" s="5" t="s">
        <v>11</v>
      </c>
      <c r="AQ552" s="5" t="s">
        <v>53</v>
      </c>
      <c r="AR552" s="5" t="s">
        <v>52</v>
      </c>
    </row>
    <row r="553" spans="1:44" ht="31.5" x14ac:dyDescent="0.25">
      <c r="A553" s="10">
        <v>46096</v>
      </c>
      <c r="B553" s="5" t="s">
        <v>553</v>
      </c>
      <c r="C553" s="5" t="s">
        <v>2120</v>
      </c>
      <c r="D553" s="5" t="s">
        <v>11</v>
      </c>
      <c r="E553" s="5" t="s">
        <v>0</v>
      </c>
      <c r="F553" s="5" t="s">
        <v>0</v>
      </c>
      <c r="G553" s="5" t="s">
        <v>5004</v>
      </c>
      <c r="H553" s="5" t="s">
        <v>5005</v>
      </c>
      <c r="I553" s="6" t="str">
        <f>HYPERLINK("http://maps.yandex.ru/?ll=30.658363,59.6659&amp;spn=0.011598,0.004531&amp;z=17&amp;l=map&amp;pt=30.658363,59.6659", "59.66594//30.658363")</f>
        <v>59.66594//30.658363</v>
      </c>
      <c r="J553" s="5" t="s">
        <v>22</v>
      </c>
      <c r="K553" s="6" t="str">
        <f>HYPERLINK("http://maps.yandex.ru/?ll=32.099075,58.36598&amp;spn=0.011598,0.004531&amp;z=17&amp;l=map&amp;pt=32.099075,58.36598", "58.365986//32.099075")</f>
        <v>58.365986//32.099075</v>
      </c>
      <c r="L553" s="5" t="s">
        <v>148</v>
      </c>
      <c r="M553" s="5" t="s">
        <v>686</v>
      </c>
      <c r="N553" s="5" t="s">
        <v>5006</v>
      </c>
      <c r="O553" s="5" t="s">
        <v>13</v>
      </c>
      <c r="P553" s="5">
        <v>23</v>
      </c>
      <c r="Q553" s="5">
        <v>77</v>
      </c>
      <c r="R553" s="5">
        <v>0</v>
      </c>
      <c r="S553" s="5">
        <v>280.41399999999999</v>
      </c>
      <c r="T553" s="5" t="s">
        <v>12</v>
      </c>
      <c r="U553" s="5" t="s">
        <v>12</v>
      </c>
      <c r="V553" s="5" t="s">
        <v>12</v>
      </c>
      <c r="W553" s="5">
        <v>11.68</v>
      </c>
      <c r="X553" s="5">
        <v>51.91</v>
      </c>
      <c r="Y553" s="5">
        <v>88</v>
      </c>
      <c r="Z553" s="5" t="s">
        <v>1612</v>
      </c>
      <c r="AA553" s="5" t="s">
        <v>1707</v>
      </c>
      <c r="AB553" s="5" t="s">
        <v>1912</v>
      </c>
      <c r="AC553" s="5" t="s">
        <v>1673</v>
      </c>
      <c r="AD553" s="5" t="s">
        <v>19</v>
      </c>
      <c r="AE553" s="5" t="s">
        <v>1746</v>
      </c>
      <c r="AF553" s="5" t="s">
        <v>12</v>
      </c>
      <c r="AG553" s="5"/>
      <c r="AH553" s="5"/>
      <c r="AI553" s="5"/>
      <c r="AJ553" s="5"/>
      <c r="AK553" s="5"/>
      <c r="AL553" s="5" t="s">
        <v>5007</v>
      </c>
      <c r="AM553" s="5" t="s">
        <v>5008</v>
      </c>
      <c r="AN553" s="5" t="s">
        <v>1807</v>
      </c>
      <c r="AO553" s="5" t="s">
        <v>115</v>
      </c>
      <c r="AP553" s="5" t="s">
        <v>114</v>
      </c>
      <c r="AQ553" s="5" t="s">
        <v>99</v>
      </c>
      <c r="AR553" s="5" t="s">
        <v>98</v>
      </c>
    </row>
    <row r="554" spans="1:44" ht="31.5" x14ac:dyDescent="0.25">
      <c r="A554" s="10">
        <v>46096</v>
      </c>
      <c r="B554" s="5" t="s">
        <v>549</v>
      </c>
      <c r="C554" s="5" t="s">
        <v>2121</v>
      </c>
      <c r="D554" s="5" t="s">
        <v>11</v>
      </c>
      <c r="E554" s="5" t="s">
        <v>0</v>
      </c>
      <c r="F554" s="5" t="s">
        <v>0</v>
      </c>
      <c r="G554" s="5" t="s">
        <v>5009</v>
      </c>
      <c r="H554" s="5" t="s">
        <v>5010</v>
      </c>
      <c r="I554" s="6" t="str">
        <f>HYPERLINK("http://maps.yandex.ru/?ll=40.428867,51.88480&amp;spn=0.011598,0.004531&amp;z=17&amp;l=map&amp;pt=40.428867,51.88480", "51.884804//40.428867")</f>
        <v>51.884804//40.428867</v>
      </c>
      <c r="J554" s="5" t="s">
        <v>101</v>
      </c>
      <c r="K554" s="6" t="str">
        <f>HYPERLINK("http://maps.yandex.ru/?ll=37.41341,51.29228&amp;spn=0.011598,0.004531&amp;z=17&amp;l=map&amp;pt=37.41341,51.29228", "51.292282//37.41341")</f>
        <v>51.292282//37.41341</v>
      </c>
      <c r="L554" s="5" t="s">
        <v>934</v>
      </c>
      <c r="M554" s="5" t="s">
        <v>1229</v>
      </c>
      <c r="N554" s="5" t="s">
        <v>1386</v>
      </c>
      <c r="O554" s="5" t="s">
        <v>3872</v>
      </c>
      <c r="P554" s="5">
        <v>30</v>
      </c>
      <c r="Q554" s="5">
        <v>62</v>
      </c>
      <c r="R554" s="5">
        <v>7</v>
      </c>
      <c r="S554" s="5">
        <v>489.66199999999998</v>
      </c>
      <c r="T554" s="5" t="s">
        <v>2004</v>
      </c>
      <c r="U554" s="5" t="s">
        <v>5011</v>
      </c>
      <c r="V554" s="5" t="s">
        <v>5012</v>
      </c>
      <c r="W554" s="5">
        <v>20.399999999999999</v>
      </c>
      <c r="X554" s="5">
        <v>67.59</v>
      </c>
      <c r="Y554" s="5">
        <v>243</v>
      </c>
      <c r="Z554" s="5" t="s">
        <v>1570</v>
      </c>
      <c r="AA554" s="5" t="s">
        <v>2659</v>
      </c>
      <c r="AB554" s="5" t="s">
        <v>19</v>
      </c>
      <c r="AC554" s="5" t="s">
        <v>19</v>
      </c>
      <c r="AD554" s="5" t="s">
        <v>19</v>
      </c>
      <c r="AE554" s="5" t="s">
        <v>2015</v>
      </c>
      <c r="AF554" s="5" t="s">
        <v>3019</v>
      </c>
      <c r="AG554" s="5">
        <v>164</v>
      </c>
      <c r="AH554" s="5">
        <v>2</v>
      </c>
      <c r="AI554" s="5">
        <v>162</v>
      </c>
      <c r="AJ554" s="5">
        <v>26.97</v>
      </c>
      <c r="AK554" s="5">
        <v>26.64</v>
      </c>
      <c r="AL554" s="5" t="s">
        <v>12</v>
      </c>
      <c r="AM554" s="5" t="s">
        <v>12</v>
      </c>
      <c r="AN554" s="5" t="s">
        <v>12</v>
      </c>
      <c r="AO554" s="5" t="s">
        <v>11</v>
      </c>
      <c r="AP554" s="5" t="s">
        <v>11</v>
      </c>
      <c r="AQ554" s="5" t="s">
        <v>53</v>
      </c>
      <c r="AR554" s="5" t="s">
        <v>52</v>
      </c>
    </row>
    <row r="555" spans="1:44" ht="31.5" x14ac:dyDescent="0.25">
      <c r="A555" s="10">
        <v>46096</v>
      </c>
      <c r="B555" s="5" t="s">
        <v>547</v>
      </c>
      <c r="C555" s="5" t="s">
        <v>2123</v>
      </c>
      <c r="D555" s="5" t="s">
        <v>11</v>
      </c>
      <c r="E555" s="5" t="s">
        <v>5</v>
      </c>
      <c r="F555" s="5" t="s">
        <v>5</v>
      </c>
      <c r="G555" s="5" t="s">
        <v>5013</v>
      </c>
      <c r="H555" s="5" t="s">
        <v>5014</v>
      </c>
      <c r="I555" s="6" t="str">
        <f>HYPERLINK("http://maps.yandex.ru/?ll=78.38696,55.31514&amp;spn=0.011598,0.004531&amp;z=17&amp;l=map&amp;pt=78.38696,55.31514", "55.315144//78.38696")</f>
        <v>55.315144//78.38696</v>
      </c>
      <c r="J555" s="5" t="s">
        <v>39</v>
      </c>
      <c r="K555" s="6" t="str">
        <f>HYPERLINK("http://maps.yandex.ru/?ll=70.12228,56.20799&amp;spn=0.011598,0.004531&amp;z=17&amp;l=map&amp;pt=70.12228,56.20799", "56.207996//70.12228")</f>
        <v>56.207996//70.12228</v>
      </c>
      <c r="L555" s="5" t="s">
        <v>503</v>
      </c>
      <c r="M555" s="5" t="s">
        <v>1394</v>
      </c>
      <c r="N555" s="5" t="s">
        <v>1503</v>
      </c>
      <c r="O555" s="5" t="s">
        <v>13</v>
      </c>
      <c r="P555" s="5">
        <v>38</v>
      </c>
      <c r="Q555" s="5">
        <v>62</v>
      </c>
      <c r="R555" s="5">
        <v>0</v>
      </c>
      <c r="S555" s="5">
        <v>653.55399999999997</v>
      </c>
      <c r="T555" s="5" t="s">
        <v>2139</v>
      </c>
      <c r="U555" s="5" t="s">
        <v>5015</v>
      </c>
      <c r="V555" s="5" t="s">
        <v>5016</v>
      </c>
      <c r="W555" s="5">
        <v>27.23</v>
      </c>
      <c r="X555" s="5">
        <v>72.2</v>
      </c>
      <c r="Y555" s="5">
        <v>104</v>
      </c>
      <c r="Z555" s="5" t="s">
        <v>12</v>
      </c>
      <c r="AA555" s="5" t="s">
        <v>12</v>
      </c>
      <c r="AB555" s="5" t="s">
        <v>19</v>
      </c>
      <c r="AC555" s="5" t="s">
        <v>19</v>
      </c>
      <c r="AD555" s="5" t="s">
        <v>19</v>
      </c>
      <c r="AE555" s="5" t="s">
        <v>12</v>
      </c>
      <c r="AF555" s="5" t="s">
        <v>12</v>
      </c>
      <c r="AG555" s="5">
        <v>190</v>
      </c>
      <c r="AH555" s="5">
        <v>2</v>
      </c>
      <c r="AI555" s="5">
        <v>188</v>
      </c>
      <c r="AJ555" s="5">
        <v>28.57</v>
      </c>
      <c r="AK555" s="5">
        <v>28.27</v>
      </c>
      <c r="AL555" s="5" t="s">
        <v>12</v>
      </c>
      <c r="AM555" s="5" t="s">
        <v>12</v>
      </c>
      <c r="AN555" s="5" t="s">
        <v>12</v>
      </c>
      <c r="AO555" s="5" t="s">
        <v>11</v>
      </c>
      <c r="AP555" s="5" t="s">
        <v>11</v>
      </c>
      <c r="AQ555" s="5" t="s">
        <v>53</v>
      </c>
      <c r="AR555" s="5" t="s">
        <v>52</v>
      </c>
    </row>
    <row r="556" spans="1:44" ht="31.5" x14ac:dyDescent="0.25">
      <c r="A556" s="10">
        <v>46096</v>
      </c>
      <c r="B556" s="5" t="s">
        <v>546</v>
      </c>
      <c r="C556" s="5" t="s">
        <v>2124</v>
      </c>
      <c r="D556" s="5" t="s">
        <v>11</v>
      </c>
      <c r="E556" s="5" t="s">
        <v>6</v>
      </c>
      <c r="F556" s="5" t="s">
        <v>6</v>
      </c>
      <c r="G556" s="5" t="s">
        <v>5017</v>
      </c>
      <c r="H556" s="5" t="s">
        <v>5018</v>
      </c>
      <c r="I556" s="6" t="str">
        <f>HYPERLINK("http://maps.yandex.ru/?ll=32.5545,58.24520&amp;spn=0.011598,0.004531&amp;z=17&amp;l=map&amp;pt=32.5545,58.24520", "58.245205//32.5545")</f>
        <v>58.245205//32.5545</v>
      </c>
      <c r="J556" s="5" t="s">
        <v>148</v>
      </c>
      <c r="K556" s="6" t="str">
        <f>HYPERLINK("http://maps.yandex.ru/?ll=30.66028,59.66604&amp;spn=0.011598,0.004531&amp;z=17&amp;l=map&amp;pt=30.66028,59.66604", "59.666046//30.66028")</f>
        <v>59.666046//30.66028</v>
      </c>
      <c r="L556" s="5" t="s">
        <v>22</v>
      </c>
      <c r="M556" s="5" t="s">
        <v>4546</v>
      </c>
      <c r="N556" s="5" t="s">
        <v>779</v>
      </c>
      <c r="O556" s="5" t="s">
        <v>1342</v>
      </c>
      <c r="P556" s="5">
        <v>33</v>
      </c>
      <c r="Q556" s="5">
        <v>58</v>
      </c>
      <c r="R556" s="5">
        <v>9</v>
      </c>
      <c r="S556" s="5">
        <v>346.79300000000001</v>
      </c>
      <c r="T556" s="5" t="s">
        <v>1609</v>
      </c>
      <c r="U556" s="5" t="s">
        <v>5019</v>
      </c>
      <c r="V556" s="5" t="s">
        <v>5020</v>
      </c>
      <c r="W556" s="5">
        <v>14.45</v>
      </c>
      <c r="X556" s="5">
        <v>44.01</v>
      </c>
      <c r="Y556" s="5">
        <v>104</v>
      </c>
      <c r="Z556" s="5" t="s">
        <v>2125</v>
      </c>
      <c r="AA556" s="5" t="s">
        <v>1958</v>
      </c>
      <c r="AB556" s="5" t="s">
        <v>19</v>
      </c>
      <c r="AC556" s="5" t="s">
        <v>19</v>
      </c>
      <c r="AD556" s="5" t="s">
        <v>19</v>
      </c>
      <c r="AE556" s="5" t="s">
        <v>2505</v>
      </c>
      <c r="AF556" s="5" t="s">
        <v>5021</v>
      </c>
      <c r="AG556" s="5">
        <v>60</v>
      </c>
      <c r="AH556" s="5">
        <v>2</v>
      </c>
      <c r="AI556" s="5">
        <v>58</v>
      </c>
      <c r="AJ556" s="5">
        <v>25.42</v>
      </c>
      <c r="AK556" s="5">
        <v>24.58</v>
      </c>
      <c r="AL556" s="5" t="s">
        <v>12</v>
      </c>
      <c r="AM556" s="5" t="s">
        <v>12</v>
      </c>
      <c r="AN556" s="5" t="s">
        <v>12</v>
      </c>
      <c r="AO556" s="5" t="s">
        <v>11</v>
      </c>
      <c r="AP556" s="5" t="s">
        <v>11</v>
      </c>
      <c r="AQ556" s="5" t="s">
        <v>53</v>
      </c>
      <c r="AR556" s="5" t="s">
        <v>52</v>
      </c>
    </row>
    <row r="557" spans="1:44" ht="31.5" x14ac:dyDescent="0.25">
      <c r="A557" s="10">
        <v>46096</v>
      </c>
      <c r="B557" s="5" t="s">
        <v>544</v>
      </c>
      <c r="C557" s="5" t="s">
        <v>2126</v>
      </c>
      <c r="D557" s="5" t="s">
        <v>11</v>
      </c>
      <c r="E557" s="5" t="s">
        <v>5</v>
      </c>
      <c r="F557" s="5" t="s">
        <v>5</v>
      </c>
      <c r="G557" s="5" t="s">
        <v>5022</v>
      </c>
      <c r="H557" s="5" t="s">
        <v>5023</v>
      </c>
      <c r="I557" s="6" t="str">
        <f>HYPERLINK("http://maps.yandex.ru/?ll=54.55306,57.70327&amp;spn=0.011598,0.004531&amp;z=17&amp;l=map&amp;pt=54.55306,57.70327", "57.703274//54.55306")</f>
        <v>57.703274//54.55306</v>
      </c>
      <c r="J557" s="5" t="s">
        <v>509</v>
      </c>
      <c r="K557" s="6" t="str">
        <f>HYPERLINK("http://maps.yandex.ru/?ll=59.955795,56.82681&amp;spn=0.011598,0.004531&amp;z=17&amp;l=map&amp;pt=59.955795,56.82681", "56.826813//59.955795")</f>
        <v>56.826813//59.955795</v>
      </c>
      <c r="L557" s="5" t="s">
        <v>77</v>
      </c>
      <c r="M557" s="5" t="s">
        <v>1034</v>
      </c>
      <c r="N557" s="5" t="s">
        <v>1419</v>
      </c>
      <c r="O557" s="5" t="s">
        <v>13</v>
      </c>
      <c r="P557" s="5">
        <v>24</v>
      </c>
      <c r="Q557" s="5">
        <v>76</v>
      </c>
      <c r="R557" s="5">
        <v>0</v>
      </c>
      <c r="S557" s="5">
        <v>443.34399999999999</v>
      </c>
      <c r="T557" s="5" t="s">
        <v>1681</v>
      </c>
      <c r="U557" s="5" t="s">
        <v>5024</v>
      </c>
      <c r="V557" s="5" t="s">
        <v>5025</v>
      </c>
      <c r="W557" s="5">
        <v>18.47</v>
      </c>
      <c r="X557" s="5">
        <v>75.489999999999995</v>
      </c>
      <c r="Y557" s="5">
        <v>100</v>
      </c>
      <c r="Z557" s="5" t="s">
        <v>2129</v>
      </c>
      <c r="AA557" s="5" t="s">
        <v>3125</v>
      </c>
      <c r="AB557" s="5" t="s">
        <v>1513</v>
      </c>
      <c r="AC557" s="5" t="s">
        <v>1673</v>
      </c>
      <c r="AD557" s="5" t="s">
        <v>19</v>
      </c>
      <c r="AE557" s="5" t="s">
        <v>1540</v>
      </c>
      <c r="AF557" s="5" t="s">
        <v>2459</v>
      </c>
      <c r="AG557" s="5">
        <v>147</v>
      </c>
      <c r="AH557" s="5">
        <v>2</v>
      </c>
      <c r="AI557" s="5">
        <v>145</v>
      </c>
      <c r="AJ557" s="5">
        <v>32.67</v>
      </c>
      <c r="AK557" s="5">
        <v>32.22</v>
      </c>
      <c r="AL557" s="5" t="s">
        <v>12</v>
      </c>
      <c r="AM557" s="5" t="s">
        <v>12</v>
      </c>
      <c r="AN557" s="5" t="s">
        <v>12</v>
      </c>
      <c r="AO557" s="5" t="s">
        <v>11</v>
      </c>
      <c r="AP557" s="5" t="s">
        <v>11</v>
      </c>
      <c r="AQ557" s="5" t="s">
        <v>53</v>
      </c>
      <c r="AR557" s="5" t="s">
        <v>52</v>
      </c>
    </row>
    <row r="558" spans="1:44" ht="31.5" x14ac:dyDescent="0.25">
      <c r="A558" s="10">
        <v>46096</v>
      </c>
      <c r="B558" s="5" t="s">
        <v>542</v>
      </c>
      <c r="C558" s="5" t="s">
        <v>2131</v>
      </c>
      <c r="D558" s="5" t="s">
        <v>11</v>
      </c>
      <c r="E558" s="5" t="s">
        <v>8</v>
      </c>
      <c r="F558" s="5" t="s">
        <v>8</v>
      </c>
      <c r="G558" s="5" t="s">
        <v>3103</v>
      </c>
      <c r="H558" s="5" t="s">
        <v>5026</v>
      </c>
      <c r="I558" s="6" t="str">
        <f>HYPERLINK("http://maps.yandex.ru/?ll=38.162132,44.64584&amp;spn=0.011598,0.004531&amp;z=17&amp;l=map&amp;pt=38.162132,44.64584", "44.645847//38.162132")</f>
        <v>44.645847//38.162132</v>
      </c>
      <c r="J558" s="5" t="s">
        <v>88</v>
      </c>
      <c r="K558" s="6" t="str">
        <f>HYPERLINK("http://maps.yandex.ru/?ll=39.816475,47.03076&amp;spn=0.011598,0.004531&amp;z=17&amp;l=map&amp;pt=39.816475,47.03076", "47.030766//39.816475")</f>
        <v>47.030766//39.816475</v>
      </c>
      <c r="L558" s="5" t="s">
        <v>64</v>
      </c>
      <c r="M558" s="5" t="s">
        <v>492</v>
      </c>
      <c r="N558" s="5" t="s">
        <v>724</v>
      </c>
      <c r="O558" s="5" t="s">
        <v>810</v>
      </c>
      <c r="P558" s="5">
        <v>39</v>
      </c>
      <c r="Q558" s="5">
        <v>32</v>
      </c>
      <c r="R558" s="5">
        <v>29</v>
      </c>
      <c r="S558" s="5">
        <v>896.25800000000004</v>
      </c>
      <c r="T558" s="5" t="s">
        <v>4926</v>
      </c>
      <c r="U558" s="5" t="s">
        <v>5027</v>
      </c>
      <c r="V558" s="5" t="s">
        <v>5028</v>
      </c>
      <c r="W558" s="5">
        <v>37.340000000000003</v>
      </c>
      <c r="X558" s="5">
        <v>95.53</v>
      </c>
      <c r="Y558" s="5">
        <v>215</v>
      </c>
      <c r="Z558" s="5" t="s">
        <v>2132</v>
      </c>
      <c r="AA558" s="5" t="s">
        <v>1517</v>
      </c>
      <c r="AB558" s="5" t="s">
        <v>19</v>
      </c>
      <c r="AC558" s="5" t="s">
        <v>19</v>
      </c>
      <c r="AD558" s="5" t="s">
        <v>19</v>
      </c>
      <c r="AE558" s="5" t="s">
        <v>2315</v>
      </c>
      <c r="AF558" s="5" t="s">
        <v>5029</v>
      </c>
      <c r="AG558" s="5">
        <v>140</v>
      </c>
      <c r="AH558" s="5">
        <v>0</v>
      </c>
      <c r="AI558" s="5">
        <v>140</v>
      </c>
      <c r="AJ558" s="5">
        <v>31.32</v>
      </c>
      <c r="AK558" s="5">
        <v>31.32</v>
      </c>
      <c r="AL558" s="5" t="s">
        <v>12</v>
      </c>
      <c r="AM558" s="5" t="s">
        <v>12</v>
      </c>
      <c r="AN558" s="5" t="s">
        <v>12</v>
      </c>
      <c r="AO558" s="5" t="s">
        <v>11</v>
      </c>
      <c r="AP558" s="5" t="s">
        <v>11</v>
      </c>
      <c r="AQ558" s="5" t="s">
        <v>53</v>
      </c>
      <c r="AR558" s="5" t="s">
        <v>52</v>
      </c>
    </row>
    <row r="559" spans="1:44" ht="31.5" x14ac:dyDescent="0.25">
      <c r="A559" s="10">
        <v>46096</v>
      </c>
      <c r="B559" s="5" t="s">
        <v>540</v>
      </c>
      <c r="C559" s="5" t="s">
        <v>2134</v>
      </c>
      <c r="D559" s="5" t="s">
        <v>11</v>
      </c>
      <c r="E559" s="5" t="s">
        <v>6</v>
      </c>
      <c r="F559" s="5" t="s">
        <v>6</v>
      </c>
      <c r="G559" s="5" t="s">
        <v>5030</v>
      </c>
      <c r="H559" s="5" t="s">
        <v>5031</v>
      </c>
      <c r="I559" s="6" t="str">
        <f>HYPERLINK("http://maps.yandex.ru/?ll=43.45792,56.2980&amp;spn=0.011598,0.004531&amp;z=17&amp;l=map&amp;pt=43.45792,56.2980", "56.29806//43.45792")</f>
        <v>56.29806//43.45792</v>
      </c>
      <c r="J559" s="5" t="s">
        <v>15</v>
      </c>
      <c r="K559" s="6" t="str">
        <f>HYPERLINK("http://maps.yandex.ru/?ll=38.248096,55.8355&amp;spn=0.011598,0.004531&amp;z=17&amp;l=map&amp;pt=38.248096,55.8355", "55.83558//38.248096")</f>
        <v>55.83558//38.248096</v>
      </c>
      <c r="L559" s="5" t="s">
        <v>56</v>
      </c>
      <c r="M559" s="5" t="s">
        <v>1034</v>
      </c>
      <c r="N559" s="5" t="s">
        <v>1419</v>
      </c>
      <c r="O559" s="5" t="s">
        <v>13</v>
      </c>
      <c r="P559" s="5">
        <v>25</v>
      </c>
      <c r="Q559" s="5">
        <v>75</v>
      </c>
      <c r="R559" s="5">
        <v>0</v>
      </c>
      <c r="S559" s="5">
        <v>360.71800000000002</v>
      </c>
      <c r="T559" s="5" t="s">
        <v>1825</v>
      </c>
      <c r="U559" s="5" t="s">
        <v>5032</v>
      </c>
      <c r="V559" s="5" t="s">
        <v>5033</v>
      </c>
      <c r="W559" s="5">
        <v>15.03</v>
      </c>
      <c r="X559" s="5">
        <v>61.35</v>
      </c>
      <c r="Y559" s="5">
        <v>99</v>
      </c>
      <c r="Z559" s="5" t="s">
        <v>2075</v>
      </c>
      <c r="AA559" s="5" t="s">
        <v>4464</v>
      </c>
      <c r="AB559" s="5" t="s">
        <v>5034</v>
      </c>
      <c r="AC559" s="5" t="s">
        <v>1673</v>
      </c>
      <c r="AD559" s="5" t="s">
        <v>19</v>
      </c>
      <c r="AE559" s="5" t="s">
        <v>2190</v>
      </c>
      <c r="AF559" s="5" t="s">
        <v>5035</v>
      </c>
      <c r="AG559" s="5">
        <v>115</v>
      </c>
      <c r="AH559" s="5">
        <v>1</v>
      </c>
      <c r="AI559" s="5">
        <v>114</v>
      </c>
      <c r="AJ559" s="5">
        <v>31.25</v>
      </c>
      <c r="AK559" s="5">
        <v>30.98</v>
      </c>
      <c r="AL559" s="5" t="s">
        <v>12</v>
      </c>
      <c r="AM559" s="5" t="s">
        <v>12</v>
      </c>
      <c r="AN559" s="5" t="s">
        <v>12</v>
      </c>
      <c r="AO559" s="5" t="s">
        <v>11</v>
      </c>
      <c r="AP559" s="5" t="s">
        <v>11</v>
      </c>
      <c r="AQ559" s="5" t="s">
        <v>53</v>
      </c>
      <c r="AR559" s="5" t="s">
        <v>52</v>
      </c>
    </row>
    <row r="560" spans="1:44" ht="31.5" x14ac:dyDescent="0.25">
      <c r="A560" s="10">
        <v>46096</v>
      </c>
      <c r="B560" s="5" t="s">
        <v>538</v>
      </c>
      <c r="C560" s="5" t="s">
        <v>2137</v>
      </c>
      <c r="D560" s="5" t="s">
        <v>11</v>
      </c>
      <c r="E560" s="5" t="s">
        <v>6</v>
      </c>
      <c r="F560" s="5" t="s">
        <v>6</v>
      </c>
      <c r="G560" s="5" t="s">
        <v>5036</v>
      </c>
      <c r="H560" s="5" t="s">
        <v>5037</v>
      </c>
      <c r="I560" s="6" t="str">
        <f>HYPERLINK("http://maps.yandex.ru/?ll=59.168453,55.0643&amp;spn=0.011598,0.004531&amp;z=17&amp;l=map&amp;pt=59.168453,55.0643", "55.06439//59.168453")</f>
        <v>55.06439//59.168453</v>
      </c>
      <c r="J560" s="5" t="s">
        <v>227</v>
      </c>
      <c r="K560" s="6" t="str">
        <f>HYPERLINK("http://maps.yandex.ru/?ll=61.31678,55.24754&amp;spn=0.011598,0.004531&amp;z=17&amp;l=map&amp;pt=61.31678,55.24754", "55.247543//61.31678")</f>
        <v>55.247543//61.31678</v>
      </c>
      <c r="L560" s="5" t="s">
        <v>227</v>
      </c>
      <c r="M560" s="5" t="s">
        <v>1414</v>
      </c>
      <c r="N560" s="5" t="s">
        <v>161</v>
      </c>
      <c r="O560" s="5" t="s">
        <v>4529</v>
      </c>
      <c r="P560" s="5">
        <v>37</v>
      </c>
      <c r="Q560" s="5">
        <v>36</v>
      </c>
      <c r="R560" s="5">
        <v>27</v>
      </c>
      <c r="S560" s="5">
        <v>411.346</v>
      </c>
      <c r="T560" s="5" t="s">
        <v>2377</v>
      </c>
      <c r="U560" s="5" t="s">
        <v>5038</v>
      </c>
      <c r="V560" s="5" t="s">
        <v>5039</v>
      </c>
      <c r="W560" s="5">
        <v>17.14</v>
      </c>
      <c r="X560" s="5">
        <v>45.86</v>
      </c>
      <c r="Y560" s="5">
        <v>160</v>
      </c>
      <c r="Z560" s="5" t="s">
        <v>276</v>
      </c>
      <c r="AA560" s="5" t="s">
        <v>5040</v>
      </c>
      <c r="AB560" s="5" t="s">
        <v>2712</v>
      </c>
      <c r="AC560" s="5" t="s">
        <v>1673</v>
      </c>
      <c r="AD560" s="5" t="s">
        <v>19</v>
      </c>
      <c r="AE560" s="5" t="s">
        <v>1715</v>
      </c>
      <c r="AF560" s="5" t="s">
        <v>5041</v>
      </c>
      <c r="AG560" s="5">
        <v>77</v>
      </c>
      <c r="AH560" s="5">
        <v>2</v>
      </c>
      <c r="AI560" s="5">
        <v>75</v>
      </c>
      <c r="AJ560" s="5">
        <v>35</v>
      </c>
      <c r="AK560" s="5">
        <v>34.090000000000003</v>
      </c>
      <c r="AL560" s="5" t="s">
        <v>12</v>
      </c>
      <c r="AM560" s="5" t="s">
        <v>12</v>
      </c>
      <c r="AN560" s="5" t="s">
        <v>12</v>
      </c>
      <c r="AO560" s="5" t="s">
        <v>11</v>
      </c>
      <c r="AP560" s="5" t="s">
        <v>11</v>
      </c>
      <c r="AQ560" s="5" t="s">
        <v>53</v>
      </c>
      <c r="AR560" s="5" t="s">
        <v>52</v>
      </c>
    </row>
    <row r="561" spans="1:44" ht="31.5" x14ac:dyDescent="0.25">
      <c r="A561" s="10">
        <v>46096</v>
      </c>
      <c r="B561" s="5" t="s">
        <v>536</v>
      </c>
      <c r="C561" s="5" t="s">
        <v>2140</v>
      </c>
      <c r="D561" s="5" t="s">
        <v>11</v>
      </c>
      <c r="E561" s="5" t="s">
        <v>5</v>
      </c>
      <c r="F561" s="5" t="s">
        <v>5</v>
      </c>
      <c r="G561" s="5" t="s">
        <v>5042</v>
      </c>
      <c r="H561" s="5" t="s">
        <v>5043</v>
      </c>
      <c r="I561" s="6" t="str">
        <f>HYPERLINK("http://maps.yandex.ru/?ll=48.598434,54.35608&amp;spn=0.011598,0.004531&amp;z=17&amp;l=map&amp;pt=48.598434,54.35608", "54.356087//48.598434")</f>
        <v>54.356087//48.598434</v>
      </c>
      <c r="J561" s="5" t="s">
        <v>61</v>
      </c>
      <c r="K561" s="6" t="str">
        <f>HYPERLINK("http://maps.yandex.ru/?ll=46.01192,51.70498&amp;spn=0.011598,0.004531&amp;z=17&amp;l=map&amp;pt=46.01192,51.70498", "51.704987//46.01192")</f>
        <v>51.704987//46.01192</v>
      </c>
      <c r="L561" s="5" t="s">
        <v>213</v>
      </c>
      <c r="M561" s="5" t="s">
        <v>4160</v>
      </c>
      <c r="N561" s="5" t="s">
        <v>658</v>
      </c>
      <c r="O561" s="5" t="s">
        <v>4268</v>
      </c>
      <c r="P561" s="5">
        <v>26</v>
      </c>
      <c r="Q561" s="5">
        <v>36</v>
      </c>
      <c r="R561" s="5">
        <v>39</v>
      </c>
      <c r="S561" s="5">
        <v>463.86200000000002</v>
      </c>
      <c r="T561" s="5" t="s">
        <v>2557</v>
      </c>
      <c r="U561" s="5" t="s">
        <v>2141</v>
      </c>
      <c r="V561" s="5" t="s">
        <v>5044</v>
      </c>
      <c r="W561" s="5">
        <v>19.329999999999998</v>
      </c>
      <c r="X561" s="5">
        <v>75.209999999999994</v>
      </c>
      <c r="Y561" s="5">
        <v>173</v>
      </c>
      <c r="Z561" s="5" t="s">
        <v>2143</v>
      </c>
      <c r="AA561" s="5" t="s">
        <v>2279</v>
      </c>
      <c r="AB561" s="5" t="s">
        <v>19</v>
      </c>
      <c r="AC561" s="5" t="s">
        <v>19</v>
      </c>
      <c r="AD561" s="5" t="s">
        <v>19</v>
      </c>
      <c r="AE561" s="5" t="s">
        <v>1516</v>
      </c>
      <c r="AF561" s="5" t="s">
        <v>5045</v>
      </c>
      <c r="AG561" s="5">
        <v>149</v>
      </c>
      <c r="AH561" s="5">
        <v>1</v>
      </c>
      <c r="AI561" s="5">
        <v>148</v>
      </c>
      <c r="AJ561" s="5">
        <v>31.17</v>
      </c>
      <c r="AK561" s="5">
        <v>30.96</v>
      </c>
      <c r="AL561" s="5" t="s">
        <v>12</v>
      </c>
      <c r="AM561" s="5" t="s">
        <v>12</v>
      </c>
      <c r="AN561" s="5" t="s">
        <v>12</v>
      </c>
      <c r="AO561" s="5" t="s">
        <v>11</v>
      </c>
      <c r="AP561" s="5" t="s">
        <v>11</v>
      </c>
      <c r="AQ561" s="5" t="s">
        <v>123</v>
      </c>
      <c r="AR561" s="5" t="s">
        <v>122</v>
      </c>
    </row>
    <row r="562" spans="1:44" ht="31.5" x14ac:dyDescent="0.25">
      <c r="A562" s="10">
        <v>46096</v>
      </c>
      <c r="B562" s="5" t="s">
        <v>535</v>
      </c>
      <c r="C562" s="5" t="s">
        <v>2144</v>
      </c>
      <c r="D562" s="5" t="s">
        <v>11</v>
      </c>
      <c r="E562" s="5" t="s">
        <v>6</v>
      </c>
      <c r="F562" s="5" t="s">
        <v>6</v>
      </c>
      <c r="G562" s="5" t="s">
        <v>5046</v>
      </c>
      <c r="H562" s="5" t="s">
        <v>3468</v>
      </c>
      <c r="I562" s="6" t="str">
        <f>HYPERLINK("http://maps.yandex.ru/?ll=30.460913,59.77302&amp;spn=0.011598,0.004531&amp;z=17&amp;l=map&amp;pt=30.460913,59.77302", "59.773026//30.460913")</f>
        <v>59.773026//30.460913</v>
      </c>
      <c r="J562" s="5" t="s">
        <v>23</v>
      </c>
      <c r="K562" s="6" t="str">
        <f>HYPERLINK("http://maps.yandex.ru/?ll=30.21964,59.8694&amp;spn=0.011598,0.004531&amp;z=17&amp;l=map&amp;pt=30.21964,59.8694", "59.86948//30.21964")</f>
        <v>59.86948//30.21964</v>
      </c>
      <c r="L562" s="5" t="s">
        <v>23</v>
      </c>
      <c r="M562" s="5" t="s">
        <v>1319</v>
      </c>
      <c r="N562" s="5" t="s">
        <v>1491</v>
      </c>
      <c r="O562" s="5" t="s">
        <v>13</v>
      </c>
      <c r="P562" s="5">
        <v>6</v>
      </c>
      <c r="Q562" s="5">
        <v>94</v>
      </c>
      <c r="R562" s="5">
        <v>0</v>
      </c>
      <c r="S562" s="5">
        <v>33.015999999999998</v>
      </c>
      <c r="T562" s="5" t="s">
        <v>2308</v>
      </c>
      <c r="U562" s="5" t="s">
        <v>2146</v>
      </c>
      <c r="V562" s="5" t="s">
        <v>5047</v>
      </c>
      <c r="W562" s="5">
        <v>1.38</v>
      </c>
      <c r="X562" s="5">
        <v>24.66</v>
      </c>
      <c r="Y562" s="5">
        <v>78</v>
      </c>
      <c r="Z562" s="5" t="s">
        <v>826</v>
      </c>
      <c r="AA562" s="5" t="s">
        <v>5048</v>
      </c>
      <c r="AB562" s="5" t="s">
        <v>19</v>
      </c>
      <c r="AC562" s="5" t="s">
        <v>19</v>
      </c>
      <c r="AD562" s="5" t="s">
        <v>19</v>
      </c>
      <c r="AE562" s="5" t="s">
        <v>1886</v>
      </c>
      <c r="AF562" s="5" t="s">
        <v>5049</v>
      </c>
      <c r="AG562" s="5">
        <v>15</v>
      </c>
      <c r="AH562" s="5">
        <v>4</v>
      </c>
      <c r="AI562" s="5">
        <v>11</v>
      </c>
      <c r="AJ562" s="5">
        <v>45.45</v>
      </c>
      <c r="AK562" s="5">
        <v>33.33</v>
      </c>
      <c r="AL562" s="5" t="s">
        <v>12</v>
      </c>
      <c r="AM562" s="5" t="s">
        <v>12</v>
      </c>
      <c r="AN562" s="5" t="s">
        <v>12</v>
      </c>
      <c r="AO562" s="5" t="s">
        <v>11</v>
      </c>
      <c r="AP562" s="5" t="s">
        <v>11</v>
      </c>
      <c r="AQ562" s="5" t="s">
        <v>123</v>
      </c>
      <c r="AR562" s="5" t="s">
        <v>122</v>
      </c>
    </row>
    <row r="563" spans="1:44" ht="31.5" x14ac:dyDescent="0.25">
      <c r="A563" s="10">
        <v>46096</v>
      </c>
      <c r="B563" s="5" t="s">
        <v>598</v>
      </c>
      <c r="C563" s="5" t="s">
        <v>2147</v>
      </c>
      <c r="D563" s="5" t="s">
        <v>11</v>
      </c>
      <c r="E563" s="5" t="s">
        <v>6</v>
      </c>
      <c r="F563" s="5" t="s">
        <v>6</v>
      </c>
      <c r="G563" s="5" t="s">
        <v>5050</v>
      </c>
      <c r="H563" s="5" t="s">
        <v>5051</v>
      </c>
      <c r="I563" s="6" t="str">
        <f>HYPERLINK("http://maps.yandex.ru/?ll=41.951454,44.6436&amp;spn=0.011598,0.004531&amp;z=17&amp;l=map&amp;pt=41.951454,44.6436", "44.64361//41.951454")</f>
        <v>44.64361//41.951454</v>
      </c>
      <c r="J563" s="5" t="s">
        <v>208</v>
      </c>
      <c r="K563" s="6" t="str">
        <f>HYPERLINK("http://maps.yandex.ru/?ll=43.7032,43.5627&amp;spn=0.011598,0.004531&amp;z=17&amp;l=map&amp;pt=43.7032,43.5627", "43.56274//43.7032")</f>
        <v>43.56274//43.7032</v>
      </c>
      <c r="L563" s="5" t="s">
        <v>893</v>
      </c>
      <c r="M563" s="5" t="s">
        <v>534</v>
      </c>
      <c r="N563" s="5" t="s">
        <v>3224</v>
      </c>
      <c r="O563" s="5" t="s">
        <v>1412</v>
      </c>
      <c r="P563" s="5">
        <v>12</v>
      </c>
      <c r="Q563" s="5">
        <v>47</v>
      </c>
      <c r="R563" s="5">
        <v>41</v>
      </c>
      <c r="S563" s="5">
        <v>213.66200000000001</v>
      </c>
      <c r="T563" s="5" t="s">
        <v>2051</v>
      </c>
      <c r="U563" s="5" t="s">
        <v>5052</v>
      </c>
      <c r="V563" s="5" t="s">
        <v>5053</v>
      </c>
      <c r="W563" s="5">
        <v>8.9</v>
      </c>
      <c r="X563" s="5">
        <v>71.69</v>
      </c>
      <c r="Y563" s="5">
        <v>96</v>
      </c>
      <c r="Z563" s="5" t="s">
        <v>2048</v>
      </c>
      <c r="AA563" s="5" t="s">
        <v>3695</v>
      </c>
      <c r="AB563" s="5" t="s">
        <v>19</v>
      </c>
      <c r="AC563" s="5" t="s">
        <v>19</v>
      </c>
      <c r="AD563" s="5" t="s">
        <v>19</v>
      </c>
      <c r="AE563" s="5" t="s">
        <v>2016</v>
      </c>
      <c r="AF563" s="5" t="s">
        <v>5054</v>
      </c>
      <c r="AG563" s="5">
        <v>56</v>
      </c>
      <c r="AH563" s="5">
        <v>2</v>
      </c>
      <c r="AI563" s="5">
        <v>54</v>
      </c>
      <c r="AJ563" s="5">
        <v>25</v>
      </c>
      <c r="AK563" s="5">
        <v>24.11</v>
      </c>
      <c r="AL563" s="5" t="s">
        <v>12</v>
      </c>
      <c r="AM563" s="5" t="s">
        <v>12</v>
      </c>
      <c r="AN563" s="5" t="s">
        <v>12</v>
      </c>
      <c r="AO563" s="5" t="s">
        <v>11</v>
      </c>
      <c r="AP563" s="5" t="s">
        <v>11</v>
      </c>
      <c r="AQ563" s="5" t="s">
        <v>18</v>
      </c>
      <c r="AR563" s="5" t="s">
        <v>17</v>
      </c>
    </row>
    <row r="564" spans="1:44" ht="31.5" x14ac:dyDescent="0.25">
      <c r="A564" s="10">
        <v>46096</v>
      </c>
      <c r="B564" s="5" t="s">
        <v>533</v>
      </c>
      <c r="C564" s="5" t="s">
        <v>2148</v>
      </c>
      <c r="D564" s="5" t="s">
        <v>11</v>
      </c>
      <c r="E564" s="5" t="s">
        <v>8</v>
      </c>
      <c r="F564" s="5" t="s">
        <v>8</v>
      </c>
      <c r="G564" s="5" t="s">
        <v>5055</v>
      </c>
      <c r="H564" s="5" t="s">
        <v>5056</v>
      </c>
      <c r="I564" s="6" t="str">
        <f>HYPERLINK("http://maps.yandex.ru/?ll=30.64414,59.65279&amp;spn=0.011598,0.004531&amp;z=17&amp;l=map&amp;pt=30.64414,59.65279", "59.652794//30.64414")</f>
        <v>59.652794//30.64414</v>
      </c>
      <c r="J564" s="5" t="s">
        <v>22</v>
      </c>
      <c r="K564" s="6" t="str">
        <f>HYPERLINK("http://maps.yandex.ru/?ll=30.402721,59.7973&amp;spn=0.011598,0.004531&amp;z=17&amp;l=map&amp;pt=30.402721,59.7973", "59.79734//30.402721")</f>
        <v>59.79734//30.402721</v>
      </c>
      <c r="L564" s="5" t="s">
        <v>23</v>
      </c>
      <c r="M564" s="5" t="s">
        <v>1288</v>
      </c>
      <c r="N564" s="5" t="s">
        <v>5057</v>
      </c>
      <c r="O564" s="5" t="s">
        <v>13</v>
      </c>
      <c r="P564" s="5">
        <v>3</v>
      </c>
      <c r="Q564" s="5">
        <v>97</v>
      </c>
      <c r="R564" s="5">
        <v>0</v>
      </c>
      <c r="S564" s="5">
        <v>26.390999999999998</v>
      </c>
      <c r="T564" s="5" t="s">
        <v>2549</v>
      </c>
      <c r="U564" s="5" t="s">
        <v>5058</v>
      </c>
      <c r="V564" s="5" t="s">
        <v>5059</v>
      </c>
      <c r="W564" s="5">
        <v>1.1000000000000001</v>
      </c>
      <c r="X564" s="5">
        <v>37.75</v>
      </c>
      <c r="Y564" s="5">
        <v>90</v>
      </c>
      <c r="Z564" s="5" t="s">
        <v>1519</v>
      </c>
      <c r="AA564" s="5" t="s">
        <v>1769</v>
      </c>
      <c r="AB564" s="5" t="s">
        <v>19</v>
      </c>
      <c r="AC564" s="5" t="s">
        <v>19</v>
      </c>
      <c r="AD564" s="5" t="s">
        <v>19</v>
      </c>
      <c r="AE564" s="5" t="s">
        <v>1695</v>
      </c>
      <c r="AF564" s="5" t="s">
        <v>5060</v>
      </c>
      <c r="AG564" s="5">
        <v>10</v>
      </c>
      <c r="AH564" s="5">
        <v>1</v>
      </c>
      <c r="AI564" s="5">
        <v>9</v>
      </c>
      <c r="AJ564" s="5">
        <v>33.33</v>
      </c>
      <c r="AK564" s="5">
        <v>30</v>
      </c>
      <c r="AL564" s="5" t="s">
        <v>12</v>
      </c>
      <c r="AM564" s="5" t="s">
        <v>12</v>
      </c>
      <c r="AN564" s="5" t="s">
        <v>12</v>
      </c>
      <c r="AO564" s="5" t="s">
        <v>11</v>
      </c>
      <c r="AP564" s="5" t="s">
        <v>11</v>
      </c>
      <c r="AQ564" s="5" t="s">
        <v>18</v>
      </c>
      <c r="AR564" s="5" t="s">
        <v>17</v>
      </c>
    </row>
    <row r="565" spans="1:44" ht="31.5" x14ac:dyDescent="0.25">
      <c r="A565" s="10">
        <v>46096</v>
      </c>
      <c r="B565" s="5" t="s">
        <v>531</v>
      </c>
      <c r="C565" s="5" t="s">
        <v>2150</v>
      </c>
      <c r="D565" s="5" t="s">
        <v>11</v>
      </c>
      <c r="E565" s="5" t="s">
        <v>1</v>
      </c>
      <c r="F565" s="5" t="s">
        <v>1</v>
      </c>
      <c r="G565" s="5" t="s">
        <v>5061</v>
      </c>
      <c r="H565" s="5" t="s">
        <v>5062</v>
      </c>
      <c r="I565" s="6" t="str">
        <f>HYPERLINK("http://maps.yandex.ru/?ll=57.849285,56.56084&amp;spn=0.011598,0.004531&amp;z=17&amp;l=map&amp;pt=57.849285,56.56084", "56.560844//57.849285")</f>
        <v>56.560844//57.849285</v>
      </c>
      <c r="J565" s="5" t="s">
        <v>77</v>
      </c>
      <c r="K565" s="6" t="str">
        <f>HYPERLINK("http://maps.yandex.ru/?ll=51.9945,54.0454&amp;spn=0.011598,0.004531&amp;z=17&amp;l=map&amp;pt=51.9945,54.0454", "54.04547//51.9945")</f>
        <v>54.04547//51.9945</v>
      </c>
      <c r="L565" s="5" t="s">
        <v>76</v>
      </c>
      <c r="M565" s="5" t="s">
        <v>3464</v>
      </c>
      <c r="N565" s="5" t="s">
        <v>4994</v>
      </c>
      <c r="O565" s="5" t="s">
        <v>13</v>
      </c>
      <c r="P565" s="5">
        <v>40</v>
      </c>
      <c r="Q565" s="5">
        <v>60</v>
      </c>
      <c r="R565" s="5">
        <v>0</v>
      </c>
      <c r="S565" s="5">
        <v>643.50800000000004</v>
      </c>
      <c r="T565" s="5" t="s">
        <v>12</v>
      </c>
      <c r="U565" s="5" t="s">
        <v>12</v>
      </c>
      <c r="V565" s="5" t="s">
        <v>12</v>
      </c>
      <c r="W565" s="5">
        <v>26.81</v>
      </c>
      <c r="X565" s="5">
        <v>66.94</v>
      </c>
      <c r="Y565" s="5">
        <v>97</v>
      </c>
      <c r="Z565" s="5" t="s">
        <v>2151</v>
      </c>
      <c r="AA565" s="5" t="s">
        <v>1764</v>
      </c>
      <c r="AB565" s="5" t="s">
        <v>19</v>
      </c>
      <c r="AC565" s="5" t="s">
        <v>19</v>
      </c>
      <c r="AD565" s="5" t="s">
        <v>19</v>
      </c>
      <c r="AE565" s="5" t="s">
        <v>1870</v>
      </c>
      <c r="AF565" s="5" t="s">
        <v>12</v>
      </c>
      <c r="AG565" s="5"/>
      <c r="AH565" s="5"/>
      <c r="AI565" s="5"/>
      <c r="AJ565" s="5"/>
      <c r="AK565" s="5"/>
      <c r="AL565" s="5" t="s">
        <v>5063</v>
      </c>
      <c r="AM565" s="5" t="s">
        <v>5064</v>
      </c>
      <c r="AN565" s="5" t="s">
        <v>1671</v>
      </c>
      <c r="AO565" s="5" t="s">
        <v>115</v>
      </c>
      <c r="AP565" s="5" t="s">
        <v>114</v>
      </c>
      <c r="AQ565" s="5" t="s">
        <v>99</v>
      </c>
      <c r="AR565" s="5" t="s">
        <v>98</v>
      </c>
    </row>
    <row r="566" spans="1:44" ht="31.5" x14ac:dyDescent="0.25">
      <c r="A566" s="10">
        <v>46096</v>
      </c>
      <c r="B566" s="5" t="s">
        <v>530</v>
      </c>
      <c r="C566" s="5" t="s">
        <v>2152</v>
      </c>
      <c r="D566" s="5" t="s">
        <v>11</v>
      </c>
      <c r="E566" s="5" t="s">
        <v>8</v>
      </c>
      <c r="F566" s="5" t="s">
        <v>8</v>
      </c>
      <c r="G566" s="5" t="s">
        <v>5065</v>
      </c>
      <c r="H566" s="5" t="s">
        <v>5066</v>
      </c>
      <c r="I566" s="6" t="str">
        <f>HYPERLINK("http://maps.yandex.ru/?ll=37.551834,55.12699&amp;spn=0.011598,0.004531&amp;z=17&amp;l=map&amp;pt=37.551834,55.12699", "55.126995//37.551834")</f>
        <v>55.126995//37.551834</v>
      </c>
      <c r="J566" s="5" t="s">
        <v>56</v>
      </c>
      <c r="K566" s="6" t="str">
        <f>HYPERLINK("http://maps.yandex.ru/?ll=39.86578,51.03051&amp;spn=0.011598,0.004531&amp;z=17&amp;l=map&amp;pt=39.86578,51.03051", "51.030514//39.86578")</f>
        <v>51.030514//39.86578</v>
      </c>
      <c r="L566" s="5" t="s">
        <v>101</v>
      </c>
      <c r="M566" s="5" t="s">
        <v>1229</v>
      </c>
      <c r="N566" s="5" t="s">
        <v>1395</v>
      </c>
      <c r="O566" s="5" t="s">
        <v>763</v>
      </c>
      <c r="P566" s="5">
        <v>30</v>
      </c>
      <c r="Q566" s="5">
        <v>66</v>
      </c>
      <c r="R566" s="5">
        <v>4</v>
      </c>
      <c r="S566" s="5">
        <v>491.31299999999999</v>
      </c>
      <c r="T566" s="5" t="s">
        <v>12</v>
      </c>
      <c r="U566" s="5" t="s">
        <v>12</v>
      </c>
      <c r="V566" s="5" t="s">
        <v>12</v>
      </c>
      <c r="W566" s="5">
        <v>20.47</v>
      </c>
      <c r="X566" s="5">
        <v>67.849999999999994</v>
      </c>
      <c r="Y566" s="5">
        <v>120</v>
      </c>
      <c r="Z566" s="5" t="s">
        <v>1501</v>
      </c>
      <c r="AA566" s="5" t="s">
        <v>1621</v>
      </c>
      <c r="AB566" s="5" t="s">
        <v>19</v>
      </c>
      <c r="AC566" s="5" t="s">
        <v>19</v>
      </c>
      <c r="AD566" s="5" t="s">
        <v>19</v>
      </c>
      <c r="AE566" s="5" t="s">
        <v>2094</v>
      </c>
      <c r="AF566" s="5" t="s">
        <v>12</v>
      </c>
      <c r="AG566" s="5"/>
      <c r="AH566" s="5"/>
      <c r="AI566" s="5"/>
      <c r="AJ566" s="5"/>
      <c r="AK566" s="5"/>
      <c r="AL566" s="5" t="s">
        <v>2154</v>
      </c>
      <c r="AM566" s="5" t="s">
        <v>5067</v>
      </c>
      <c r="AN566" s="5" t="s">
        <v>1756</v>
      </c>
      <c r="AO566" s="5" t="s">
        <v>115</v>
      </c>
      <c r="AP566" s="5" t="s">
        <v>114</v>
      </c>
      <c r="AQ566" s="5" t="s">
        <v>99</v>
      </c>
      <c r="AR566" s="5" t="s">
        <v>98</v>
      </c>
    </row>
    <row r="567" spans="1:44" ht="31.5" x14ac:dyDescent="0.25">
      <c r="A567" s="10">
        <v>46096</v>
      </c>
      <c r="B567" s="5" t="s">
        <v>528</v>
      </c>
      <c r="C567" s="5" t="s">
        <v>2238</v>
      </c>
      <c r="D567" s="5" t="s">
        <v>11</v>
      </c>
      <c r="E567" s="5" t="s">
        <v>2</v>
      </c>
      <c r="F567" s="5" t="s">
        <v>2</v>
      </c>
      <c r="G567" s="5" t="s">
        <v>3103</v>
      </c>
      <c r="H567" s="5" t="s">
        <v>5068</v>
      </c>
      <c r="I567" s="6" t="str">
        <f>HYPERLINK("http://maps.yandex.ru/?ll=40.420254,47.3212&amp;spn=0.011598,0.004531&amp;z=17&amp;l=map&amp;pt=40.420254,47.3212", "47.32129//40.420254")</f>
        <v>47.32129//40.420254</v>
      </c>
      <c r="J567" s="5" t="s">
        <v>64</v>
      </c>
      <c r="K567" s="6" t="str">
        <f>HYPERLINK("http://maps.yandex.ru/?ll=44.46148,48.77745&amp;spn=0.011598,0.004531&amp;z=17&amp;l=map&amp;pt=44.46148,48.77745", "48.777454//44.46148")</f>
        <v>48.777454//44.46148</v>
      </c>
      <c r="L567" s="5" t="s">
        <v>95</v>
      </c>
      <c r="M567" s="5" t="s">
        <v>1374</v>
      </c>
      <c r="N567" s="5" t="s">
        <v>974</v>
      </c>
      <c r="O567" s="5" t="s">
        <v>116</v>
      </c>
      <c r="P567" s="5">
        <v>37</v>
      </c>
      <c r="Q567" s="5">
        <v>57</v>
      </c>
      <c r="R567" s="5">
        <v>6</v>
      </c>
      <c r="S567" s="5">
        <v>577.202</v>
      </c>
      <c r="T567" s="5" t="s">
        <v>12</v>
      </c>
      <c r="U567" s="5" t="s">
        <v>12</v>
      </c>
      <c r="V567" s="5" t="s">
        <v>12</v>
      </c>
      <c r="W567" s="5">
        <v>24.05</v>
      </c>
      <c r="X567" s="5">
        <v>65.239999999999995</v>
      </c>
      <c r="Y567" s="5">
        <v>166</v>
      </c>
      <c r="Z567" s="5" t="s">
        <v>2240</v>
      </c>
      <c r="AA567" s="5" t="s">
        <v>1548</v>
      </c>
      <c r="AB567" s="5" t="s">
        <v>19</v>
      </c>
      <c r="AC567" s="5" t="s">
        <v>19</v>
      </c>
      <c r="AD567" s="5" t="s">
        <v>19</v>
      </c>
      <c r="AE567" s="5" t="s">
        <v>1777</v>
      </c>
      <c r="AF567" s="5" t="s">
        <v>12</v>
      </c>
      <c r="AG567" s="5"/>
      <c r="AH567" s="5"/>
      <c r="AI567" s="5"/>
      <c r="AJ567" s="5"/>
      <c r="AK567" s="5"/>
      <c r="AL567" s="5" t="s">
        <v>12</v>
      </c>
      <c r="AM567" s="5" t="s">
        <v>12</v>
      </c>
      <c r="AN567" s="5" t="s">
        <v>12</v>
      </c>
      <c r="AO567" s="5" t="s">
        <v>115</v>
      </c>
      <c r="AP567" s="5" t="s">
        <v>114</v>
      </c>
      <c r="AQ567" s="5" t="s">
        <v>99</v>
      </c>
      <c r="AR567" s="5" t="s">
        <v>98</v>
      </c>
    </row>
    <row r="568" spans="1:44" ht="31.5" x14ac:dyDescent="0.25">
      <c r="A568" s="10">
        <v>46096</v>
      </c>
      <c r="B568" s="5" t="s">
        <v>525</v>
      </c>
      <c r="C568" s="5" t="s">
        <v>2241</v>
      </c>
      <c r="D568" s="5" t="s">
        <v>11</v>
      </c>
      <c r="E568" s="5" t="s">
        <v>8</v>
      </c>
      <c r="F568" s="5" t="s">
        <v>8</v>
      </c>
      <c r="G568" s="5" t="s">
        <v>5069</v>
      </c>
      <c r="H568" s="5" t="s">
        <v>5070</v>
      </c>
      <c r="I568" s="6" t="str">
        <f>HYPERLINK("http://maps.yandex.ru/?ll=35.788246,56.87092&amp;spn=0.011598,0.004531&amp;z=17&amp;l=map&amp;pt=35.788246,56.87092", "56.870926//35.788246")</f>
        <v>56.870926//35.788246</v>
      </c>
      <c r="J568" s="5" t="s">
        <v>50</v>
      </c>
      <c r="K568" s="6" t="str">
        <f>HYPERLINK("http://maps.yandex.ru/?ll=30.242887,60.0989&amp;spn=0.011598,0.004531&amp;z=17&amp;l=map&amp;pt=30.242887,60.0989", "60.09891//30.242887")</f>
        <v>60.09891//30.242887</v>
      </c>
      <c r="L568" s="5" t="s">
        <v>23</v>
      </c>
      <c r="M568" s="5" t="s">
        <v>4304</v>
      </c>
      <c r="N568" s="5" t="s">
        <v>751</v>
      </c>
      <c r="O568" s="5" t="s">
        <v>13</v>
      </c>
      <c r="P568" s="5">
        <v>32</v>
      </c>
      <c r="Q568" s="5">
        <v>68</v>
      </c>
      <c r="R568" s="5">
        <v>0</v>
      </c>
      <c r="S568" s="5">
        <v>559.58799999999997</v>
      </c>
      <c r="T568" s="5" t="s">
        <v>1509</v>
      </c>
      <c r="U568" s="5" t="s">
        <v>5071</v>
      </c>
      <c r="V568" s="5" t="s">
        <v>5072</v>
      </c>
      <c r="W568" s="5">
        <v>23.32</v>
      </c>
      <c r="X568" s="5">
        <v>72.25</v>
      </c>
      <c r="Y568" s="5">
        <v>100</v>
      </c>
      <c r="Z568" s="5" t="s">
        <v>12</v>
      </c>
      <c r="AA568" s="5" t="s">
        <v>12</v>
      </c>
      <c r="AB568" s="5" t="s">
        <v>19</v>
      </c>
      <c r="AC568" s="5" t="s">
        <v>19</v>
      </c>
      <c r="AD568" s="5" t="s">
        <v>19</v>
      </c>
      <c r="AE568" s="5" t="s">
        <v>12</v>
      </c>
      <c r="AF568" s="5" t="s">
        <v>12</v>
      </c>
      <c r="AG568" s="5">
        <v>166</v>
      </c>
      <c r="AH568" s="5">
        <v>0</v>
      </c>
      <c r="AI568" s="5">
        <v>166</v>
      </c>
      <c r="AJ568" s="5">
        <v>29.02</v>
      </c>
      <c r="AK568" s="5">
        <v>29.02</v>
      </c>
      <c r="AL568" s="5" t="s">
        <v>12</v>
      </c>
      <c r="AM568" s="5" t="s">
        <v>12</v>
      </c>
      <c r="AN568" s="5" t="s">
        <v>12</v>
      </c>
      <c r="AO568" s="5" t="s">
        <v>11</v>
      </c>
      <c r="AP568" s="5" t="s">
        <v>11</v>
      </c>
      <c r="AQ568" s="5" t="s">
        <v>53</v>
      </c>
      <c r="AR568" s="5" t="s">
        <v>52</v>
      </c>
    </row>
    <row r="569" spans="1:44" ht="15.75" x14ac:dyDescent="0.25">
      <c r="A569" s="10">
        <v>46096</v>
      </c>
      <c r="B569" s="5" t="s">
        <v>523</v>
      </c>
      <c r="C569" s="5" t="s">
        <v>2242</v>
      </c>
      <c r="D569" s="5" t="s">
        <v>11</v>
      </c>
      <c r="E569" s="5" t="s">
        <v>3</v>
      </c>
      <c r="F569" s="5" t="s">
        <v>3</v>
      </c>
      <c r="G569" s="5" t="s">
        <v>5073</v>
      </c>
      <c r="H569" s="5" t="s">
        <v>5074</v>
      </c>
      <c r="I569" s="6" t="str">
        <f>HYPERLINK("http://maps.yandex.ru/?ll=43.12566,44.2514&amp;spn=0.011598,0.004531&amp;z=17&amp;l=map&amp;pt=43.12566,44.2514", "44.25149//43.12566")</f>
        <v>44.25149//43.12566</v>
      </c>
      <c r="J569" s="5" t="s">
        <v>208</v>
      </c>
      <c r="K569" s="6" t="str">
        <f>HYPERLINK("http://maps.yandex.ru/?ll=43.128014,44.253&amp;spn=0.011598,0.004531&amp;z=17&amp;l=map&amp;pt=43.128014,44.253", "44.2536//43.128014")</f>
        <v>44.2536//43.128014</v>
      </c>
      <c r="L569" s="5" t="s">
        <v>208</v>
      </c>
      <c r="M569" s="5" t="s">
        <v>13</v>
      </c>
      <c r="N569" s="5" t="s">
        <v>58</v>
      </c>
      <c r="O569" s="5" t="s">
        <v>13</v>
      </c>
      <c r="P569" s="5">
        <v>0</v>
      </c>
      <c r="Q569" s="5">
        <v>100</v>
      </c>
      <c r="R569" s="5">
        <v>0</v>
      </c>
      <c r="S569" s="5">
        <v>0</v>
      </c>
      <c r="T569" s="5" t="s">
        <v>1673</v>
      </c>
      <c r="U569" s="5" t="s">
        <v>5075</v>
      </c>
      <c r="V569" s="5" t="s">
        <v>2243</v>
      </c>
      <c r="W569" s="5">
        <v>0</v>
      </c>
      <c r="X569" s="5">
        <v>0</v>
      </c>
      <c r="Y569" s="5">
        <v>10</v>
      </c>
      <c r="Z569" s="5" t="s">
        <v>1535</v>
      </c>
      <c r="AA569" s="5" t="s">
        <v>2586</v>
      </c>
      <c r="AB569" s="5" t="s">
        <v>19</v>
      </c>
      <c r="AC569" s="5" t="s">
        <v>19</v>
      </c>
      <c r="AD569" s="5" t="s">
        <v>19</v>
      </c>
      <c r="AE569" s="5" t="s">
        <v>1615</v>
      </c>
      <c r="AF569" s="5" t="s">
        <v>12</v>
      </c>
      <c r="AG569" s="5">
        <v>3</v>
      </c>
      <c r="AH569" s="5">
        <v>3</v>
      </c>
      <c r="AI569" s="5">
        <v>0</v>
      </c>
      <c r="AJ569" s="5">
        <v>300</v>
      </c>
      <c r="AK569" s="5">
        <v>0</v>
      </c>
      <c r="AL569" s="5" t="s">
        <v>12</v>
      </c>
      <c r="AM569" s="5" t="s">
        <v>12</v>
      </c>
      <c r="AN569" s="5" t="s">
        <v>12</v>
      </c>
      <c r="AO569" s="5" t="s">
        <v>11</v>
      </c>
      <c r="AP569" s="5" t="s">
        <v>11</v>
      </c>
      <c r="AQ569" s="5" t="s">
        <v>53</v>
      </c>
      <c r="AR569" s="5" t="s">
        <v>52</v>
      </c>
    </row>
    <row r="570" spans="1:44" ht="31.5" x14ac:dyDescent="0.25">
      <c r="A570" s="10">
        <v>46096</v>
      </c>
      <c r="B570" s="5" t="s">
        <v>520</v>
      </c>
      <c r="C570" s="5" t="s">
        <v>2244</v>
      </c>
      <c r="D570" s="5" t="s">
        <v>11</v>
      </c>
      <c r="E570" s="5" t="s">
        <v>1</v>
      </c>
      <c r="F570" s="5" t="s">
        <v>1</v>
      </c>
      <c r="G570" s="5" t="s">
        <v>5076</v>
      </c>
      <c r="H570" s="5" t="s">
        <v>5077</v>
      </c>
      <c r="I570" s="6" t="str">
        <f>HYPERLINK("http://maps.yandex.ru/?ll=73.36508,61.24626&amp;spn=0.011598,0.004531&amp;z=17&amp;l=map&amp;pt=73.36508,61.24626", "61.246265//73.36508")</f>
        <v>61.246265//73.36508</v>
      </c>
      <c r="J570" s="5" t="s">
        <v>519</v>
      </c>
      <c r="K570" s="6" t="str">
        <f>HYPERLINK("http://maps.yandex.ru/?ll=66.4512,56.5272&amp;spn=0.011598,0.004531&amp;z=17&amp;l=map&amp;pt=66.4512,56.5272", "56.52724//66.4512")</f>
        <v>56.52724//66.4512</v>
      </c>
      <c r="L570" s="5" t="s">
        <v>503</v>
      </c>
      <c r="M570" s="5" t="s">
        <v>1407</v>
      </c>
      <c r="N570" s="5" t="s">
        <v>1344</v>
      </c>
      <c r="O570" s="5" t="s">
        <v>13</v>
      </c>
      <c r="P570" s="5">
        <v>45</v>
      </c>
      <c r="Q570" s="5">
        <v>55</v>
      </c>
      <c r="R570" s="5">
        <v>0</v>
      </c>
      <c r="S570" s="5">
        <v>817.11400000000003</v>
      </c>
      <c r="T570" s="5" t="s">
        <v>2292</v>
      </c>
      <c r="U570" s="5" t="s">
        <v>2245</v>
      </c>
      <c r="V570" s="5" t="s">
        <v>5078</v>
      </c>
      <c r="W570" s="5">
        <v>34.049999999999997</v>
      </c>
      <c r="X570" s="5">
        <v>76.12</v>
      </c>
      <c r="Y570" s="5">
        <v>106</v>
      </c>
      <c r="Z570" s="5" t="s">
        <v>1781</v>
      </c>
      <c r="AA570" s="5" t="s">
        <v>2713</v>
      </c>
      <c r="AB570" s="5" t="s">
        <v>2690</v>
      </c>
      <c r="AC570" s="5" t="s">
        <v>1671</v>
      </c>
      <c r="AD570" s="5" t="s">
        <v>19</v>
      </c>
      <c r="AE570" s="5" t="s">
        <v>1783</v>
      </c>
      <c r="AF570" s="5" t="s">
        <v>5079</v>
      </c>
      <c r="AG570" s="5">
        <v>237</v>
      </c>
      <c r="AH570" s="5">
        <v>20</v>
      </c>
      <c r="AI570" s="5">
        <v>217</v>
      </c>
      <c r="AJ570" s="5">
        <v>28.76</v>
      </c>
      <c r="AK570" s="5">
        <v>26.33</v>
      </c>
      <c r="AL570" s="5" t="s">
        <v>12</v>
      </c>
      <c r="AM570" s="5" t="s">
        <v>12</v>
      </c>
      <c r="AN570" s="5" t="s">
        <v>12</v>
      </c>
      <c r="AO570" s="5" t="s">
        <v>11</v>
      </c>
      <c r="AP570" s="5" t="s">
        <v>11</v>
      </c>
      <c r="AQ570" s="5" t="s">
        <v>53</v>
      </c>
      <c r="AR570" s="5" t="s">
        <v>52</v>
      </c>
    </row>
    <row r="571" spans="1:44" ht="31.5" x14ac:dyDescent="0.25">
      <c r="A571" s="10">
        <v>46096</v>
      </c>
      <c r="B571" s="5" t="s">
        <v>518</v>
      </c>
      <c r="C571" s="5" t="s">
        <v>2247</v>
      </c>
      <c r="D571" s="5" t="s">
        <v>11</v>
      </c>
      <c r="E571" s="5" t="s">
        <v>4</v>
      </c>
      <c r="F571" s="5" t="s">
        <v>4</v>
      </c>
      <c r="G571" s="5" t="s">
        <v>5080</v>
      </c>
      <c r="H571" s="5" t="s">
        <v>5081</v>
      </c>
      <c r="I571" s="6" t="str">
        <f>HYPERLINK("http://maps.yandex.ru/?ll=47.99013,54.31125&amp;spn=0.011598,0.004531&amp;z=17&amp;l=map&amp;pt=47.99013,54.31125", "54.311256//47.99013")</f>
        <v>54.311256//47.99013</v>
      </c>
      <c r="J571" s="5" t="s">
        <v>61</v>
      </c>
      <c r="K571" s="6" t="str">
        <f>HYPERLINK("http://maps.yandex.ru/?ll=40.268105,54.28942&amp;spn=0.011598,0.004531&amp;z=17&amp;l=map&amp;pt=40.268105,54.28942", "54.289425//40.268105")</f>
        <v>54.289425//40.268105</v>
      </c>
      <c r="L571" s="5" t="s">
        <v>118</v>
      </c>
      <c r="M571" s="5" t="s">
        <v>724</v>
      </c>
      <c r="N571" s="5" t="s">
        <v>1074</v>
      </c>
      <c r="O571" s="5" t="s">
        <v>923</v>
      </c>
      <c r="P571" s="5">
        <v>32</v>
      </c>
      <c r="Q571" s="5">
        <v>28</v>
      </c>
      <c r="R571" s="5">
        <v>39</v>
      </c>
      <c r="S571" s="5">
        <v>537.35199999999998</v>
      </c>
      <c r="T571" s="5" t="s">
        <v>2596</v>
      </c>
      <c r="U571" s="5" t="s">
        <v>5082</v>
      </c>
      <c r="V571" s="5" t="s">
        <v>5083</v>
      </c>
      <c r="W571" s="5">
        <v>22.39</v>
      </c>
      <c r="X571" s="5">
        <v>69.55</v>
      </c>
      <c r="Y571" s="5">
        <v>148</v>
      </c>
      <c r="Z571" s="5" t="s">
        <v>2061</v>
      </c>
      <c r="AA571" s="5" t="s">
        <v>1815</v>
      </c>
      <c r="AB571" s="5" t="s">
        <v>19</v>
      </c>
      <c r="AC571" s="5" t="s">
        <v>19</v>
      </c>
      <c r="AD571" s="5" t="s">
        <v>19</v>
      </c>
      <c r="AE571" s="5" t="s">
        <v>1832</v>
      </c>
      <c r="AF571" s="5" t="s">
        <v>5084</v>
      </c>
      <c r="AG571" s="5">
        <v>230</v>
      </c>
      <c r="AH571" s="5">
        <v>2</v>
      </c>
      <c r="AI571" s="5">
        <v>228</v>
      </c>
      <c r="AJ571" s="5">
        <v>33.869999999999997</v>
      </c>
      <c r="AK571" s="5">
        <v>33.58</v>
      </c>
      <c r="AL571" s="5" t="s">
        <v>12</v>
      </c>
      <c r="AM571" s="5" t="s">
        <v>12</v>
      </c>
      <c r="AN571" s="5" t="s">
        <v>12</v>
      </c>
      <c r="AO571" s="5" t="s">
        <v>11</v>
      </c>
      <c r="AP571" s="5" t="s">
        <v>11</v>
      </c>
      <c r="AQ571" s="5" t="s">
        <v>123</v>
      </c>
      <c r="AR571" s="5" t="s">
        <v>122</v>
      </c>
    </row>
    <row r="572" spans="1:44" ht="31.5" x14ac:dyDescent="0.25">
      <c r="A572" s="10">
        <v>46096</v>
      </c>
      <c r="B572" s="5" t="s">
        <v>516</v>
      </c>
      <c r="C572" s="5" t="s">
        <v>2248</v>
      </c>
      <c r="D572" s="5" t="s">
        <v>11</v>
      </c>
      <c r="E572" s="5" t="s">
        <v>0</v>
      </c>
      <c r="F572" s="5" t="s">
        <v>0</v>
      </c>
      <c r="G572" s="5" t="s">
        <v>3103</v>
      </c>
      <c r="H572" s="5" t="s">
        <v>5085</v>
      </c>
      <c r="I572" s="6" t="str">
        <f>HYPERLINK("http://maps.yandex.ru/?ll=40.19799,48.1488&amp;spn=0.011598,0.004531&amp;z=17&amp;l=map&amp;pt=40.19799,48.1488", "48.14883//40.19799")</f>
        <v>48.14883//40.19799</v>
      </c>
      <c r="J572" s="5" t="s">
        <v>64</v>
      </c>
      <c r="K572" s="6" t="str">
        <f>HYPERLINK("http://maps.yandex.ru/?ll=39.125786,45.10435&amp;spn=0.011598,0.004531&amp;z=17&amp;l=map&amp;pt=39.125786,45.10435", "45.104355//39.125786")</f>
        <v>45.104355//39.125786</v>
      </c>
      <c r="L572" s="5" t="s">
        <v>88</v>
      </c>
      <c r="M572" s="5" t="s">
        <v>3686</v>
      </c>
      <c r="N572" s="5" t="s">
        <v>674</v>
      </c>
      <c r="O572" s="5" t="s">
        <v>4483</v>
      </c>
      <c r="P572" s="5">
        <v>48</v>
      </c>
      <c r="Q572" s="5">
        <v>25</v>
      </c>
      <c r="R572" s="5">
        <v>27</v>
      </c>
      <c r="S572" s="5">
        <v>880.47400000000005</v>
      </c>
      <c r="T572" s="5" t="s">
        <v>12</v>
      </c>
      <c r="U572" s="5" t="s">
        <v>12</v>
      </c>
      <c r="V572" s="5" t="s">
        <v>12</v>
      </c>
      <c r="W572" s="5">
        <v>36.69</v>
      </c>
      <c r="X572" s="5">
        <v>76.209999999999994</v>
      </c>
      <c r="Y572" s="5">
        <v>155</v>
      </c>
      <c r="Z572" s="5" t="s">
        <v>2105</v>
      </c>
      <c r="AA572" s="5" t="s">
        <v>2029</v>
      </c>
      <c r="AB572" s="5" t="s">
        <v>19</v>
      </c>
      <c r="AC572" s="5" t="s">
        <v>19</v>
      </c>
      <c r="AD572" s="5" t="s">
        <v>19</v>
      </c>
      <c r="AE572" s="5" t="s">
        <v>1689</v>
      </c>
      <c r="AF572" s="5" t="s">
        <v>12</v>
      </c>
      <c r="AG572" s="5"/>
      <c r="AH572" s="5"/>
      <c r="AI572" s="5"/>
      <c r="AJ572" s="5"/>
      <c r="AK572" s="5"/>
      <c r="AL572" s="5" t="s">
        <v>12</v>
      </c>
      <c r="AM572" s="5" t="s">
        <v>12</v>
      </c>
      <c r="AN572" s="5" t="s">
        <v>12</v>
      </c>
      <c r="AO572" s="5" t="s">
        <v>115</v>
      </c>
      <c r="AP572" s="5" t="s">
        <v>114</v>
      </c>
      <c r="AQ572" s="5" t="s">
        <v>99</v>
      </c>
      <c r="AR572" s="5" t="s">
        <v>98</v>
      </c>
    </row>
    <row r="573" spans="1:44" ht="15.75" x14ac:dyDescent="0.25">
      <c r="A573" s="10">
        <v>46096</v>
      </c>
      <c r="B573" s="5" t="s">
        <v>514</v>
      </c>
      <c r="C573" s="5" t="s">
        <v>2249</v>
      </c>
      <c r="D573" s="5" t="s">
        <v>11</v>
      </c>
      <c r="E573" s="5" t="s">
        <v>164</v>
      </c>
      <c r="F573" s="5" t="s">
        <v>164</v>
      </c>
      <c r="G573" s="5" t="s">
        <v>11</v>
      </c>
      <c r="H573" s="5" t="s">
        <v>11</v>
      </c>
      <c r="I573" s="6" t="str">
        <f>HYPERLINK("http://maps.yandex.ru/?ll=,&amp;spn=0.011598,0.004531&amp;z=17&amp;l=map&amp;pt=,", "")</f>
        <v/>
      </c>
      <c r="J573" s="5" t="s">
        <v>84</v>
      </c>
      <c r="K573" s="6" t="str">
        <f>HYPERLINK("http://maps.yandex.ru/?ll=,&amp;spn=0.011598,0.004531&amp;z=17&amp;l=map&amp;pt=,", "")</f>
        <v/>
      </c>
      <c r="L573" s="5" t="s">
        <v>84</v>
      </c>
      <c r="M573" s="5" t="s">
        <v>13</v>
      </c>
      <c r="N573" s="5" t="s">
        <v>13</v>
      </c>
      <c r="O573" s="5" t="s">
        <v>58</v>
      </c>
      <c r="P573" s="5">
        <v>0</v>
      </c>
      <c r="Q573" s="5">
        <v>0</v>
      </c>
      <c r="R573" s="5">
        <v>100</v>
      </c>
      <c r="S573" s="5">
        <v>0</v>
      </c>
      <c r="T573" s="5" t="s">
        <v>12</v>
      </c>
      <c r="U573" s="5" t="s">
        <v>12</v>
      </c>
      <c r="V573" s="5" t="s">
        <v>12</v>
      </c>
      <c r="W573" s="5">
        <v>0</v>
      </c>
      <c r="X573" s="5">
        <v>0</v>
      </c>
      <c r="Y573" s="5">
        <v>0</v>
      </c>
      <c r="Z573" s="5" t="s">
        <v>12</v>
      </c>
      <c r="AA573" s="5" t="s">
        <v>12</v>
      </c>
      <c r="AB573" s="5" t="s">
        <v>19</v>
      </c>
      <c r="AC573" s="5" t="s">
        <v>19</v>
      </c>
      <c r="AD573" s="5" t="s">
        <v>19</v>
      </c>
      <c r="AE573" s="5" t="s">
        <v>12</v>
      </c>
      <c r="AF573" s="5" t="s">
        <v>12</v>
      </c>
      <c r="AG573" s="5"/>
      <c r="AH573" s="5">
        <v>0</v>
      </c>
      <c r="AI573" s="5"/>
      <c r="AJ573" s="5"/>
      <c r="AK573" s="5"/>
      <c r="AL573" s="5" t="s">
        <v>12</v>
      </c>
      <c r="AM573" s="5" t="s">
        <v>12</v>
      </c>
      <c r="AN573" s="5" t="s">
        <v>12</v>
      </c>
      <c r="AO573" s="5" t="s">
        <v>11</v>
      </c>
      <c r="AP573" s="5" t="s">
        <v>11</v>
      </c>
      <c r="AQ573" s="5" t="s">
        <v>123</v>
      </c>
      <c r="AR573" s="5" t="s">
        <v>122</v>
      </c>
    </row>
    <row r="574" spans="1:44" ht="31.5" x14ac:dyDescent="0.25">
      <c r="A574" s="10">
        <v>46096</v>
      </c>
      <c r="B574" s="5" t="s">
        <v>513</v>
      </c>
      <c r="C574" s="5" t="s">
        <v>2250</v>
      </c>
      <c r="D574" s="5" t="s">
        <v>11</v>
      </c>
      <c r="E574" s="5" t="s">
        <v>4</v>
      </c>
      <c r="F574" s="5" t="s">
        <v>4</v>
      </c>
      <c r="G574" s="5" t="s">
        <v>5086</v>
      </c>
      <c r="H574" s="5" t="s">
        <v>5087</v>
      </c>
      <c r="I574" s="6" t="str">
        <f>HYPERLINK("http://maps.yandex.ru/?ll=59.596226,55.1211&amp;spn=0.011598,0.004531&amp;z=17&amp;l=map&amp;pt=59.596226,55.1211", "55.12118//59.596226")</f>
        <v>55.12118//59.596226</v>
      </c>
      <c r="J574" s="5" t="s">
        <v>227</v>
      </c>
      <c r="K574" s="6" t="str">
        <f>HYPERLINK("http://maps.yandex.ru/?ll=60.33362,54.91794&amp;spn=0.011598,0.004531&amp;z=17&amp;l=map&amp;pt=60.33362,54.91794", "54.917946//60.33362")</f>
        <v>54.917946//60.33362</v>
      </c>
      <c r="L574" s="5" t="s">
        <v>227</v>
      </c>
      <c r="M574" s="5" t="s">
        <v>371</v>
      </c>
      <c r="N574" s="5" t="s">
        <v>5088</v>
      </c>
      <c r="O574" s="5" t="s">
        <v>13</v>
      </c>
      <c r="P574" s="5">
        <v>5</v>
      </c>
      <c r="Q574" s="5">
        <v>95</v>
      </c>
      <c r="R574" s="5">
        <v>0</v>
      </c>
      <c r="S574" s="5">
        <v>77.888999999999996</v>
      </c>
      <c r="T574" s="5" t="s">
        <v>1673</v>
      </c>
      <c r="U574" s="5" t="s">
        <v>5089</v>
      </c>
      <c r="V574" s="5" t="s">
        <v>5090</v>
      </c>
      <c r="W574" s="5">
        <v>3.25</v>
      </c>
      <c r="X574" s="5">
        <v>59.83</v>
      </c>
      <c r="Y574" s="5">
        <v>94</v>
      </c>
      <c r="Z574" s="5" t="s">
        <v>5091</v>
      </c>
      <c r="AA574" s="5" t="s">
        <v>5092</v>
      </c>
      <c r="AB574" s="5" t="s">
        <v>19</v>
      </c>
      <c r="AC574" s="5" t="s">
        <v>19</v>
      </c>
      <c r="AD574" s="5" t="s">
        <v>19</v>
      </c>
      <c r="AE574" s="5" t="s">
        <v>5093</v>
      </c>
      <c r="AF574" s="5" t="s">
        <v>5094</v>
      </c>
      <c r="AG574" s="5">
        <v>0</v>
      </c>
      <c r="AH574" s="5">
        <v>0</v>
      </c>
      <c r="AI574" s="5">
        <v>0</v>
      </c>
      <c r="AJ574" s="5">
        <v>0</v>
      </c>
      <c r="AK574" s="5">
        <v>0</v>
      </c>
      <c r="AL574" s="5" t="s">
        <v>12</v>
      </c>
      <c r="AM574" s="5" t="s">
        <v>12</v>
      </c>
      <c r="AN574" s="5" t="s">
        <v>12</v>
      </c>
      <c r="AO574" s="5" t="s">
        <v>11</v>
      </c>
      <c r="AP574" s="5" t="s">
        <v>11</v>
      </c>
      <c r="AQ574" s="5" t="s">
        <v>123</v>
      </c>
      <c r="AR574" s="5" t="s">
        <v>122</v>
      </c>
    </row>
    <row r="575" spans="1:44" ht="31.5" x14ac:dyDescent="0.25">
      <c r="A575" s="10">
        <v>46096</v>
      </c>
      <c r="B575" s="5" t="s">
        <v>512</v>
      </c>
      <c r="C575" s="5" t="s">
        <v>2251</v>
      </c>
      <c r="D575" s="5" t="s">
        <v>11</v>
      </c>
      <c r="E575" s="5" t="s">
        <v>8</v>
      </c>
      <c r="F575" s="5" t="s">
        <v>8</v>
      </c>
      <c r="G575" s="5" t="s">
        <v>5095</v>
      </c>
      <c r="H575" s="5" t="s">
        <v>5096</v>
      </c>
      <c r="I575" s="6" t="str">
        <f>HYPERLINK("http://maps.yandex.ru/?ll=32.554585,58.24535&amp;spn=0.011598,0.004531&amp;z=17&amp;l=map&amp;pt=32.554585,58.24535", "58.245354//32.554585")</f>
        <v>58.245354//32.554585</v>
      </c>
      <c r="J575" s="5" t="s">
        <v>148</v>
      </c>
      <c r="K575" s="6" t="str">
        <f>HYPERLINK("http://maps.yandex.ru/?ll=30.403772,59.79716&amp;spn=0.011598,0.004531&amp;z=17&amp;l=map&amp;pt=30.403772,59.79716", "59.797165//30.403772")</f>
        <v>59.797165//30.403772</v>
      </c>
      <c r="L575" s="5" t="s">
        <v>23</v>
      </c>
      <c r="M575" s="5" t="s">
        <v>1043</v>
      </c>
      <c r="N575" s="5" t="s">
        <v>1449</v>
      </c>
      <c r="O575" s="5" t="s">
        <v>45</v>
      </c>
      <c r="P575" s="5">
        <v>17</v>
      </c>
      <c r="Q575" s="5">
        <v>82</v>
      </c>
      <c r="R575" s="5">
        <v>1</v>
      </c>
      <c r="S575" s="5">
        <v>227.94800000000001</v>
      </c>
      <c r="T575" s="5" t="s">
        <v>12</v>
      </c>
      <c r="U575" s="5" t="s">
        <v>12</v>
      </c>
      <c r="V575" s="5" t="s">
        <v>12</v>
      </c>
      <c r="W575" s="5">
        <v>9.5</v>
      </c>
      <c r="X575" s="5">
        <v>55.86</v>
      </c>
      <c r="Y575" s="5">
        <v>98</v>
      </c>
      <c r="Z575" s="5" t="s">
        <v>1577</v>
      </c>
      <c r="AA575" s="5" t="s">
        <v>2317</v>
      </c>
      <c r="AB575" s="5" t="s">
        <v>1787</v>
      </c>
      <c r="AC575" s="5" t="s">
        <v>1673</v>
      </c>
      <c r="AD575" s="5" t="s">
        <v>19</v>
      </c>
      <c r="AE575" s="5" t="s">
        <v>1591</v>
      </c>
      <c r="AF575" s="5" t="s">
        <v>12</v>
      </c>
      <c r="AG575" s="5"/>
      <c r="AH575" s="5"/>
      <c r="AI575" s="5"/>
      <c r="AJ575" s="5"/>
      <c r="AK575" s="5"/>
      <c r="AL575" s="5" t="s">
        <v>2252</v>
      </c>
      <c r="AM575" s="5" t="s">
        <v>5097</v>
      </c>
      <c r="AN575" s="5" t="s">
        <v>1756</v>
      </c>
      <c r="AO575" s="5" t="s">
        <v>83</v>
      </c>
      <c r="AP575" s="5" t="s">
        <v>82</v>
      </c>
      <c r="AQ575" s="5" t="s">
        <v>330</v>
      </c>
      <c r="AR575" s="5" t="s">
        <v>329</v>
      </c>
    </row>
    <row r="576" spans="1:44" ht="31.5" x14ac:dyDescent="0.25">
      <c r="A576" s="10">
        <v>46096</v>
      </c>
      <c r="B576" s="5" t="s">
        <v>956</v>
      </c>
      <c r="C576" s="5" t="s">
        <v>2748</v>
      </c>
      <c r="D576" s="5" t="s">
        <v>11</v>
      </c>
      <c r="E576" s="5" t="s">
        <v>6</v>
      </c>
      <c r="F576" s="5" t="s">
        <v>6</v>
      </c>
      <c r="G576" s="5" t="s">
        <v>3103</v>
      </c>
      <c r="H576" s="5" t="s">
        <v>5098</v>
      </c>
      <c r="I576" s="6" t="str">
        <f>HYPERLINK("http://maps.yandex.ru/?ll=41.511574,45.82643&amp;spn=0.011598,0.004531&amp;z=17&amp;l=map&amp;pt=41.511574,45.82643", "45.826435//41.511574")</f>
        <v>45.826435//41.511574</v>
      </c>
      <c r="J576" s="5" t="s">
        <v>208</v>
      </c>
      <c r="K576" s="6" t="str">
        <f>HYPERLINK("http://maps.yandex.ru/?ll=42.80601,44.0233&amp;spn=0.011598,0.004531&amp;z=17&amp;l=map&amp;pt=42.80601,44.0233", "44.02331//42.80601")</f>
        <v>44.02331//42.80601</v>
      </c>
      <c r="L576" s="5" t="s">
        <v>208</v>
      </c>
      <c r="M576" s="5" t="s">
        <v>139</v>
      </c>
      <c r="N576" s="5" t="s">
        <v>3464</v>
      </c>
      <c r="O576" s="5" t="s">
        <v>1453</v>
      </c>
      <c r="P576" s="5">
        <v>17</v>
      </c>
      <c r="Q576" s="5">
        <v>40</v>
      </c>
      <c r="R576" s="5">
        <v>43</v>
      </c>
      <c r="S576" s="5">
        <v>253.613</v>
      </c>
      <c r="T576" s="5" t="s">
        <v>1557</v>
      </c>
      <c r="U576" s="5" t="s">
        <v>5099</v>
      </c>
      <c r="V576" s="5" t="s">
        <v>5100</v>
      </c>
      <c r="W576" s="5">
        <v>10.57</v>
      </c>
      <c r="X576" s="5">
        <v>63.47</v>
      </c>
      <c r="Y576" s="5">
        <v>96</v>
      </c>
      <c r="Z576" s="5" t="s">
        <v>2439</v>
      </c>
      <c r="AA576" s="5" t="s">
        <v>1588</v>
      </c>
      <c r="AB576" s="5" t="s">
        <v>19</v>
      </c>
      <c r="AC576" s="5" t="s">
        <v>19</v>
      </c>
      <c r="AD576" s="5" t="s">
        <v>19</v>
      </c>
      <c r="AE576" s="5" t="s">
        <v>1796</v>
      </c>
      <c r="AF576" s="5" t="s">
        <v>5101</v>
      </c>
      <c r="AG576" s="5">
        <v>125</v>
      </c>
      <c r="AH576" s="5">
        <v>2</v>
      </c>
      <c r="AI576" s="5">
        <v>123</v>
      </c>
      <c r="AJ576" s="5">
        <v>36.869999999999997</v>
      </c>
      <c r="AK576" s="5">
        <v>36.28</v>
      </c>
      <c r="AL576" s="5" t="s">
        <v>12</v>
      </c>
      <c r="AM576" s="5" t="s">
        <v>12</v>
      </c>
      <c r="AN576" s="5" t="s">
        <v>12</v>
      </c>
      <c r="AO576" s="5" t="s">
        <v>11</v>
      </c>
      <c r="AP576" s="5" t="s">
        <v>11</v>
      </c>
      <c r="AQ576" s="5" t="s">
        <v>18</v>
      </c>
      <c r="AR576" s="5" t="s">
        <v>17</v>
      </c>
    </row>
    <row r="577" spans="1:44" ht="31.5" x14ac:dyDescent="0.25">
      <c r="A577" s="10">
        <v>46096</v>
      </c>
      <c r="B577" s="5" t="s">
        <v>954</v>
      </c>
      <c r="C577" s="5" t="s">
        <v>2751</v>
      </c>
      <c r="D577" s="5" t="s">
        <v>11</v>
      </c>
      <c r="E577" s="5" t="s">
        <v>0</v>
      </c>
      <c r="F577" s="5" t="s">
        <v>0</v>
      </c>
      <c r="G577" s="5" t="s">
        <v>3103</v>
      </c>
      <c r="H577" s="5" t="s">
        <v>3121</v>
      </c>
      <c r="I577" s="6" t="str">
        <f>HYPERLINK("http://maps.yandex.ru/?ll=36.04687,51.7373&amp;spn=0.011598,0.004531&amp;z=17&amp;l=map&amp;pt=36.04687,51.7373", "51.73738//36.04687")</f>
        <v>51.73738//36.04687</v>
      </c>
      <c r="J577" s="5" t="s">
        <v>176</v>
      </c>
      <c r="K577" s="6" t="str">
        <f>HYPERLINK("http://maps.yandex.ru/?ll=34.315174,53.24080&amp;spn=0.011598,0.004531&amp;z=17&amp;l=map&amp;pt=34.315174,53.24080", "53.240803//34.315174")</f>
        <v>53.240803//34.315174</v>
      </c>
      <c r="L577" s="5" t="s">
        <v>3143</v>
      </c>
      <c r="M577" s="5" t="s">
        <v>218</v>
      </c>
      <c r="N577" s="5" t="s">
        <v>13</v>
      </c>
      <c r="O577" s="5" t="s">
        <v>629</v>
      </c>
      <c r="P577" s="5">
        <v>25</v>
      </c>
      <c r="Q577" s="5">
        <v>0</v>
      </c>
      <c r="R577" s="5">
        <v>75</v>
      </c>
      <c r="S577" s="5">
        <v>1133.4390000000001</v>
      </c>
      <c r="T577" s="5" t="s">
        <v>12</v>
      </c>
      <c r="U577" s="5" t="s">
        <v>12</v>
      </c>
      <c r="V577" s="5" t="s">
        <v>12</v>
      </c>
      <c r="W577" s="5">
        <v>47.23</v>
      </c>
      <c r="X577" s="5">
        <v>191.92</v>
      </c>
      <c r="Y577" s="5">
        <v>109</v>
      </c>
      <c r="Z577" s="5" t="s">
        <v>2105</v>
      </c>
      <c r="AA577" s="5" t="s">
        <v>1405</v>
      </c>
      <c r="AB577" s="5" t="s">
        <v>19</v>
      </c>
      <c r="AC577" s="5" t="s">
        <v>19</v>
      </c>
      <c r="AD577" s="5" t="s">
        <v>19</v>
      </c>
      <c r="AE577" s="5" t="s">
        <v>1777</v>
      </c>
      <c r="AF577" s="5" t="s">
        <v>12</v>
      </c>
      <c r="AG577" s="5"/>
      <c r="AH577" s="5"/>
      <c r="AI577" s="5"/>
      <c r="AJ577" s="5"/>
      <c r="AK577" s="5"/>
      <c r="AL577" s="5" t="s">
        <v>2752</v>
      </c>
      <c r="AM577" s="5" t="s">
        <v>5102</v>
      </c>
      <c r="AN577" s="5" t="s">
        <v>1615</v>
      </c>
      <c r="AO577" s="5" t="s">
        <v>69</v>
      </c>
      <c r="AP577" s="5" t="s">
        <v>68</v>
      </c>
      <c r="AQ577" s="5" t="s">
        <v>99</v>
      </c>
      <c r="AR577" s="5" t="s">
        <v>98</v>
      </c>
    </row>
    <row r="578" spans="1:44" ht="31.5" x14ac:dyDescent="0.25">
      <c r="A578" s="10">
        <v>46096</v>
      </c>
      <c r="B578" s="5" t="s">
        <v>953</v>
      </c>
      <c r="C578" s="5" t="s">
        <v>2753</v>
      </c>
      <c r="D578" s="5" t="s">
        <v>11</v>
      </c>
      <c r="E578" s="5" t="s">
        <v>1</v>
      </c>
      <c r="F578" s="5" t="s">
        <v>1</v>
      </c>
      <c r="G578" s="5" t="s">
        <v>5103</v>
      </c>
      <c r="H578" s="5" t="s">
        <v>5104</v>
      </c>
      <c r="I578" s="6" t="str">
        <f>HYPERLINK("http://maps.yandex.ru/?ll=30.61032,59.770&amp;spn=0.011598,0.004531&amp;z=17&amp;l=map&amp;pt=30.61032,59.770", "59.7703//30.61032")</f>
        <v>59.7703//30.61032</v>
      </c>
      <c r="J578" s="5" t="s">
        <v>23</v>
      </c>
      <c r="K578" s="6" t="str">
        <f>HYPERLINK("http://maps.yandex.ru/?ll=30.609446,59.77122&amp;spn=0.011598,0.004531&amp;z=17&amp;l=map&amp;pt=30.609446,59.77122", "59.771225//30.609446")</f>
        <v>59.771225//30.609446</v>
      </c>
      <c r="L578" s="5" t="s">
        <v>23</v>
      </c>
      <c r="M578" s="5" t="s">
        <v>917</v>
      </c>
      <c r="N578" s="5" t="s">
        <v>1415</v>
      </c>
      <c r="O578" s="5" t="s">
        <v>13</v>
      </c>
      <c r="P578" s="5">
        <v>0</v>
      </c>
      <c r="Q578" s="5">
        <v>100</v>
      </c>
      <c r="R578" s="5">
        <v>0</v>
      </c>
      <c r="S578" s="5">
        <v>9.7000000000000003E-2</v>
      </c>
      <c r="T578" s="5" t="s">
        <v>12</v>
      </c>
      <c r="U578" s="5" t="s">
        <v>12</v>
      </c>
      <c r="V578" s="5" t="s">
        <v>12</v>
      </c>
      <c r="W578" s="5">
        <v>0</v>
      </c>
      <c r="X578" s="5">
        <v>5.37</v>
      </c>
      <c r="Y578" s="5">
        <v>5</v>
      </c>
      <c r="Z578" s="5" t="s">
        <v>1707</v>
      </c>
      <c r="AA578" s="5" t="s">
        <v>1707</v>
      </c>
      <c r="AB578" s="5" t="s">
        <v>19</v>
      </c>
      <c r="AC578" s="5" t="s">
        <v>19</v>
      </c>
      <c r="AD578" s="5" t="s">
        <v>19</v>
      </c>
      <c r="AE578" s="5" t="s">
        <v>19</v>
      </c>
      <c r="AF578" s="5" t="s">
        <v>12</v>
      </c>
      <c r="AG578" s="5"/>
      <c r="AH578" s="5"/>
      <c r="AI578" s="5"/>
      <c r="AJ578" s="5"/>
      <c r="AK578" s="5"/>
      <c r="AL578" s="5" t="s">
        <v>5105</v>
      </c>
      <c r="AM578" s="5" t="s">
        <v>5106</v>
      </c>
      <c r="AN578" s="5" t="s">
        <v>1673</v>
      </c>
      <c r="AO578" s="5" t="s">
        <v>69</v>
      </c>
      <c r="AP578" s="5" t="s">
        <v>68</v>
      </c>
      <c r="AQ578" s="5" t="s">
        <v>99</v>
      </c>
      <c r="AR578" s="5" t="s">
        <v>98</v>
      </c>
    </row>
    <row r="579" spans="1:44" ht="15.75" x14ac:dyDescent="0.25">
      <c r="A579" s="10">
        <v>46096</v>
      </c>
      <c r="B579" s="5" t="s">
        <v>952</v>
      </c>
      <c r="C579" s="5" t="s">
        <v>2754</v>
      </c>
      <c r="D579" s="5" t="s">
        <v>11</v>
      </c>
      <c r="E579" s="5" t="s">
        <v>6</v>
      </c>
      <c r="F579" s="5" t="s">
        <v>6</v>
      </c>
      <c r="G579" s="5" t="s">
        <v>5107</v>
      </c>
      <c r="H579" s="5" t="s">
        <v>5108</v>
      </c>
      <c r="I579" s="6" t="str">
        <f>HYPERLINK("http://maps.yandex.ru/?ll=73.1926,54.98970&amp;spn=0.011598,0.004531&amp;z=17&amp;l=map&amp;pt=73.1926,54.98970", "54.989708//73.1926")</f>
        <v>54.989708//73.1926</v>
      </c>
      <c r="J579" s="5" t="s">
        <v>190</v>
      </c>
      <c r="K579" s="6" t="str">
        <f>HYPERLINK("http://maps.yandex.ru/?ll=73.1926,54.98970&amp;spn=0.011598,0.004531&amp;z=17&amp;l=map&amp;pt=73.1926,54.98970", "54.989708//73.1926")</f>
        <v>54.989708//73.1926</v>
      </c>
      <c r="L579" s="5" t="s">
        <v>190</v>
      </c>
      <c r="M579" s="5" t="s">
        <v>13</v>
      </c>
      <c r="N579" s="5" t="s">
        <v>58</v>
      </c>
      <c r="O579" s="5" t="s">
        <v>13</v>
      </c>
      <c r="P579" s="5">
        <v>0</v>
      </c>
      <c r="Q579" s="5">
        <v>100</v>
      </c>
      <c r="R579" s="5">
        <v>0</v>
      </c>
      <c r="S579" s="5">
        <v>0</v>
      </c>
      <c r="T579" s="5" t="s">
        <v>1673</v>
      </c>
      <c r="U579" s="5" t="s">
        <v>5109</v>
      </c>
      <c r="V579" s="5" t="s">
        <v>2755</v>
      </c>
      <c r="W579" s="5">
        <v>0</v>
      </c>
      <c r="X579" s="5">
        <v>0</v>
      </c>
      <c r="Y579" s="5">
        <v>4</v>
      </c>
      <c r="Z579" s="5" t="s">
        <v>2756</v>
      </c>
      <c r="AA579" s="5" t="s">
        <v>1499</v>
      </c>
      <c r="AB579" s="5" t="s">
        <v>19</v>
      </c>
      <c r="AC579" s="5" t="s">
        <v>19</v>
      </c>
      <c r="AD579" s="5" t="s">
        <v>19</v>
      </c>
      <c r="AE579" s="5" t="s">
        <v>1746</v>
      </c>
      <c r="AF579" s="5" t="s">
        <v>12</v>
      </c>
      <c r="AG579" s="5">
        <v>4</v>
      </c>
      <c r="AH579" s="5">
        <v>4</v>
      </c>
      <c r="AI579" s="5">
        <v>0</v>
      </c>
      <c r="AJ579" s="5">
        <v>400</v>
      </c>
      <c r="AK579" s="5">
        <v>0</v>
      </c>
      <c r="AL579" s="5" t="s">
        <v>12</v>
      </c>
      <c r="AM579" s="5" t="s">
        <v>12</v>
      </c>
      <c r="AN579" s="5" t="s">
        <v>12</v>
      </c>
      <c r="AO579" s="5" t="s">
        <v>11</v>
      </c>
      <c r="AP579" s="5" t="s">
        <v>11</v>
      </c>
      <c r="AQ579" s="5" t="s">
        <v>18</v>
      </c>
      <c r="AR579" s="5" t="s">
        <v>17</v>
      </c>
    </row>
    <row r="580" spans="1:44" ht="31.5" x14ac:dyDescent="0.25">
      <c r="A580" s="10">
        <v>46096</v>
      </c>
      <c r="B580" s="5" t="s">
        <v>951</v>
      </c>
      <c r="C580" s="5" t="s">
        <v>2757</v>
      </c>
      <c r="D580" s="5" t="s">
        <v>11</v>
      </c>
      <c r="E580" s="5" t="s">
        <v>4</v>
      </c>
      <c r="F580" s="5" t="s">
        <v>4</v>
      </c>
      <c r="G580" s="5" t="s">
        <v>5110</v>
      </c>
      <c r="H580" s="5" t="s">
        <v>5111</v>
      </c>
      <c r="I580" s="6" t="str">
        <f>HYPERLINK("http://maps.yandex.ru/?ll=82.67969,54.98714&amp;spn=0.011598,0.004531&amp;z=17&amp;l=map&amp;pt=82.67969,54.98714", "54.987144//82.67969")</f>
        <v>54.987144//82.67969</v>
      </c>
      <c r="J580" s="5" t="s">
        <v>39</v>
      </c>
      <c r="K580" s="6" t="str">
        <f>HYPERLINK("http://maps.yandex.ru/?ll=82.67969,54.98714&amp;spn=0.011598,0.004531&amp;z=17&amp;l=map&amp;pt=82.67969,54.98714", "54.987144//82.67969")</f>
        <v>54.987144//82.67969</v>
      </c>
      <c r="L580" s="5" t="s">
        <v>39</v>
      </c>
      <c r="M580" s="5" t="s">
        <v>13</v>
      </c>
      <c r="N580" s="5" t="s">
        <v>58</v>
      </c>
      <c r="O580" s="5" t="s">
        <v>13</v>
      </c>
      <c r="P580" s="5">
        <v>0</v>
      </c>
      <c r="Q580" s="5">
        <v>100</v>
      </c>
      <c r="R580" s="5">
        <v>0</v>
      </c>
      <c r="S580" s="5">
        <v>0</v>
      </c>
      <c r="T580" s="5" t="s">
        <v>12</v>
      </c>
      <c r="U580" s="5" t="s">
        <v>12</v>
      </c>
      <c r="V580" s="5" t="s">
        <v>12</v>
      </c>
      <c r="W580" s="5">
        <v>0</v>
      </c>
      <c r="X580" s="5">
        <v>0</v>
      </c>
      <c r="Y580" s="5">
        <v>5</v>
      </c>
      <c r="Z580" s="5" t="s">
        <v>1687</v>
      </c>
      <c r="AA580" s="5" t="s">
        <v>1670</v>
      </c>
      <c r="AB580" s="5" t="s">
        <v>19</v>
      </c>
      <c r="AC580" s="5" t="s">
        <v>19</v>
      </c>
      <c r="AD580" s="5" t="s">
        <v>19</v>
      </c>
      <c r="AE580" s="5" t="s">
        <v>1615</v>
      </c>
      <c r="AF580" s="5" t="s">
        <v>12</v>
      </c>
      <c r="AG580" s="5"/>
      <c r="AH580" s="5"/>
      <c r="AI580" s="5"/>
      <c r="AJ580" s="5"/>
      <c r="AK580" s="5"/>
      <c r="AL580" s="5" t="s">
        <v>2758</v>
      </c>
      <c r="AM580" s="5" t="s">
        <v>5112</v>
      </c>
      <c r="AN580" s="5" t="s">
        <v>1807</v>
      </c>
      <c r="AO580" s="5" t="s">
        <v>69</v>
      </c>
      <c r="AP580" s="5" t="s">
        <v>68</v>
      </c>
      <c r="AQ580" s="5" t="s">
        <v>99</v>
      </c>
      <c r="AR580" s="5" t="s">
        <v>98</v>
      </c>
    </row>
    <row r="581" spans="1:44" ht="31.5" x14ac:dyDescent="0.25">
      <c r="A581" s="10">
        <v>46096</v>
      </c>
      <c r="B581" s="5" t="s">
        <v>950</v>
      </c>
      <c r="C581" s="5" t="s">
        <v>2759</v>
      </c>
      <c r="D581" s="5" t="s">
        <v>11</v>
      </c>
      <c r="E581" s="5" t="s">
        <v>6</v>
      </c>
      <c r="F581" s="5" t="s">
        <v>6</v>
      </c>
      <c r="G581" s="5" t="s">
        <v>5113</v>
      </c>
      <c r="H581" s="5" t="s">
        <v>3121</v>
      </c>
      <c r="I581" s="6" t="str">
        <f>HYPERLINK("http://maps.yandex.ru/?ll=43.557316,48.6961&amp;spn=0.011598,0.004531&amp;z=17&amp;l=map&amp;pt=43.557316,48.6961", "48.69615//43.557316")</f>
        <v>48.69615//43.557316</v>
      </c>
      <c r="J581" s="5" t="s">
        <v>95</v>
      </c>
      <c r="K581" s="6" t="str">
        <f>HYPERLINK("http://maps.yandex.ru/?ll=39.66312,47.12375&amp;spn=0.011598,0.004531&amp;z=17&amp;l=map&amp;pt=39.66312,47.12375", "47.123753//39.66312")</f>
        <v>47.123753//39.66312</v>
      </c>
      <c r="L581" s="5" t="s">
        <v>64</v>
      </c>
      <c r="M581" s="5" t="s">
        <v>591</v>
      </c>
      <c r="N581" s="5" t="s">
        <v>4768</v>
      </c>
      <c r="O581" s="5" t="s">
        <v>955</v>
      </c>
      <c r="P581" s="5">
        <v>39</v>
      </c>
      <c r="Q581" s="5">
        <v>22</v>
      </c>
      <c r="R581" s="5">
        <v>39</v>
      </c>
      <c r="S581" s="5">
        <v>848.447</v>
      </c>
      <c r="T581" s="5" t="s">
        <v>1558</v>
      </c>
      <c r="U581" s="5" t="s">
        <v>5114</v>
      </c>
      <c r="V581" s="5" t="s">
        <v>5115</v>
      </c>
      <c r="W581" s="5">
        <v>35.35</v>
      </c>
      <c r="X581" s="5">
        <v>91.55</v>
      </c>
      <c r="Y581" s="5">
        <v>163</v>
      </c>
      <c r="Z581" s="5" t="s">
        <v>2142</v>
      </c>
      <c r="AA581" s="5" t="s">
        <v>1730</v>
      </c>
      <c r="AB581" s="5" t="s">
        <v>19</v>
      </c>
      <c r="AC581" s="5" t="s">
        <v>19</v>
      </c>
      <c r="AD581" s="5" t="s">
        <v>19</v>
      </c>
      <c r="AE581" s="5" t="s">
        <v>2153</v>
      </c>
      <c r="AF581" s="5" t="s">
        <v>5116</v>
      </c>
      <c r="AG581" s="5"/>
      <c r="AH581" s="5">
        <v>0</v>
      </c>
      <c r="AI581" s="5"/>
      <c r="AJ581" s="5">
        <v>0</v>
      </c>
      <c r="AK581" s="5">
        <v>0</v>
      </c>
      <c r="AL581" s="5" t="s">
        <v>12</v>
      </c>
      <c r="AM581" s="5" t="s">
        <v>12</v>
      </c>
      <c r="AN581" s="5" t="s">
        <v>12</v>
      </c>
      <c r="AO581" s="5" t="s">
        <v>11</v>
      </c>
      <c r="AP581" s="5" t="s">
        <v>11</v>
      </c>
      <c r="AQ581" s="5" t="s">
        <v>92</v>
      </c>
      <c r="AR581" s="5" t="s">
        <v>91</v>
      </c>
    </row>
    <row r="582" spans="1:44" ht="31.5" x14ac:dyDescent="0.25">
      <c r="A582" s="10">
        <v>46096</v>
      </c>
      <c r="B582" s="5" t="s">
        <v>949</v>
      </c>
      <c r="C582" s="5" t="s">
        <v>2760</v>
      </c>
      <c r="D582" s="5" t="s">
        <v>11</v>
      </c>
      <c r="E582" s="5" t="s">
        <v>0</v>
      </c>
      <c r="F582" s="5" t="s">
        <v>0</v>
      </c>
      <c r="G582" s="5" t="s">
        <v>5117</v>
      </c>
      <c r="H582" s="5" t="s">
        <v>5118</v>
      </c>
      <c r="I582" s="6" t="str">
        <f>HYPERLINK("http://maps.yandex.ru/?ll=38.39733,52.7732&amp;spn=0.011598,0.004531&amp;z=17&amp;l=map&amp;pt=38.39733,52.7732", "52.77327//38.39733")</f>
        <v>52.77327//38.39733</v>
      </c>
      <c r="J582" s="5" t="s">
        <v>151</v>
      </c>
      <c r="K582" s="6" t="str">
        <f>HYPERLINK("http://maps.yandex.ru/?ll=37.558174,55.4842&amp;spn=0.011598,0.004531&amp;z=17&amp;l=map&amp;pt=37.558174,55.4842", "55.48428//37.558174")</f>
        <v>55.48428//37.558174</v>
      </c>
      <c r="L582" s="5" t="s">
        <v>23</v>
      </c>
      <c r="M582" s="5" t="s">
        <v>3867</v>
      </c>
      <c r="N582" s="5" t="s">
        <v>5119</v>
      </c>
      <c r="O582" s="5" t="s">
        <v>1192</v>
      </c>
      <c r="P582" s="5">
        <v>18</v>
      </c>
      <c r="Q582" s="5">
        <v>77</v>
      </c>
      <c r="R582" s="5">
        <v>5</v>
      </c>
      <c r="S582" s="5">
        <v>288.08800000000002</v>
      </c>
      <c r="T582" s="5" t="s">
        <v>2712</v>
      </c>
      <c r="U582" s="5" t="s">
        <v>5120</v>
      </c>
      <c r="V582" s="5" t="s">
        <v>5121</v>
      </c>
      <c r="W582" s="5">
        <v>12</v>
      </c>
      <c r="X582" s="5">
        <v>65.55</v>
      </c>
      <c r="Y582" s="5">
        <v>147</v>
      </c>
      <c r="Z582" s="5" t="s">
        <v>2380</v>
      </c>
      <c r="AA582" s="5" t="s">
        <v>1958</v>
      </c>
      <c r="AB582" s="5" t="s">
        <v>19</v>
      </c>
      <c r="AC582" s="5" t="s">
        <v>19</v>
      </c>
      <c r="AD582" s="5" t="s">
        <v>19</v>
      </c>
      <c r="AE582" s="5" t="s">
        <v>2086</v>
      </c>
      <c r="AF582" s="5" t="s">
        <v>5122</v>
      </c>
      <c r="AG582" s="5"/>
      <c r="AH582" s="5">
        <v>0</v>
      </c>
      <c r="AI582" s="5"/>
      <c r="AJ582" s="5">
        <v>0</v>
      </c>
      <c r="AK582" s="5">
        <v>0</v>
      </c>
      <c r="AL582" s="5" t="s">
        <v>12</v>
      </c>
      <c r="AM582" s="5" t="s">
        <v>12</v>
      </c>
      <c r="AN582" s="5" t="s">
        <v>12</v>
      </c>
      <c r="AO582" s="5" t="s">
        <v>11</v>
      </c>
      <c r="AP582" s="5" t="s">
        <v>11</v>
      </c>
      <c r="AQ582" s="5" t="s">
        <v>92</v>
      </c>
      <c r="AR582" s="5" t="s">
        <v>91</v>
      </c>
    </row>
    <row r="583" spans="1:44" ht="31.5" x14ac:dyDescent="0.25">
      <c r="A583" s="10">
        <v>46096</v>
      </c>
      <c r="B583" s="5" t="s">
        <v>948</v>
      </c>
      <c r="C583" s="5" t="s">
        <v>2761</v>
      </c>
      <c r="D583" s="5" t="s">
        <v>11</v>
      </c>
      <c r="E583" s="5" t="s">
        <v>6</v>
      </c>
      <c r="F583" s="5" t="s">
        <v>6</v>
      </c>
      <c r="G583" s="5" t="s">
        <v>5123</v>
      </c>
      <c r="H583" s="5" t="s">
        <v>3121</v>
      </c>
      <c r="I583" s="6" t="str">
        <f>HYPERLINK("http://maps.yandex.ru/?ll=39.52568,45.58370&amp;spn=0.011598,0.004531&amp;z=17&amp;l=map&amp;pt=39.52568,45.58370", "45.583706//39.52568")</f>
        <v>45.583706//39.52568</v>
      </c>
      <c r="J583" s="5" t="s">
        <v>88</v>
      </c>
      <c r="K583" s="6" t="str">
        <f>HYPERLINK("http://maps.yandex.ru/?ll=37.785168,44.834&amp;spn=0.011598,0.004531&amp;z=17&amp;l=map&amp;pt=37.785168,44.834", "44.8343//37.785168")</f>
        <v>44.8343//37.785168</v>
      </c>
      <c r="L583" s="5" t="s">
        <v>88</v>
      </c>
      <c r="M583" s="5" t="s">
        <v>314</v>
      </c>
      <c r="N583" s="5" t="s">
        <v>5124</v>
      </c>
      <c r="O583" s="5" t="s">
        <v>4047</v>
      </c>
      <c r="P583" s="5">
        <v>35</v>
      </c>
      <c r="Q583" s="5">
        <v>47</v>
      </c>
      <c r="R583" s="5">
        <v>17</v>
      </c>
      <c r="S583" s="5">
        <v>753.71199999999999</v>
      </c>
      <c r="T583" s="5" t="s">
        <v>2634</v>
      </c>
      <c r="U583" s="5" t="s">
        <v>5125</v>
      </c>
      <c r="V583" s="5" t="s">
        <v>5126</v>
      </c>
      <c r="W583" s="5">
        <v>31.41</v>
      </c>
      <c r="X583" s="5">
        <v>88.78</v>
      </c>
      <c r="Y583" s="5">
        <v>180</v>
      </c>
      <c r="Z583" s="5" t="s">
        <v>2538</v>
      </c>
      <c r="AA583" s="5" t="s">
        <v>5127</v>
      </c>
      <c r="AB583" s="5" t="s">
        <v>2691</v>
      </c>
      <c r="AC583" s="5" t="s">
        <v>1673</v>
      </c>
      <c r="AD583" s="5" t="s">
        <v>19</v>
      </c>
      <c r="AE583" s="5" t="s">
        <v>2133</v>
      </c>
      <c r="AF583" s="5" t="s">
        <v>5128</v>
      </c>
      <c r="AG583" s="5"/>
      <c r="AH583" s="5">
        <v>0</v>
      </c>
      <c r="AI583" s="5"/>
      <c r="AJ583" s="5">
        <v>0</v>
      </c>
      <c r="AK583" s="5">
        <v>0</v>
      </c>
      <c r="AL583" s="5" t="s">
        <v>12</v>
      </c>
      <c r="AM583" s="5" t="s">
        <v>12</v>
      </c>
      <c r="AN583" s="5" t="s">
        <v>12</v>
      </c>
      <c r="AO583" s="5" t="s">
        <v>11</v>
      </c>
      <c r="AP583" s="5" t="s">
        <v>11</v>
      </c>
      <c r="AQ583" s="5" t="s">
        <v>92</v>
      </c>
      <c r="AR583" s="5" t="s">
        <v>91</v>
      </c>
    </row>
    <row r="584" spans="1:44" ht="31.5" x14ac:dyDescent="0.25">
      <c r="A584" s="10">
        <v>46096</v>
      </c>
      <c r="B584" s="5" t="s">
        <v>947</v>
      </c>
      <c r="C584" s="5" t="s">
        <v>2762</v>
      </c>
      <c r="D584" s="5" t="s">
        <v>11</v>
      </c>
      <c r="E584" s="5" t="s">
        <v>4</v>
      </c>
      <c r="F584" s="5" t="s">
        <v>4</v>
      </c>
      <c r="G584" s="5" t="s">
        <v>5129</v>
      </c>
      <c r="H584" s="5" t="s">
        <v>5130</v>
      </c>
      <c r="I584" s="6" t="str">
        <f>HYPERLINK("http://maps.yandex.ru/?ll=65.12912,55.46330&amp;spn=0.011598,0.004531&amp;z=17&amp;l=map&amp;pt=65.12912,55.46330", "55.463306//65.12912")</f>
        <v>55.463306//65.12912</v>
      </c>
      <c r="J584" s="5" t="s">
        <v>361</v>
      </c>
      <c r="K584" s="6" t="str">
        <f>HYPERLINK("http://maps.yandex.ru/?ll=56.308517,54.74434&amp;spn=0.011598,0.004531&amp;z=17&amp;l=map&amp;pt=56.308517,54.74434", "54.744347//56.308517")</f>
        <v>54.744347//56.308517</v>
      </c>
      <c r="L584" s="5" t="s">
        <v>34</v>
      </c>
      <c r="M584" s="5" t="s">
        <v>492</v>
      </c>
      <c r="N584" s="5" t="s">
        <v>1199</v>
      </c>
      <c r="O584" s="5" t="s">
        <v>13</v>
      </c>
      <c r="P584" s="5">
        <v>39</v>
      </c>
      <c r="Q584" s="5">
        <v>61</v>
      </c>
      <c r="R584" s="5">
        <v>0</v>
      </c>
      <c r="S584" s="5">
        <v>648.79899999999998</v>
      </c>
      <c r="T584" s="5" t="s">
        <v>5131</v>
      </c>
      <c r="U584" s="5" t="s">
        <v>5132</v>
      </c>
      <c r="V584" s="5" t="s">
        <v>5133</v>
      </c>
      <c r="W584" s="5">
        <v>27.03</v>
      </c>
      <c r="X584" s="5">
        <v>69.2</v>
      </c>
      <c r="Y584" s="5">
        <v>100</v>
      </c>
      <c r="Z584" s="5" t="s">
        <v>2763</v>
      </c>
      <c r="AA584" s="5" t="s">
        <v>5134</v>
      </c>
      <c r="AB584" s="5" t="s">
        <v>19</v>
      </c>
      <c r="AC584" s="5" t="s">
        <v>19</v>
      </c>
      <c r="AD584" s="5" t="s">
        <v>19</v>
      </c>
      <c r="AE584" s="5" t="s">
        <v>1933</v>
      </c>
      <c r="AF584" s="5" t="s">
        <v>5135</v>
      </c>
      <c r="AG584" s="5"/>
      <c r="AH584" s="5">
        <v>0</v>
      </c>
      <c r="AI584" s="5"/>
      <c r="AJ584" s="5">
        <v>0</v>
      </c>
      <c r="AK584" s="5">
        <v>0</v>
      </c>
      <c r="AL584" s="5" t="s">
        <v>12</v>
      </c>
      <c r="AM584" s="5" t="s">
        <v>12</v>
      </c>
      <c r="AN584" s="5" t="s">
        <v>12</v>
      </c>
      <c r="AO584" s="5" t="s">
        <v>11</v>
      </c>
      <c r="AP584" s="5" t="s">
        <v>11</v>
      </c>
      <c r="AQ584" s="5" t="s">
        <v>92</v>
      </c>
      <c r="AR584" s="5" t="s">
        <v>91</v>
      </c>
    </row>
    <row r="585" spans="1:44" ht="31.5" x14ac:dyDescent="0.25">
      <c r="A585" s="10">
        <v>46096</v>
      </c>
      <c r="B585" s="5" t="s">
        <v>946</v>
      </c>
      <c r="C585" s="5" t="s">
        <v>2764</v>
      </c>
      <c r="D585" s="5" t="s">
        <v>11</v>
      </c>
      <c r="E585" s="5" t="s">
        <v>6</v>
      </c>
      <c r="F585" s="5" t="s">
        <v>6</v>
      </c>
      <c r="G585" s="5" t="s">
        <v>5136</v>
      </c>
      <c r="H585" s="5" t="s">
        <v>5137</v>
      </c>
      <c r="I585" s="6" t="str">
        <f>HYPERLINK("http://maps.yandex.ru/?ll=38.39023,50.66736&amp;spn=0.011598,0.004531&amp;z=17&amp;l=map&amp;pt=38.39023,50.66736", "50.667362//38.39023")</f>
        <v>50.667362//38.39023</v>
      </c>
      <c r="J585" s="5" t="s">
        <v>934</v>
      </c>
      <c r="K585" s="6" t="str">
        <f>HYPERLINK("http://maps.yandex.ru/?ll=39.856476,46.13310&amp;spn=0.011598,0.004531&amp;z=17&amp;l=map&amp;pt=39.856476,46.13310", "46.133106//39.856476")</f>
        <v>46.133106//39.856476</v>
      </c>
      <c r="L585" s="5" t="s">
        <v>88</v>
      </c>
      <c r="M585" s="5" t="s">
        <v>633</v>
      </c>
      <c r="N585" s="5" t="s">
        <v>1308</v>
      </c>
      <c r="O585" s="5" t="s">
        <v>5138</v>
      </c>
      <c r="P585" s="5">
        <v>25</v>
      </c>
      <c r="Q585" s="5">
        <v>23</v>
      </c>
      <c r="R585" s="5">
        <v>51</v>
      </c>
      <c r="S585" s="5">
        <v>403.166</v>
      </c>
      <c r="T585" s="5" t="s">
        <v>2708</v>
      </c>
      <c r="U585" s="5" t="s">
        <v>5139</v>
      </c>
      <c r="V585" s="5" t="s">
        <v>5140</v>
      </c>
      <c r="W585" s="5">
        <v>16.8</v>
      </c>
      <c r="X585" s="5">
        <v>65.959999999999994</v>
      </c>
      <c r="Y585" s="5">
        <v>159</v>
      </c>
      <c r="Z585" s="5" t="s">
        <v>2143</v>
      </c>
      <c r="AA585" s="5" t="s">
        <v>1958</v>
      </c>
      <c r="AB585" s="5" t="s">
        <v>19</v>
      </c>
      <c r="AC585" s="5" t="s">
        <v>19</v>
      </c>
      <c r="AD585" s="5" t="s">
        <v>19</v>
      </c>
      <c r="AE585" s="5" t="s">
        <v>2571</v>
      </c>
      <c r="AF585" s="5" t="s">
        <v>5141</v>
      </c>
      <c r="AG585" s="5"/>
      <c r="AH585" s="5">
        <v>0</v>
      </c>
      <c r="AI585" s="5"/>
      <c r="AJ585" s="5">
        <v>0</v>
      </c>
      <c r="AK585" s="5">
        <v>0</v>
      </c>
      <c r="AL585" s="5" t="s">
        <v>12</v>
      </c>
      <c r="AM585" s="5" t="s">
        <v>12</v>
      </c>
      <c r="AN585" s="5" t="s">
        <v>12</v>
      </c>
      <c r="AO585" s="5" t="s">
        <v>11</v>
      </c>
      <c r="AP585" s="5" t="s">
        <v>11</v>
      </c>
      <c r="AQ585" s="5" t="s">
        <v>92</v>
      </c>
      <c r="AR585" s="5" t="s">
        <v>91</v>
      </c>
    </row>
    <row r="586" spans="1:44" ht="31.5" x14ac:dyDescent="0.25">
      <c r="A586" s="10">
        <v>46096</v>
      </c>
      <c r="B586" s="5" t="s">
        <v>943</v>
      </c>
      <c r="C586" s="5" t="s">
        <v>2766</v>
      </c>
      <c r="D586" s="5" t="s">
        <v>11</v>
      </c>
      <c r="E586" s="5" t="s">
        <v>4</v>
      </c>
      <c r="F586" s="5" t="s">
        <v>4</v>
      </c>
      <c r="G586" s="5" t="s">
        <v>5142</v>
      </c>
      <c r="H586" s="5" t="s">
        <v>5143</v>
      </c>
      <c r="I586" s="6" t="str">
        <f>HYPERLINK("http://maps.yandex.ru/?ll=76.66323,55.23839&amp;spn=0.011598,0.004531&amp;z=17&amp;l=map&amp;pt=76.66323,55.23839", "55.238396//76.66323")</f>
        <v>55.238396//76.66323</v>
      </c>
      <c r="J586" s="5" t="s">
        <v>39</v>
      </c>
      <c r="K586" s="6" t="str">
        <f>HYPERLINK("http://maps.yandex.ru/?ll=85.60651,55.32669&amp;spn=0.011598,0.004531&amp;z=17&amp;l=map&amp;pt=85.60651,55.32669", "55.326694//85.60651")</f>
        <v>55.326694//85.60651</v>
      </c>
      <c r="L586" s="5" t="s">
        <v>497</v>
      </c>
      <c r="M586" s="5" t="s">
        <v>1408</v>
      </c>
      <c r="N586" s="5" t="s">
        <v>1368</v>
      </c>
      <c r="O586" s="5" t="s">
        <v>13</v>
      </c>
      <c r="P586" s="5">
        <v>40</v>
      </c>
      <c r="Q586" s="5">
        <v>60</v>
      </c>
      <c r="R586" s="5">
        <v>0</v>
      </c>
      <c r="S586" s="5">
        <v>639.04999999999995</v>
      </c>
      <c r="T586" s="5" t="s">
        <v>2127</v>
      </c>
      <c r="U586" s="5" t="s">
        <v>5144</v>
      </c>
      <c r="V586" s="5" t="s">
        <v>5145</v>
      </c>
      <c r="W586" s="5">
        <v>26.63</v>
      </c>
      <c r="X586" s="5">
        <v>65.819999999999993</v>
      </c>
      <c r="Y586" s="5">
        <v>99</v>
      </c>
      <c r="Z586" s="5" t="s">
        <v>2255</v>
      </c>
      <c r="AA586" s="5" t="s">
        <v>2145</v>
      </c>
      <c r="AB586" s="5" t="s">
        <v>19</v>
      </c>
      <c r="AC586" s="5" t="s">
        <v>19</v>
      </c>
      <c r="AD586" s="5" t="s">
        <v>19</v>
      </c>
      <c r="AE586" s="5" t="s">
        <v>1586</v>
      </c>
      <c r="AF586" s="5" t="s">
        <v>5146</v>
      </c>
      <c r="AG586" s="5"/>
      <c r="AH586" s="5">
        <v>0</v>
      </c>
      <c r="AI586" s="5"/>
      <c r="AJ586" s="5">
        <v>0</v>
      </c>
      <c r="AK586" s="5">
        <v>0</v>
      </c>
      <c r="AL586" s="5" t="s">
        <v>12</v>
      </c>
      <c r="AM586" s="5" t="s">
        <v>12</v>
      </c>
      <c r="AN586" s="5" t="s">
        <v>12</v>
      </c>
      <c r="AO586" s="5" t="s">
        <v>11</v>
      </c>
      <c r="AP586" s="5" t="s">
        <v>11</v>
      </c>
      <c r="AQ586" s="5" t="s">
        <v>92</v>
      </c>
      <c r="AR586" s="5" t="s">
        <v>91</v>
      </c>
    </row>
    <row r="587" spans="1:44" ht="31.5" x14ac:dyDescent="0.25">
      <c r="A587" s="10">
        <v>46096</v>
      </c>
      <c r="B587" s="5" t="s">
        <v>941</v>
      </c>
      <c r="C587" s="5" t="s">
        <v>2768</v>
      </c>
      <c r="D587" s="5" t="s">
        <v>11</v>
      </c>
      <c r="E587" s="5" t="s">
        <v>4</v>
      </c>
      <c r="F587" s="5" t="s">
        <v>4</v>
      </c>
      <c r="G587" s="5" t="s">
        <v>5147</v>
      </c>
      <c r="H587" s="5" t="s">
        <v>3121</v>
      </c>
      <c r="I587" s="6" t="str">
        <f>HYPERLINK("http://maps.yandex.ru/?ll=38.469097,55.59277&amp;spn=0.011598,0.004531&amp;z=17&amp;l=map&amp;pt=38.469097,55.59277", "55.592773//38.469097")</f>
        <v>55.592773//38.469097</v>
      </c>
      <c r="J587" s="5" t="s">
        <v>56</v>
      </c>
      <c r="K587" s="6" t="str">
        <f>HYPERLINK("http://maps.yandex.ru/?ll=37.800262,55.9326&amp;spn=0.011598,0.004531&amp;z=17&amp;l=map&amp;pt=37.800262,55.9326", "55.93265//37.800262")</f>
        <v>55.93265//37.800262</v>
      </c>
      <c r="L587" s="5" t="s">
        <v>56</v>
      </c>
      <c r="M587" s="5" t="s">
        <v>529</v>
      </c>
      <c r="N587" s="5" t="s">
        <v>484</v>
      </c>
      <c r="O587" s="5" t="s">
        <v>840</v>
      </c>
      <c r="P587" s="5">
        <v>22</v>
      </c>
      <c r="Q587" s="5">
        <v>43</v>
      </c>
      <c r="R587" s="5">
        <v>35</v>
      </c>
      <c r="S587" s="5">
        <v>235.70099999999999</v>
      </c>
      <c r="T587" s="5" t="s">
        <v>1807</v>
      </c>
      <c r="U587" s="5" t="s">
        <v>5148</v>
      </c>
      <c r="V587" s="5" t="s">
        <v>5149</v>
      </c>
      <c r="W587" s="5">
        <v>9.82</v>
      </c>
      <c r="X587" s="5">
        <v>43.88</v>
      </c>
      <c r="Y587" s="5">
        <v>219</v>
      </c>
      <c r="Z587" s="5" t="s">
        <v>2770</v>
      </c>
      <c r="AA587" s="5" t="s">
        <v>3125</v>
      </c>
      <c r="AB587" s="5" t="s">
        <v>19</v>
      </c>
      <c r="AC587" s="5" t="s">
        <v>19</v>
      </c>
      <c r="AD587" s="5" t="s">
        <v>19</v>
      </c>
      <c r="AE587" s="5" t="s">
        <v>1870</v>
      </c>
      <c r="AF587" s="5" t="s">
        <v>5150</v>
      </c>
      <c r="AG587" s="5"/>
      <c r="AH587" s="5">
        <v>0</v>
      </c>
      <c r="AI587" s="5"/>
      <c r="AJ587" s="5">
        <v>0</v>
      </c>
      <c r="AK587" s="5">
        <v>0</v>
      </c>
      <c r="AL587" s="5" t="s">
        <v>12</v>
      </c>
      <c r="AM587" s="5" t="s">
        <v>12</v>
      </c>
      <c r="AN587" s="5" t="s">
        <v>12</v>
      </c>
      <c r="AO587" s="5" t="s">
        <v>11</v>
      </c>
      <c r="AP587" s="5" t="s">
        <v>11</v>
      </c>
      <c r="AQ587" s="5" t="s">
        <v>92</v>
      </c>
      <c r="AR587" s="5" t="s">
        <v>91</v>
      </c>
    </row>
    <row r="588" spans="1:44" ht="31.5" x14ac:dyDescent="0.25">
      <c r="A588" s="10">
        <v>46096</v>
      </c>
      <c r="B588" s="5" t="s">
        <v>939</v>
      </c>
      <c r="C588" s="5" t="s">
        <v>2771</v>
      </c>
      <c r="D588" s="5" t="s">
        <v>11</v>
      </c>
      <c r="E588" s="5" t="s">
        <v>7</v>
      </c>
      <c r="F588" s="5" t="s">
        <v>7</v>
      </c>
      <c r="G588" s="5" t="s">
        <v>5151</v>
      </c>
      <c r="H588" s="5" t="s">
        <v>5152</v>
      </c>
      <c r="I588" s="6" t="str">
        <f>HYPERLINK("http://maps.yandex.ru/?ll=30.258598,60.10185&amp;spn=0.011598,0.004531&amp;z=17&amp;l=map&amp;pt=30.258598,60.10185", "60.101856//30.258598")</f>
        <v>60.101856//30.258598</v>
      </c>
      <c r="J588" s="5" t="s">
        <v>23</v>
      </c>
      <c r="K588" s="6" t="str">
        <f>HYPERLINK("http://maps.yandex.ru/?ll=30.245888,60.0997&amp;spn=0.011598,0.004531&amp;z=17&amp;l=map&amp;pt=30.245888,60.0997", "60.09974//30.245888")</f>
        <v>60.09974//30.245888</v>
      </c>
      <c r="L588" s="5" t="s">
        <v>23</v>
      </c>
      <c r="M588" s="5" t="s">
        <v>1260</v>
      </c>
      <c r="N588" s="5" t="s">
        <v>5153</v>
      </c>
      <c r="O588" s="5" t="s">
        <v>13</v>
      </c>
      <c r="P588" s="5">
        <v>1</v>
      </c>
      <c r="Q588" s="5">
        <v>99</v>
      </c>
      <c r="R588" s="5">
        <v>0</v>
      </c>
      <c r="S588" s="5">
        <v>4.4320000000000004</v>
      </c>
      <c r="T588" s="5" t="s">
        <v>1615</v>
      </c>
      <c r="U588" s="5" t="s">
        <v>5154</v>
      </c>
      <c r="V588" s="5" t="s">
        <v>5155</v>
      </c>
      <c r="W588" s="5">
        <v>0.18</v>
      </c>
      <c r="X588" s="5">
        <v>19.63</v>
      </c>
      <c r="Y588" s="5">
        <v>71</v>
      </c>
      <c r="Z588" s="5" t="s">
        <v>2772</v>
      </c>
      <c r="AA588" s="5" t="s">
        <v>2052</v>
      </c>
      <c r="AB588" s="5" t="s">
        <v>19</v>
      </c>
      <c r="AC588" s="5" t="s">
        <v>19</v>
      </c>
      <c r="AD588" s="5" t="s">
        <v>19</v>
      </c>
      <c r="AE588" s="5" t="s">
        <v>1889</v>
      </c>
      <c r="AF588" s="5" t="s">
        <v>5156</v>
      </c>
      <c r="AG588" s="5"/>
      <c r="AH588" s="5">
        <v>0</v>
      </c>
      <c r="AI588" s="5"/>
      <c r="AJ588" s="5">
        <v>0</v>
      </c>
      <c r="AK588" s="5">
        <v>0</v>
      </c>
      <c r="AL588" s="5" t="s">
        <v>12</v>
      </c>
      <c r="AM588" s="5" t="s">
        <v>12</v>
      </c>
      <c r="AN588" s="5" t="s">
        <v>12</v>
      </c>
      <c r="AO588" s="5" t="s">
        <v>11</v>
      </c>
      <c r="AP588" s="5" t="s">
        <v>11</v>
      </c>
      <c r="AQ588" s="5" t="s">
        <v>92</v>
      </c>
      <c r="AR588" s="5" t="s">
        <v>91</v>
      </c>
    </row>
    <row r="589" spans="1:44" ht="31.5" x14ac:dyDescent="0.25">
      <c r="A589" s="10">
        <v>46096</v>
      </c>
      <c r="B589" s="5" t="s">
        <v>938</v>
      </c>
      <c r="C589" s="5" t="s">
        <v>2773</v>
      </c>
      <c r="D589" s="5" t="s">
        <v>11</v>
      </c>
      <c r="E589" s="5" t="s">
        <v>7</v>
      </c>
      <c r="F589" s="5" t="s">
        <v>7</v>
      </c>
      <c r="G589" s="5" t="s">
        <v>3103</v>
      </c>
      <c r="H589" s="5" t="s">
        <v>5157</v>
      </c>
      <c r="I589" s="6" t="str">
        <f>HYPERLINK("http://maps.yandex.ru/?ll=41.657703,57.1561&amp;spn=0.011598,0.004531&amp;z=17&amp;l=map&amp;pt=41.657703,57.1561", "57.15611//41.657703")</f>
        <v>57.15611//41.657703</v>
      </c>
      <c r="J589" s="5" t="s">
        <v>582</v>
      </c>
      <c r="K589" s="6" t="str">
        <f>HYPERLINK("http://maps.yandex.ru/?ll=39.960857,56.01323&amp;spn=0.011598,0.004531&amp;z=17&amp;l=map&amp;pt=39.960857,56.01323", "56.013233//39.960857")</f>
        <v>56.013233//39.960857</v>
      </c>
      <c r="L589" s="5" t="s">
        <v>49</v>
      </c>
      <c r="M589" s="5" t="s">
        <v>874</v>
      </c>
      <c r="N589" s="5" t="s">
        <v>1357</v>
      </c>
      <c r="O589" s="5" t="s">
        <v>280</v>
      </c>
      <c r="P589" s="5">
        <v>40</v>
      </c>
      <c r="Q589" s="5">
        <v>14</v>
      </c>
      <c r="R589" s="5">
        <v>47</v>
      </c>
      <c r="S589" s="5">
        <v>343.52800000000002</v>
      </c>
      <c r="T589" s="5" t="s">
        <v>2239</v>
      </c>
      <c r="U589" s="5" t="s">
        <v>5158</v>
      </c>
      <c r="V589" s="5" t="s">
        <v>5159</v>
      </c>
      <c r="W589" s="5">
        <v>14.31</v>
      </c>
      <c r="X589" s="5">
        <v>35.979999999999997</v>
      </c>
      <c r="Y589" s="5">
        <v>113</v>
      </c>
      <c r="Z589" s="5" t="s">
        <v>1713</v>
      </c>
      <c r="AA589" s="5" t="s">
        <v>1529</v>
      </c>
      <c r="AB589" s="5" t="s">
        <v>19</v>
      </c>
      <c r="AC589" s="5" t="s">
        <v>19</v>
      </c>
      <c r="AD589" s="5" t="s">
        <v>19</v>
      </c>
      <c r="AE589" s="5" t="s">
        <v>2318</v>
      </c>
      <c r="AF589" s="5" t="s">
        <v>5160</v>
      </c>
      <c r="AG589" s="5">
        <v>54</v>
      </c>
      <c r="AH589" s="5">
        <v>0</v>
      </c>
      <c r="AI589" s="5">
        <v>54</v>
      </c>
      <c r="AJ589" s="5">
        <v>36.729999999999997</v>
      </c>
      <c r="AK589" s="5">
        <v>36.729999999999997</v>
      </c>
      <c r="AL589" s="5" t="s">
        <v>12</v>
      </c>
      <c r="AM589" s="5" t="s">
        <v>12</v>
      </c>
      <c r="AN589" s="5" t="s">
        <v>12</v>
      </c>
      <c r="AO589" s="5" t="s">
        <v>11</v>
      </c>
      <c r="AP589" s="5" t="s">
        <v>11</v>
      </c>
      <c r="AQ589" s="5" t="s">
        <v>53</v>
      </c>
      <c r="AR589" s="5" t="s">
        <v>52</v>
      </c>
    </row>
    <row r="590" spans="1:44" ht="31.5" x14ac:dyDescent="0.25">
      <c r="A590" s="10">
        <v>46096</v>
      </c>
      <c r="B590" s="5" t="s">
        <v>937</v>
      </c>
      <c r="C590" s="5" t="s">
        <v>2774</v>
      </c>
      <c r="D590" s="5" t="s">
        <v>11</v>
      </c>
      <c r="E590" s="5" t="s">
        <v>8</v>
      </c>
      <c r="F590" s="5" t="s">
        <v>8</v>
      </c>
      <c r="G590" s="5" t="s">
        <v>5161</v>
      </c>
      <c r="H590" s="5" t="s">
        <v>5162</v>
      </c>
      <c r="I590" s="6" t="str">
        <f>HYPERLINK("http://maps.yandex.ru/?ll=37.42922,56.0120&amp;spn=0.011598,0.004531&amp;z=17&amp;l=map&amp;pt=37.42922,56.0120", "56.01202//37.42922")</f>
        <v>56.01202//37.42922</v>
      </c>
      <c r="J590" s="5" t="s">
        <v>56</v>
      </c>
      <c r="K590" s="6" t="str">
        <f>HYPERLINK("http://maps.yandex.ru/?ll=34.216946,53.1775&amp;spn=0.011598,0.004531&amp;z=17&amp;l=map&amp;pt=34.216946,53.1775", "53.17757//34.216946")</f>
        <v>53.17757//34.216946</v>
      </c>
      <c r="L590" s="5" t="s">
        <v>3143</v>
      </c>
      <c r="M590" s="5" t="s">
        <v>521</v>
      </c>
      <c r="N590" s="5" t="s">
        <v>1511</v>
      </c>
      <c r="O590" s="5" t="s">
        <v>657</v>
      </c>
      <c r="P590" s="5">
        <v>26</v>
      </c>
      <c r="Q590" s="5">
        <v>61</v>
      </c>
      <c r="R590" s="5">
        <v>14</v>
      </c>
      <c r="S590" s="5">
        <v>371.93</v>
      </c>
      <c r="T590" s="5" t="s">
        <v>4564</v>
      </c>
      <c r="U590" s="5" t="s">
        <v>5163</v>
      </c>
      <c r="V590" s="5" t="s">
        <v>5164</v>
      </c>
      <c r="W590" s="5">
        <v>15.5</v>
      </c>
      <c r="X590" s="5">
        <v>60.63</v>
      </c>
      <c r="Y590" s="5">
        <v>205</v>
      </c>
      <c r="Z590" s="5" t="s">
        <v>2098</v>
      </c>
      <c r="AA590" s="5" t="s">
        <v>2032</v>
      </c>
      <c r="AB590" s="5" t="s">
        <v>1515</v>
      </c>
      <c r="AC590" s="5" t="s">
        <v>1673</v>
      </c>
      <c r="AD590" s="5" t="s">
        <v>19</v>
      </c>
      <c r="AE590" s="5" t="s">
        <v>2440</v>
      </c>
      <c r="AF590" s="5" t="s">
        <v>5165</v>
      </c>
      <c r="AG590" s="5">
        <v>142</v>
      </c>
      <c r="AH590" s="5">
        <v>3</v>
      </c>
      <c r="AI590" s="5">
        <v>139</v>
      </c>
      <c r="AJ590" s="5">
        <v>29.4</v>
      </c>
      <c r="AK590" s="5">
        <v>28.78</v>
      </c>
      <c r="AL590" s="5" t="s">
        <v>12</v>
      </c>
      <c r="AM590" s="5" t="s">
        <v>12</v>
      </c>
      <c r="AN590" s="5" t="s">
        <v>12</v>
      </c>
      <c r="AO590" s="5" t="s">
        <v>11</v>
      </c>
      <c r="AP590" s="5" t="s">
        <v>11</v>
      </c>
      <c r="AQ590" s="5" t="s">
        <v>18</v>
      </c>
      <c r="AR590" s="5" t="s">
        <v>74</v>
      </c>
    </row>
    <row r="591" spans="1:44" ht="31.5" x14ac:dyDescent="0.25">
      <c r="A591" s="10">
        <v>46096</v>
      </c>
      <c r="B591" s="5" t="s">
        <v>936</v>
      </c>
      <c r="C591" s="5" t="s">
        <v>2775</v>
      </c>
      <c r="D591" s="5" t="s">
        <v>11</v>
      </c>
      <c r="E591" s="5" t="s">
        <v>4</v>
      </c>
      <c r="F591" s="5" t="s">
        <v>4</v>
      </c>
      <c r="G591" s="5" t="s">
        <v>5166</v>
      </c>
      <c r="H591" s="5" t="s">
        <v>5167</v>
      </c>
      <c r="I591" s="6" t="str">
        <f>HYPERLINK("http://maps.yandex.ru/?ll=40.59572,48.151&amp;spn=0.011598,0.004531&amp;z=17&amp;l=map&amp;pt=40.59572,48.151", "48.1518//40.59572")</f>
        <v>48.1518//40.59572</v>
      </c>
      <c r="J591" s="5" t="s">
        <v>64</v>
      </c>
      <c r="K591" s="6" t="str">
        <f>HYPERLINK("http://maps.yandex.ru/?ll=44.515648,48.78492&amp;spn=0.011598,0.004531&amp;z=17&amp;l=map&amp;pt=44.515648,48.78492", "48.784924//44.515648")</f>
        <v>48.784924//44.515648</v>
      </c>
      <c r="L591" s="5" t="s">
        <v>95</v>
      </c>
      <c r="M591" s="5" t="s">
        <v>279</v>
      </c>
      <c r="N591" s="5" t="s">
        <v>4647</v>
      </c>
      <c r="O591" s="5" t="s">
        <v>1461</v>
      </c>
      <c r="P591" s="5">
        <v>31</v>
      </c>
      <c r="Q591" s="5">
        <v>49</v>
      </c>
      <c r="R591" s="5">
        <v>20</v>
      </c>
      <c r="S591" s="5">
        <v>450.185</v>
      </c>
      <c r="T591" s="5" t="s">
        <v>1622</v>
      </c>
      <c r="U591" s="5" t="s">
        <v>5168</v>
      </c>
      <c r="V591" s="5" t="s">
        <v>5169</v>
      </c>
      <c r="W591" s="5">
        <v>18.760000000000002</v>
      </c>
      <c r="X591" s="5">
        <v>60.15</v>
      </c>
      <c r="Y591" s="5">
        <v>237</v>
      </c>
      <c r="Z591" s="5" t="s">
        <v>2450</v>
      </c>
      <c r="AA591" s="5" t="s">
        <v>1872</v>
      </c>
      <c r="AB591" s="5" t="s">
        <v>4023</v>
      </c>
      <c r="AC591" s="5" t="s">
        <v>1673</v>
      </c>
      <c r="AD591" s="5" t="s">
        <v>19</v>
      </c>
      <c r="AE591" s="5" t="s">
        <v>1910</v>
      </c>
      <c r="AF591" s="5" t="s">
        <v>5170</v>
      </c>
      <c r="AG591" s="5"/>
      <c r="AH591" s="5">
        <v>0</v>
      </c>
      <c r="AI591" s="5"/>
      <c r="AJ591" s="5">
        <v>0</v>
      </c>
      <c r="AK591" s="5">
        <v>0</v>
      </c>
      <c r="AL591" s="5" t="s">
        <v>12</v>
      </c>
      <c r="AM591" s="5" t="s">
        <v>12</v>
      </c>
      <c r="AN591" s="5" t="s">
        <v>12</v>
      </c>
      <c r="AO591" s="5" t="s">
        <v>11</v>
      </c>
      <c r="AP591" s="5" t="s">
        <v>11</v>
      </c>
      <c r="AQ591" s="5" t="s">
        <v>31</v>
      </c>
      <c r="AR591" s="5" t="s">
        <v>30</v>
      </c>
    </row>
    <row r="592" spans="1:44" ht="31.5" x14ac:dyDescent="0.25">
      <c r="A592" s="10">
        <v>46096</v>
      </c>
      <c r="B592" s="5" t="s">
        <v>935</v>
      </c>
      <c r="C592" s="5" t="s">
        <v>2777</v>
      </c>
      <c r="D592" s="5" t="s">
        <v>11</v>
      </c>
      <c r="E592" s="5" t="s">
        <v>5</v>
      </c>
      <c r="F592" s="5" t="s">
        <v>5</v>
      </c>
      <c r="G592" s="5" t="s">
        <v>3103</v>
      </c>
      <c r="H592" s="5" t="s">
        <v>3121</v>
      </c>
      <c r="I592" s="6" t="str">
        <f>HYPERLINK("http://maps.yandex.ru/?ll=39.264797,51.65151&amp;spn=0.011598,0.004531&amp;z=17&amp;l=map&amp;pt=39.264797,51.65151", "51.651512//39.264797")</f>
        <v>51.651512//39.264797</v>
      </c>
      <c r="J592" s="5" t="s">
        <v>101</v>
      </c>
      <c r="K592" s="6" t="str">
        <f>HYPERLINK("http://maps.yandex.ru/?ll=41.33597,56.90793&amp;spn=0.011598,0.004531&amp;z=17&amp;l=map&amp;pt=41.33597,56.90793", "56.907936//41.33597")</f>
        <v>56.907936//41.33597</v>
      </c>
      <c r="L592" s="5" t="s">
        <v>582</v>
      </c>
      <c r="M592" s="5" t="s">
        <v>739</v>
      </c>
      <c r="N592" s="5" t="s">
        <v>1458</v>
      </c>
      <c r="O592" s="5" t="s">
        <v>273</v>
      </c>
      <c r="P592" s="5">
        <v>43</v>
      </c>
      <c r="Q592" s="5">
        <v>15</v>
      </c>
      <c r="R592" s="5">
        <v>42</v>
      </c>
      <c r="S592" s="5">
        <v>491.78800000000001</v>
      </c>
      <c r="T592" s="5" t="s">
        <v>2670</v>
      </c>
      <c r="U592" s="5" t="s">
        <v>2778</v>
      </c>
      <c r="V592" s="5" t="s">
        <v>5171</v>
      </c>
      <c r="W592" s="5">
        <v>20.49</v>
      </c>
      <c r="X592" s="5">
        <v>48.21</v>
      </c>
      <c r="Y592" s="5">
        <v>106</v>
      </c>
      <c r="Z592" s="5" t="s">
        <v>4437</v>
      </c>
      <c r="AA592" s="5" t="s">
        <v>2798</v>
      </c>
      <c r="AB592" s="5" t="s">
        <v>19</v>
      </c>
      <c r="AC592" s="5" t="s">
        <v>19</v>
      </c>
      <c r="AD592" s="5" t="s">
        <v>19</v>
      </c>
      <c r="AE592" s="5" t="s">
        <v>2006</v>
      </c>
      <c r="AF592" s="5" t="s">
        <v>5172</v>
      </c>
      <c r="AG592" s="5">
        <v>172</v>
      </c>
      <c r="AH592" s="5">
        <v>21</v>
      </c>
      <c r="AI592" s="5">
        <v>151</v>
      </c>
      <c r="AJ592" s="5">
        <v>30.82</v>
      </c>
      <c r="AK592" s="5">
        <v>27.06</v>
      </c>
      <c r="AL592" s="5" t="s">
        <v>12</v>
      </c>
      <c r="AM592" s="5" t="s">
        <v>12</v>
      </c>
      <c r="AN592" s="5" t="s">
        <v>12</v>
      </c>
      <c r="AO592" s="5" t="s">
        <v>11</v>
      </c>
      <c r="AP592" s="5" t="s">
        <v>11</v>
      </c>
      <c r="AQ592" s="5" t="s">
        <v>53</v>
      </c>
      <c r="AR592" s="5" t="s">
        <v>52</v>
      </c>
    </row>
    <row r="593" spans="1:44" ht="15.75" x14ac:dyDescent="0.25">
      <c r="A593" s="10">
        <v>46096</v>
      </c>
      <c r="B593" s="5" t="s">
        <v>932</v>
      </c>
      <c r="C593" s="5" t="s">
        <v>2780</v>
      </c>
      <c r="D593" s="5" t="s">
        <v>11</v>
      </c>
      <c r="E593" s="5" t="s">
        <v>11</v>
      </c>
      <c r="F593" s="5" t="s">
        <v>11</v>
      </c>
      <c r="G593" s="5" t="s">
        <v>11</v>
      </c>
      <c r="H593" s="5" t="s">
        <v>11</v>
      </c>
      <c r="I593" s="6" t="str">
        <f>HYPERLINK("http://maps.yandex.ru/?ll=,&amp;spn=0.011598,0.004531&amp;z=17&amp;l=map&amp;pt=,", "")</f>
        <v/>
      </c>
      <c r="J593" s="5" t="s">
        <v>84</v>
      </c>
      <c r="K593" s="6" t="str">
        <f>HYPERLINK("http://maps.yandex.ru/?ll=,&amp;spn=0.011598,0.004531&amp;z=17&amp;l=map&amp;pt=,", "")</f>
        <v/>
      </c>
      <c r="L593" s="5" t="s">
        <v>84</v>
      </c>
      <c r="M593" s="5" t="s">
        <v>13</v>
      </c>
      <c r="N593" s="5" t="s">
        <v>13</v>
      </c>
      <c r="O593" s="5" t="s">
        <v>58</v>
      </c>
      <c r="P593" s="5">
        <v>0</v>
      </c>
      <c r="Q593" s="5">
        <v>0</v>
      </c>
      <c r="R593" s="5">
        <v>100</v>
      </c>
      <c r="S593" s="5">
        <v>0</v>
      </c>
      <c r="T593" s="5" t="s">
        <v>12</v>
      </c>
      <c r="U593" s="5" t="s">
        <v>12</v>
      </c>
      <c r="V593" s="5" t="s">
        <v>12</v>
      </c>
      <c r="W593" s="5">
        <v>0</v>
      </c>
      <c r="X593" s="5">
        <v>0</v>
      </c>
      <c r="Y593" s="5">
        <v>0</v>
      </c>
      <c r="Z593" s="5" t="s">
        <v>12</v>
      </c>
      <c r="AA593" s="5" t="s">
        <v>12</v>
      </c>
      <c r="AB593" s="5" t="s">
        <v>12</v>
      </c>
      <c r="AC593" s="5" t="s">
        <v>12</v>
      </c>
      <c r="AD593" s="5" t="s">
        <v>12</v>
      </c>
      <c r="AE593" s="5" t="s">
        <v>12</v>
      </c>
      <c r="AF593" s="5" t="s">
        <v>12</v>
      </c>
      <c r="AG593" s="5"/>
      <c r="AH593" s="5">
        <v>0</v>
      </c>
      <c r="AI593" s="5"/>
      <c r="AJ593" s="5"/>
      <c r="AK593" s="5"/>
      <c r="AL593" s="5" t="s">
        <v>12</v>
      </c>
      <c r="AM593" s="5" t="s">
        <v>12</v>
      </c>
      <c r="AN593" s="5" t="s">
        <v>12</v>
      </c>
      <c r="AO593" s="5" t="s">
        <v>11</v>
      </c>
      <c r="AP593" s="5" t="s">
        <v>11</v>
      </c>
      <c r="AQ593" s="5" t="s">
        <v>37</v>
      </c>
      <c r="AR593" s="5" t="s">
        <v>794</v>
      </c>
    </row>
    <row r="594" spans="1:44" ht="31.5" x14ac:dyDescent="0.25">
      <c r="A594" s="10">
        <v>46096</v>
      </c>
      <c r="B594" s="5" t="s">
        <v>931</v>
      </c>
      <c r="C594" s="5" t="s">
        <v>2781</v>
      </c>
      <c r="D594" s="5" t="s">
        <v>11</v>
      </c>
      <c r="E594" s="5" t="s">
        <v>11</v>
      </c>
      <c r="F594" s="5" t="s">
        <v>11</v>
      </c>
      <c r="G594" s="5" t="s">
        <v>5173</v>
      </c>
      <c r="H594" s="5" t="s">
        <v>3121</v>
      </c>
      <c r="I594" s="6" t="str">
        <f>HYPERLINK("http://maps.yandex.ru/?ll=38.507473,55.84957&amp;spn=0.011598,0.004531&amp;z=17&amp;l=map&amp;pt=38.507473,55.84957", "55.849575//38.507473")</f>
        <v>55.849575//38.507473</v>
      </c>
      <c r="J594" s="5" t="s">
        <v>56</v>
      </c>
      <c r="K594" s="6" t="str">
        <f>HYPERLINK("http://maps.yandex.ru/?ll=38.829,55.69072&amp;spn=0.011598,0.004531&amp;z=17&amp;l=map&amp;pt=38.829,55.69072", "55.690723//38.829")</f>
        <v>55.690723//38.829</v>
      </c>
      <c r="L594" s="5" t="s">
        <v>56</v>
      </c>
      <c r="M594" s="5" t="s">
        <v>4483</v>
      </c>
      <c r="N594" s="5" t="s">
        <v>187</v>
      </c>
      <c r="O594" s="5" t="s">
        <v>1008</v>
      </c>
      <c r="P594" s="5">
        <v>27</v>
      </c>
      <c r="Q594" s="5">
        <v>48</v>
      </c>
      <c r="R594" s="5">
        <v>25</v>
      </c>
      <c r="S594" s="5">
        <v>175.87100000000001</v>
      </c>
      <c r="T594" s="5" t="s">
        <v>1993</v>
      </c>
      <c r="U594" s="5" t="s">
        <v>2782</v>
      </c>
      <c r="V594" s="5" t="s">
        <v>5174</v>
      </c>
      <c r="W594" s="5">
        <v>7.33</v>
      </c>
      <c r="X594" s="5">
        <v>27.47</v>
      </c>
      <c r="Y594" s="5">
        <v>107</v>
      </c>
      <c r="Z594" s="5" t="s">
        <v>2783</v>
      </c>
      <c r="AA594" s="5" t="s">
        <v>2933</v>
      </c>
      <c r="AB594" s="5" t="s">
        <v>19</v>
      </c>
      <c r="AC594" s="5" t="s">
        <v>19</v>
      </c>
      <c r="AD594" s="5" t="s">
        <v>19</v>
      </c>
      <c r="AE594" s="5" t="s">
        <v>2802</v>
      </c>
      <c r="AF594" s="5" t="s">
        <v>5175</v>
      </c>
      <c r="AG594" s="5"/>
      <c r="AH594" s="5">
        <v>0</v>
      </c>
      <c r="AI594" s="5"/>
      <c r="AJ594" s="5">
        <v>0</v>
      </c>
      <c r="AK594" s="5">
        <v>0</v>
      </c>
      <c r="AL594" s="5" t="s">
        <v>12</v>
      </c>
      <c r="AM594" s="5" t="s">
        <v>12</v>
      </c>
      <c r="AN594" s="5" t="s">
        <v>12</v>
      </c>
      <c r="AO594" s="5" t="s">
        <v>11</v>
      </c>
      <c r="AP594" s="5" t="s">
        <v>11</v>
      </c>
      <c r="AQ594" s="5" t="s">
        <v>31</v>
      </c>
      <c r="AR594" s="5" t="s">
        <v>30</v>
      </c>
    </row>
    <row r="595" spans="1:44" ht="31.5" x14ac:dyDescent="0.25">
      <c r="A595" s="10">
        <v>46096</v>
      </c>
      <c r="B595" s="5" t="s">
        <v>929</v>
      </c>
      <c r="C595" s="5" t="s">
        <v>2784</v>
      </c>
      <c r="D595" s="5" t="s">
        <v>11</v>
      </c>
      <c r="E595" s="5" t="s">
        <v>6</v>
      </c>
      <c r="F595" s="5" t="s">
        <v>6</v>
      </c>
      <c r="G595" s="5" t="s">
        <v>5176</v>
      </c>
      <c r="H595" s="5" t="s">
        <v>5177</v>
      </c>
      <c r="I595" s="6" t="str">
        <f>HYPERLINK("http://maps.yandex.ru/?ll=40.081005,47.689&amp;spn=0.011598,0.004531&amp;z=17&amp;l=map&amp;pt=40.081005,47.689", "47.6895//40.081005")</f>
        <v>47.6895//40.081005</v>
      </c>
      <c r="J595" s="5" t="s">
        <v>64</v>
      </c>
      <c r="K595" s="6" t="str">
        <f>HYPERLINK("http://maps.yandex.ru/?ll=38.23742,52.94910&amp;spn=0.011598,0.004531&amp;z=17&amp;l=map&amp;pt=38.23742,52.94910", "52.949104//38.23742")</f>
        <v>52.949104//38.23742</v>
      </c>
      <c r="L595" s="5" t="s">
        <v>151</v>
      </c>
      <c r="M595" s="5" t="s">
        <v>254</v>
      </c>
      <c r="N595" s="5" t="s">
        <v>1426</v>
      </c>
      <c r="O595" s="5" t="s">
        <v>883</v>
      </c>
      <c r="P595" s="5">
        <v>31</v>
      </c>
      <c r="Q595" s="5">
        <v>65</v>
      </c>
      <c r="R595" s="5">
        <v>4</v>
      </c>
      <c r="S595" s="5">
        <v>612.851</v>
      </c>
      <c r="T595" s="5" t="s">
        <v>12</v>
      </c>
      <c r="U595" s="5" t="s">
        <v>12</v>
      </c>
      <c r="V595" s="5" t="s">
        <v>12</v>
      </c>
      <c r="W595" s="5">
        <v>25.54</v>
      </c>
      <c r="X595" s="5">
        <v>81.33</v>
      </c>
      <c r="Y595" s="5">
        <v>131</v>
      </c>
      <c r="Z595" s="5" t="s">
        <v>1923</v>
      </c>
      <c r="AA595" s="5" t="s">
        <v>2151</v>
      </c>
      <c r="AB595" s="5" t="s">
        <v>19</v>
      </c>
      <c r="AC595" s="5" t="s">
        <v>19</v>
      </c>
      <c r="AD595" s="5" t="s">
        <v>19</v>
      </c>
      <c r="AE595" s="5" t="s">
        <v>2203</v>
      </c>
      <c r="AF595" s="5" t="s">
        <v>12</v>
      </c>
      <c r="AG595" s="5"/>
      <c r="AH595" s="5"/>
      <c r="AI595" s="5"/>
      <c r="AJ595" s="5"/>
      <c r="AK595" s="5"/>
      <c r="AL595" s="5" t="s">
        <v>5178</v>
      </c>
      <c r="AM595" s="5" t="s">
        <v>5179</v>
      </c>
      <c r="AN595" s="5" t="s">
        <v>1927</v>
      </c>
      <c r="AO595" s="5" t="s">
        <v>69</v>
      </c>
      <c r="AP595" s="5" t="s">
        <v>68</v>
      </c>
      <c r="AQ595" s="5" t="s">
        <v>67</v>
      </c>
      <c r="AR595" s="5" t="s">
        <v>66</v>
      </c>
    </row>
    <row r="596" spans="1:44" ht="15.75" x14ac:dyDescent="0.25">
      <c r="A596" s="10">
        <v>46096</v>
      </c>
      <c r="B596" s="5" t="s">
        <v>928</v>
      </c>
      <c r="C596" s="5" t="s">
        <v>2785</v>
      </c>
      <c r="D596" s="5" t="s">
        <v>11</v>
      </c>
      <c r="E596" s="5" t="s">
        <v>40</v>
      </c>
      <c r="F596" s="5" t="s">
        <v>11</v>
      </c>
      <c r="G596" s="5" t="s">
        <v>11</v>
      </c>
      <c r="H596" s="5" t="s">
        <v>11</v>
      </c>
      <c r="I596" s="6" t="str">
        <f>HYPERLINK("http://maps.yandex.ru/?ll=,&amp;spn=0.011598,0.004531&amp;z=17&amp;l=map&amp;pt=,", "")</f>
        <v/>
      </c>
      <c r="J596" s="5" t="s">
        <v>84</v>
      </c>
      <c r="K596" s="6" t="str">
        <f>HYPERLINK("http://maps.yandex.ru/?ll=,&amp;spn=0.011598,0.004531&amp;z=17&amp;l=map&amp;pt=,", "")</f>
        <v/>
      </c>
      <c r="L596" s="5" t="s">
        <v>84</v>
      </c>
      <c r="M596" s="5" t="s">
        <v>13</v>
      </c>
      <c r="N596" s="5" t="s">
        <v>58</v>
      </c>
      <c r="O596" s="5" t="s">
        <v>13</v>
      </c>
      <c r="P596" s="5">
        <v>0</v>
      </c>
      <c r="Q596" s="5">
        <v>100</v>
      </c>
      <c r="R596" s="5">
        <v>0</v>
      </c>
      <c r="S596" s="5">
        <v>0</v>
      </c>
      <c r="T596" s="5" t="s">
        <v>1673</v>
      </c>
      <c r="U596" s="5" t="s">
        <v>2786</v>
      </c>
      <c r="V596" s="5" t="s">
        <v>2787</v>
      </c>
      <c r="W596" s="5">
        <v>0</v>
      </c>
      <c r="X596" s="5">
        <v>0</v>
      </c>
      <c r="Y596" s="5">
        <v>0</v>
      </c>
      <c r="Z596" s="5" t="s">
        <v>2789</v>
      </c>
      <c r="AA596" s="5" t="s">
        <v>5180</v>
      </c>
      <c r="AB596" s="5" t="s">
        <v>19</v>
      </c>
      <c r="AC596" s="5" t="s">
        <v>19</v>
      </c>
      <c r="AD596" s="5" t="s">
        <v>19</v>
      </c>
      <c r="AE596" s="5" t="s">
        <v>1807</v>
      </c>
      <c r="AF596" s="5" t="s">
        <v>12</v>
      </c>
      <c r="AG596" s="5">
        <v>0</v>
      </c>
      <c r="AH596" s="5">
        <v>0</v>
      </c>
      <c r="AI596" s="5">
        <v>0</v>
      </c>
      <c r="AJ596" s="5">
        <v>0</v>
      </c>
      <c r="AK596" s="5">
        <v>0</v>
      </c>
      <c r="AL596" s="5" t="s">
        <v>12</v>
      </c>
      <c r="AM596" s="5" t="s">
        <v>12</v>
      </c>
      <c r="AN596" s="5" t="s">
        <v>12</v>
      </c>
      <c r="AO596" s="5" t="s">
        <v>11</v>
      </c>
      <c r="AP596" s="5" t="s">
        <v>11</v>
      </c>
      <c r="AQ596" s="5" t="s">
        <v>18</v>
      </c>
      <c r="AR596" s="5" t="s">
        <v>17</v>
      </c>
    </row>
    <row r="597" spans="1:44" ht="31.5" x14ac:dyDescent="0.25">
      <c r="A597" s="10">
        <v>46096</v>
      </c>
      <c r="B597" s="5" t="s">
        <v>926</v>
      </c>
      <c r="C597" s="5" t="s">
        <v>2790</v>
      </c>
      <c r="D597" s="5" t="s">
        <v>11</v>
      </c>
      <c r="E597" s="5" t="s">
        <v>5</v>
      </c>
      <c r="F597" s="5" t="s">
        <v>5</v>
      </c>
      <c r="G597" s="5" t="s">
        <v>5181</v>
      </c>
      <c r="H597" s="5" t="s">
        <v>5182</v>
      </c>
      <c r="I597" s="6" t="str">
        <f>HYPERLINK("http://maps.yandex.ru/?ll=73.297485,54.86297&amp;spn=0.011598,0.004531&amp;z=17&amp;l=map&amp;pt=73.297485,54.86297", "54.862976//73.297485")</f>
        <v>54.862976//73.297485</v>
      </c>
      <c r="J597" s="5" t="s">
        <v>190</v>
      </c>
      <c r="K597" s="6" t="str">
        <f>HYPERLINK("http://maps.yandex.ru/?ll=73.29742,54.86305&amp;spn=0.011598,0.004531&amp;z=17&amp;l=map&amp;pt=73.29742,54.86305", "54.863056//73.29742")</f>
        <v>54.863056//73.29742</v>
      </c>
      <c r="L597" s="5" t="s">
        <v>190</v>
      </c>
      <c r="M597" s="5" t="s">
        <v>13</v>
      </c>
      <c r="N597" s="5" t="s">
        <v>3102</v>
      </c>
      <c r="O597" s="5" t="s">
        <v>443</v>
      </c>
      <c r="P597" s="5">
        <v>0</v>
      </c>
      <c r="Q597" s="5">
        <v>91</v>
      </c>
      <c r="R597" s="5">
        <v>9</v>
      </c>
      <c r="S597" s="5">
        <v>0</v>
      </c>
      <c r="T597" s="5" t="s">
        <v>1673</v>
      </c>
      <c r="U597" s="5" t="s">
        <v>5183</v>
      </c>
      <c r="V597" s="5" t="s">
        <v>2791</v>
      </c>
      <c r="W597" s="5">
        <v>0</v>
      </c>
      <c r="X597" s="5">
        <v>0</v>
      </c>
      <c r="Y597" s="5">
        <v>6</v>
      </c>
      <c r="Z597" s="5" t="s">
        <v>1538</v>
      </c>
      <c r="AA597" s="5" t="s">
        <v>5184</v>
      </c>
      <c r="AB597" s="5" t="s">
        <v>19</v>
      </c>
      <c r="AC597" s="5" t="s">
        <v>19</v>
      </c>
      <c r="AD597" s="5" t="s">
        <v>19</v>
      </c>
      <c r="AE597" s="5" t="s">
        <v>2303</v>
      </c>
      <c r="AF597" s="5" t="s">
        <v>12</v>
      </c>
      <c r="AG597" s="5">
        <v>-4207105</v>
      </c>
      <c r="AH597" s="5">
        <v>2</v>
      </c>
      <c r="AI597" s="5">
        <v>-4207107</v>
      </c>
      <c r="AJ597" s="5">
        <v>-420710500</v>
      </c>
      <c r="AK597" s="5">
        <v>-420710700</v>
      </c>
      <c r="AL597" s="5" t="s">
        <v>12</v>
      </c>
      <c r="AM597" s="5" t="s">
        <v>12</v>
      </c>
      <c r="AN597" s="5" t="s">
        <v>12</v>
      </c>
      <c r="AO597" s="5" t="s">
        <v>11</v>
      </c>
      <c r="AP597" s="5" t="s">
        <v>11</v>
      </c>
      <c r="AQ597" s="5" t="s">
        <v>147</v>
      </c>
      <c r="AR597" s="5" t="s">
        <v>146</v>
      </c>
    </row>
    <row r="598" spans="1:44" ht="15.75" x14ac:dyDescent="0.25">
      <c r="A598" s="10">
        <v>46096</v>
      </c>
      <c r="B598" s="5" t="s">
        <v>925</v>
      </c>
      <c r="C598" s="5" t="s">
        <v>2793</v>
      </c>
      <c r="D598" s="5" t="s">
        <v>11</v>
      </c>
      <c r="E598" s="5" t="s">
        <v>3</v>
      </c>
      <c r="F598" s="5" t="s">
        <v>3</v>
      </c>
      <c r="G598" s="5" t="s">
        <v>11</v>
      </c>
      <c r="H598" s="5" t="s">
        <v>11</v>
      </c>
      <c r="I598" s="6" t="str">
        <f>HYPERLINK("http://maps.yandex.ru/?ll=,&amp;spn=0.011598,0.004531&amp;z=17&amp;l=map&amp;pt=,", "")</f>
        <v/>
      </c>
      <c r="J598" s="5" t="s">
        <v>84</v>
      </c>
      <c r="K598" s="6" t="str">
        <f>HYPERLINK("http://maps.yandex.ru/?ll=,&amp;spn=0.011598,0.004531&amp;z=17&amp;l=map&amp;pt=,", "")</f>
        <v/>
      </c>
      <c r="L598" s="5" t="s">
        <v>84</v>
      </c>
      <c r="M598" s="5" t="s">
        <v>13</v>
      </c>
      <c r="N598" s="5" t="s">
        <v>13</v>
      </c>
      <c r="O598" s="5" t="s">
        <v>58</v>
      </c>
      <c r="P598" s="5">
        <v>0</v>
      </c>
      <c r="Q598" s="5">
        <v>0</v>
      </c>
      <c r="R598" s="5">
        <v>100</v>
      </c>
      <c r="S598" s="5">
        <v>0</v>
      </c>
      <c r="T598" s="5" t="s">
        <v>12</v>
      </c>
      <c r="U598" s="5" t="s">
        <v>12</v>
      </c>
      <c r="V598" s="5" t="s">
        <v>12</v>
      </c>
      <c r="W598" s="5">
        <v>0</v>
      </c>
      <c r="X598" s="5">
        <v>0</v>
      </c>
      <c r="Y598" s="5">
        <v>0</v>
      </c>
      <c r="Z598" s="5" t="s">
        <v>12</v>
      </c>
      <c r="AA598" s="5" t="s">
        <v>12</v>
      </c>
      <c r="AB598" s="5" t="s">
        <v>19</v>
      </c>
      <c r="AC598" s="5" t="s">
        <v>19</v>
      </c>
      <c r="AD598" s="5" t="s">
        <v>19</v>
      </c>
      <c r="AE598" s="5" t="s">
        <v>12</v>
      </c>
      <c r="AF598" s="5" t="s">
        <v>12</v>
      </c>
      <c r="AG598" s="5"/>
      <c r="AH598" s="5">
        <v>0</v>
      </c>
      <c r="AI598" s="5"/>
      <c r="AJ598" s="5"/>
      <c r="AK598" s="5"/>
      <c r="AL598" s="5" t="s">
        <v>12</v>
      </c>
      <c r="AM598" s="5" t="s">
        <v>12</v>
      </c>
      <c r="AN598" s="5" t="s">
        <v>12</v>
      </c>
      <c r="AO598" s="5" t="s">
        <v>11</v>
      </c>
      <c r="AP598" s="5" t="s">
        <v>11</v>
      </c>
      <c r="AQ598" s="5" t="s">
        <v>53</v>
      </c>
      <c r="AR598" s="5" t="s">
        <v>52</v>
      </c>
    </row>
    <row r="599" spans="1:44" ht="31.5" x14ac:dyDescent="0.25">
      <c r="A599" s="10">
        <v>46096</v>
      </c>
      <c r="B599" s="5" t="s">
        <v>924</v>
      </c>
      <c r="C599" s="5" t="s">
        <v>2794</v>
      </c>
      <c r="D599" s="5" t="s">
        <v>11</v>
      </c>
      <c r="E599" s="5" t="s">
        <v>5</v>
      </c>
      <c r="F599" s="5" t="s">
        <v>5</v>
      </c>
      <c r="G599" s="5" t="s">
        <v>3103</v>
      </c>
      <c r="H599" s="5" t="s">
        <v>5185</v>
      </c>
      <c r="I599" s="6" t="str">
        <f>HYPERLINK("http://maps.yandex.ru/?ll=40.388954,57.636&amp;spn=0.011598,0.004531&amp;z=17&amp;l=map&amp;pt=40.388954,57.636", "57.6364//40.388954")</f>
        <v>57.6364//40.388954</v>
      </c>
      <c r="J599" s="5" t="s">
        <v>560</v>
      </c>
      <c r="K599" s="6" t="str">
        <f>HYPERLINK("http://maps.yandex.ru/?ll=49.94462,58.67017&amp;spn=0.011598,0.004531&amp;z=17&amp;l=map&amp;pt=49.94462,58.67017", "58.670177//49.94462")</f>
        <v>58.670177//49.94462</v>
      </c>
      <c r="L599" s="5" t="s">
        <v>489</v>
      </c>
      <c r="M599" s="5" t="s">
        <v>247</v>
      </c>
      <c r="N599" s="5" t="s">
        <v>1130</v>
      </c>
      <c r="O599" s="5" t="s">
        <v>13</v>
      </c>
      <c r="P599" s="5">
        <v>37</v>
      </c>
      <c r="Q599" s="5">
        <v>63</v>
      </c>
      <c r="R599" s="5">
        <v>0</v>
      </c>
      <c r="S599" s="5">
        <v>666.79600000000005</v>
      </c>
      <c r="T599" s="5" t="s">
        <v>12</v>
      </c>
      <c r="U599" s="5" t="s">
        <v>12</v>
      </c>
      <c r="V599" s="5" t="s">
        <v>12</v>
      </c>
      <c r="W599" s="5">
        <v>27.78</v>
      </c>
      <c r="X599" s="5">
        <v>74.39</v>
      </c>
      <c r="Y599" s="5">
        <v>103</v>
      </c>
      <c r="Z599" s="5" t="s">
        <v>12</v>
      </c>
      <c r="AA599" s="5" t="s">
        <v>12</v>
      </c>
      <c r="AB599" s="5" t="s">
        <v>12</v>
      </c>
      <c r="AC599" s="5" t="s">
        <v>12</v>
      </c>
      <c r="AD599" s="5" t="s">
        <v>12</v>
      </c>
      <c r="AE599" s="5" t="s">
        <v>12</v>
      </c>
      <c r="AF599" s="5" t="s">
        <v>12</v>
      </c>
      <c r="AG599" s="5"/>
      <c r="AH599" s="5"/>
      <c r="AI599" s="5"/>
      <c r="AJ599" s="5"/>
      <c r="AK599" s="5"/>
      <c r="AL599" s="5" t="s">
        <v>5186</v>
      </c>
      <c r="AM599" s="5" t="s">
        <v>5187</v>
      </c>
      <c r="AN599" s="5" t="s">
        <v>1870</v>
      </c>
      <c r="AO599" s="5" t="s">
        <v>69</v>
      </c>
      <c r="AP599" s="5" t="s">
        <v>68</v>
      </c>
      <c r="AQ599" s="5" t="s">
        <v>67</v>
      </c>
      <c r="AR599" s="5" t="s">
        <v>66</v>
      </c>
    </row>
    <row r="600" spans="1:44" ht="15.75" x14ac:dyDescent="0.25">
      <c r="A600" s="10">
        <v>46096</v>
      </c>
      <c r="B600" s="5" t="s">
        <v>921</v>
      </c>
      <c r="C600" s="5" t="s">
        <v>2795</v>
      </c>
      <c r="D600" s="5" t="s">
        <v>11</v>
      </c>
      <c r="E600" s="5" t="s">
        <v>11</v>
      </c>
      <c r="F600" s="5" t="s">
        <v>11</v>
      </c>
      <c r="G600" s="5" t="s">
        <v>11</v>
      </c>
      <c r="H600" s="5" t="s">
        <v>11</v>
      </c>
      <c r="I600" s="6" t="str">
        <f>HYPERLINK("http://maps.yandex.ru/?ll=,&amp;spn=0.011598,0.004531&amp;z=17&amp;l=map&amp;pt=,", "")</f>
        <v/>
      </c>
      <c r="J600" s="5" t="s">
        <v>84</v>
      </c>
      <c r="K600" s="6" t="str">
        <f>HYPERLINK("http://maps.yandex.ru/?ll=,&amp;spn=0.011598,0.004531&amp;z=17&amp;l=map&amp;pt=,", "")</f>
        <v/>
      </c>
      <c r="L600" s="5" t="s">
        <v>84</v>
      </c>
      <c r="M600" s="5" t="s">
        <v>13</v>
      </c>
      <c r="N600" s="5" t="s">
        <v>58</v>
      </c>
      <c r="O600" s="5" t="s">
        <v>13</v>
      </c>
      <c r="P600" s="5">
        <v>0</v>
      </c>
      <c r="Q600" s="5">
        <v>100</v>
      </c>
      <c r="R600" s="5">
        <v>0</v>
      </c>
      <c r="S600" s="5">
        <v>0</v>
      </c>
      <c r="T600" s="5" t="s">
        <v>1673</v>
      </c>
      <c r="U600" s="5" t="s">
        <v>2796</v>
      </c>
      <c r="V600" s="5" t="s">
        <v>2797</v>
      </c>
      <c r="W600" s="5">
        <v>0</v>
      </c>
      <c r="X600" s="5">
        <v>0</v>
      </c>
      <c r="Y600" s="5">
        <v>0</v>
      </c>
      <c r="Z600" s="5" t="s">
        <v>2798</v>
      </c>
      <c r="AA600" s="5" t="s">
        <v>2832</v>
      </c>
      <c r="AB600" s="5" t="s">
        <v>19</v>
      </c>
      <c r="AC600" s="5" t="s">
        <v>19</v>
      </c>
      <c r="AD600" s="5" t="s">
        <v>19</v>
      </c>
      <c r="AE600" s="5" t="s">
        <v>1860</v>
      </c>
      <c r="AF600" s="5" t="s">
        <v>12</v>
      </c>
      <c r="AG600" s="5">
        <v>2147538009</v>
      </c>
      <c r="AH600" s="5">
        <v>2147538009</v>
      </c>
      <c r="AI600" s="5">
        <v>0</v>
      </c>
      <c r="AJ600" s="5">
        <v>214753800900</v>
      </c>
      <c r="AK600" s="5">
        <v>0</v>
      </c>
      <c r="AL600" s="5" t="s">
        <v>12</v>
      </c>
      <c r="AM600" s="5" t="s">
        <v>12</v>
      </c>
      <c r="AN600" s="5" t="s">
        <v>12</v>
      </c>
      <c r="AO600" s="5" t="s">
        <v>11</v>
      </c>
      <c r="AP600" s="5" t="s">
        <v>11</v>
      </c>
      <c r="AQ600" s="5" t="s">
        <v>18</v>
      </c>
      <c r="AR600" s="5" t="s">
        <v>641</v>
      </c>
    </row>
    <row r="601" spans="1:44" ht="31.5" x14ac:dyDescent="0.25">
      <c r="A601" s="10">
        <v>46096</v>
      </c>
      <c r="B601" s="5" t="s">
        <v>920</v>
      </c>
      <c r="C601" s="5" t="s">
        <v>2799</v>
      </c>
      <c r="D601" s="5" t="s">
        <v>11</v>
      </c>
      <c r="E601" s="5" t="s">
        <v>11</v>
      </c>
      <c r="F601" s="5" t="s">
        <v>11</v>
      </c>
      <c r="G601" s="5" t="s">
        <v>5188</v>
      </c>
      <c r="H601" s="5" t="s">
        <v>5189</v>
      </c>
      <c r="I601" s="6" t="str">
        <f>HYPERLINK("http://maps.yandex.ru/?ll=48.83076,55.84918&amp;spn=0.011598,0.004531&amp;z=17&amp;l=map&amp;pt=48.83076,55.84918", "55.849182//48.83076")</f>
        <v>55.849182//48.83076</v>
      </c>
      <c r="J601" s="5" t="s">
        <v>28</v>
      </c>
      <c r="K601" s="6" t="str">
        <f>HYPERLINK("http://maps.yandex.ru/?ll=49.115185,55.73003&amp;spn=0.011598,0.004531&amp;z=17&amp;l=map&amp;pt=49.115185,55.73003", "55.730038//49.115185")</f>
        <v>55.730038//49.115185</v>
      </c>
      <c r="L601" s="5" t="s">
        <v>28</v>
      </c>
      <c r="M601" s="5" t="s">
        <v>246</v>
      </c>
      <c r="N601" s="5" t="s">
        <v>558</v>
      </c>
      <c r="O601" s="5" t="s">
        <v>13</v>
      </c>
      <c r="P601" s="5">
        <v>27</v>
      </c>
      <c r="Q601" s="5">
        <v>73</v>
      </c>
      <c r="R601" s="5">
        <v>0</v>
      </c>
      <c r="S601" s="5">
        <v>481.30200000000002</v>
      </c>
      <c r="T601" s="5" t="s">
        <v>2920</v>
      </c>
      <c r="U601" s="5" t="s">
        <v>5190</v>
      </c>
      <c r="V601" s="5" t="s">
        <v>5191</v>
      </c>
      <c r="W601" s="5">
        <v>20.05</v>
      </c>
      <c r="X601" s="5">
        <v>74.12</v>
      </c>
      <c r="Y601" s="5">
        <v>107</v>
      </c>
      <c r="Z601" s="5" t="s">
        <v>1566</v>
      </c>
      <c r="AA601" s="5" t="s">
        <v>1539</v>
      </c>
      <c r="AB601" s="5" t="s">
        <v>2337</v>
      </c>
      <c r="AC601" s="5" t="s">
        <v>1673</v>
      </c>
      <c r="AD601" s="5" t="s">
        <v>19</v>
      </c>
      <c r="AE601" s="5" t="s">
        <v>1695</v>
      </c>
      <c r="AF601" s="5" t="s">
        <v>5192</v>
      </c>
      <c r="AG601" s="5"/>
      <c r="AH601" s="5">
        <v>0</v>
      </c>
      <c r="AI601" s="5"/>
      <c r="AJ601" s="5">
        <v>0</v>
      </c>
      <c r="AK601" s="5">
        <v>0</v>
      </c>
      <c r="AL601" s="5" t="s">
        <v>12</v>
      </c>
      <c r="AM601" s="5" t="s">
        <v>12</v>
      </c>
      <c r="AN601" s="5" t="s">
        <v>12</v>
      </c>
      <c r="AO601" s="5" t="s">
        <v>11</v>
      </c>
      <c r="AP601" s="5" t="s">
        <v>11</v>
      </c>
      <c r="AQ601" s="5" t="s">
        <v>92</v>
      </c>
      <c r="AR601" s="5" t="s">
        <v>297</v>
      </c>
    </row>
    <row r="602" spans="1:44" ht="15.75" x14ac:dyDescent="0.25">
      <c r="A602" s="10">
        <v>46096</v>
      </c>
      <c r="B602" s="5" t="s">
        <v>918</v>
      </c>
      <c r="C602" s="5" t="s">
        <v>2800</v>
      </c>
      <c r="D602" s="5" t="s">
        <v>11</v>
      </c>
      <c r="E602" s="5" t="s">
        <v>11</v>
      </c>
      <c r="F602" s="5" t="s">
        <v>11</v>
      </c>
      <c r="G602" s="5" t="s">
        <v>11</v>
      </c>
      <c r="H602" s="5" t="s">
        <v>11</v>
      </c>
      <c r="I602" s="6" t="str">
        <f>HYPERLINK("http://maps.yandex.ru/?ll=,&amp;spn=0.011598,0.004531&amp;z=17&amp;l=map&amp;pt=,", "")</f>
        <v/>
      </c>
      <c r="J602" s="5" t="s">
        <v>84</v>
      </c>
      <c r="K602" s="6" t="str">
        <f>HYPERLINK("http://maps.yandex.ru/?ll=,&amp;spn=0.011598,0.004531&amp;z=17&amp;l=map&amp;pt=,", "")</f>
        <v/>
      </c>
      <c r="L602" s="5" t="s">
        <v>84</v>
      </c>
      <c r="M602" s="5" t="s">
        <v>13</v>
      </c>
      <c r="N602" s="5" t="s">
        <v>58</v>
      </c>
      <c r="O602" s="5" t="s">
        <v>13</v>
      </c>
      <c r="P602" s="5">
        <v>0</v>
      </c>
      <c r="Q602" s="5">
        <v>100</v>
      </c>
      <c r="R602" s="5">
        <v>0</v>
      </c>
      <c r="S602" s="5">
        <v>0</v>
      </c>
      <c r="T602" s="5" t="s">
        <v>12</v>
      </c>
      <c r="U602" s="5" t="s">
        <v>12</v>
      </c>
      <c r="V602" s="5" t="s">
        <v>12</v>
      </c>
      <c r="W602" s="5">
        <v>0</v>
      </c>
      <c r="X602" s="5">
        <v>0</v>
      </c>
      <c r="Y602" s="5">
        <v>0</v>
      </c>
      <c r="Z602" s="5" t="s">
        <v>12</v>
      </c>
      <c r="AA602" s="5" t="s">
        <v>12</v>
      </c>
      <c r="AB602" s="5" t="s">
        <v>12</v>
      </c>
      <c r="AC602" s="5" t="s">
        <v>12</v>
      </c>
      <c r="AD602" s="5" t="s">
        <v>12</v>
      </c>
      <c r="AE602" s="5" t="s">
        <v>12</v>
      </c>
      <c r="AF602" s="5" t="s">
        <v>12</v>
      </c>
      <c r="AG602" s="5"/>
      <c r="AH602" s="5">
        <v>0</v>
      </c>
      <c r="AI602" s="5"/>
      <c r="AJ602" s="5"/>
      <c r="AK602" s="5"/>
      <c r="AL602" s="5" t="s">
        <v>12</v>
      </c>
      <c r="AM602" s="5" t="s">
        <v>12</v>
      </c>
      <c r="AN602" s="5" t="s">
        <v>12</v>
      </c>
      <c r="AO602" s="5" t="s">
        <v>11</v>
      </c>
      <c r="AP602" s="5" t="s">
        <v>11</v>
      </c>
      <c r="AQ602" s="5" t="s">
        <v>37</v>
      </c>
      <c r="AR602" s="5" t="s">
        <v>437</v>
      </c>
    </row>
    <row r="603" spans="1:44" ht="31.5" x14ac:dyDescent="0.25">
      <c r="A603" s="10">
        <v>46096</v>
      </c>
      <c r="B603" s="5" t="s">
        <v>916</v>
      </c>
      <c r="C603" s="5" t="s">
        <v>2801</v>
      </c>
      <c r="D603" s="5" t="s">
        <v>11</v>
      </c>
      <c r="E603" s="5" t="s">
        <v>3</v>
      </c>
      <c r="F603" s="5" t="s">
        <v>3</v>
      </c>
      <c r="G603" s="5" t="s">
        <v>5193</v>
      </c>
      <c r="H603" s="5" t="s">
        <v>5194</v>
      </c>
      <c r="I603" s="6" t="str">
        <f>HYPERLINK("http://maps.yandex.ru/?ll=38.520977,55.85600&amp;spn=0.011598,0.004531&amp;z=17&amp;l=map&amp;pt=38.520977,55.85600", "55.856003//38.520977")</f>
        <v>55.856003//38.520977</v>
      </c>
      <c r="J603" s="5" t="s">
        <v>56</v>
      </c>
      <c r="K603" s="6" t="str">
        <f>HYPERLINK("http://maps.yandex.ru/?ll=37.641354,55.4821&amp;spn=0.011598,0.004531&amp;z=17&amp;l=map&amp;pt=37.641354,55.4821", "55.48217//37.641354")</f>
        <v>55.48217//37.641354</v>
      </c>
      <c r="L603" s="5" t="s">
        <v>56</v>
      </c>
      <c r="M603" s="5" t="s">
        <v>231</v>
      </c>
      <c r="N603" s="5" t="s">
        <v>5195</v>
      </c>
      <c r="O603" s="5" t="s">
        <v>290</v>
      </c>
      <c r="P603" s="5">
        <v>6</v>
      </c>
      <c r="Q603" s="5">
        <v>91</v>
      </c>
      <c r="R603" s="5">
        <v>3</v>
      </c>
      <c r="S603" s="5">
        <v>93.793000000000006</v>
      </c>
      <c r="T603" s="5" t="s">
        <v>2153</v>
      </c>
      <c r="U603" s="5" t="s">
        <v>5196</v>
      </c>
      <c r="V603" s="5" t="s">
        <v>5197</v>
      </c>
      <c r="W603" s="5">
        <v>3.91</v>
      </c>
      <c r="X603" s="5">
        <v>60.9</v>
      </c>
      <c r="Y603" s="5">
        <v>103</v>
      </c>
      <c r="Z603" s="5" t="s">
        <v>2510</v>
      </c>
      <c r="AA603" s="5" t="s">
        <v>3152</v>
      </c>
      <c r="AB603" s="5" t="s">
        <v>19</v>
      </c>
      <c r="AC603" s="5" t="s">
        <v>19</v>
      </c>
      <c r="AD603" s="5" t="s">
        <v>19</v>
      </c>
      <c r="AE603" s="5" t="s">
        <v>1709</v>
      </c>
      <c r="AF603" s="5" t="s">
        <v>5198</v>
      </c>
      <c r="AG603" s="5">
        <v>42</v>
      </c>
      <c r="AH603" s="5">
        <v>8</v>
      </c>
      <c r="AI603" s="5">
        <v>34</v>
      </c>
      <c r="AJ603" s="5">
        <v>30.66</v>
      </c>
      <c r="AK603" s="5">
        <v>24.82</v>
      </c>
      <c r="AL603" s="5" t="s">
        <v>12</v>
      </c>
      <c r="AM603" s="5" t="s">
        <v>12</v>
      </c>
      <c r="AN603" s="5" t="s">
        <v>12</v>
      </c>
      <c r="AO603" s="5" t="s">
        <v>11</v>
      </c>
      <c r="AP603" s="5" t="s">
        <v>11</v>
      </c>
      <c r="AQ603" s="5" t="s">
        <v>53</v>
      </c>
      <c r="AR603" s="5" t="s">
        <v>52</v>
      </c>
    </row>
    <row r="604" spans="1:44" ht="31.5" x14ac:dyDescent="0.25">
      <c r="A604" s="10">
        <v>46096</v>
      </c>
      <c r="B604" s="5" t="s">
        <v>915</v>
      </c>
      <c r="C604" s="5" t="s">
        <v>2803</v>
      </c>
      <c r="D604" s="5" t="s">
        <v>11</v>
      </c>
      <c r="E604" s="5" t="s">
        <v>1</v>
      </c>
      <c r="F604" s="5" t="s">
        <v>1</v>
      </c>
      <c r="G604" s="5" t="s">
        <v>5199</v>
      </c>
      <c r="H604" s="5" t="s">
        <v>5200</v>
      </c>
      <c r="I604" s="6" t="str">
        <f>HYPERLINK("http://maps.yandex.ru/?ll=39.600155,47.3208&amp;spn=0.011598,0.004531&amp;z=17&amp;l=map&amp;pt=39.600155,47.3208", "47.32082//39.600155")</f>
        <v>47.32082//39.600155</v>
      </c>
      <c r="J604" s="5" t="s">
        <v>64</v>
      </c>
      <c r="K604" s="6" t="str">
        <f>HYPERLINK("http://maps.yandex.ru/?ll=41.900715,44.66484&amp;spn=0.011598,0.004531&amp;z=17&amp;l=map&amp;pt=41.900715,44.66484", "44.664845//41.900715")</f>
        <v>44.664845//41.900715</v>
      </c>
      <c r="L604" s="5" t="s">
        <v>208</v>
      </c>
      <c r="M604" s="5" t="s">
        <v>1428</v>
      </c>
      <c r="N604" s="5" t="s">
        <v>294</v>
      </c>
      <c r="O604" s="5" t="s">
        <v>870</v>
      </c>
      <c r="P604" s="5">
        <v>21</v>
      </c>
      <c r="Q604" s="5">
        <v>55</v>
      </c>
      <c r="R604" s="5">
        <v>24</v>
      </c>
      <c r="S604" s="5">
        <v>389.71699999999998</v>
      </c>
      <c r="T604" s="5" t="s">
        <v>12</v>
      </c>
      <c r="U604" s="5" t="s">
        <v>12</v>
      </c>
      <c r="V604" s="5" t="s">
        <v>12</v>
      </c>
      <c r="W604" s="5">
        <v>16.239999999999998</v>
      </c>
      <c r="X604" s="5">
        <v>76.37</v>
      </c>
      <c r="Y604" s="5">
        <v>116</v>
      </c>
      <c r="Z604" s="5" t="s">
        <v>12</v>
      </c>
      <c r="AA604" s="5" t="s">
        <v>12</v>
      </c>
      <c r="AB604" s="5" t="s">
        <v>12</v>
      </c>
      <c r="AC604" s="5" t="s">
        <v>12</v>
      </c>
      <c r="AD604" s="5" t="s">
        <v>12</v>
      </c>
      <c r="AE604" s="5" t="s">
        <v>12</v>
      </c>
      <c r="AF604" s="5" t="s">
        <v>12</v>
      </c>
      <c r="AG604" s="5"/>
      <c r="AH604" s="5"/>
      <c r="AI604" s="5"/>
      <c r="AJ604" s="5"/>
      <c r="AK604" s="5"/>
      <c r="AL604" s="5" t="s">
        <v>12</v>
      </c>
      <c r="AM604" s="5" t="s">
        <v>12</v>
      </c>
      <c r="AN604" s="5" t="s">
        <v>12</v>
      </c>
      <c r="AO604" s="5" t="s">
        <v>11</v>
      </c>
      <c r="AP604" s="5" t="s">
        <v>11</v>
      </c>
      <c r="AQ604" s="5" t="s">
        <v>67</v>
      </c>
      <c r="AR604" s="5" t="s">
        <v>66</v>
      </c>
    </row>
    <row r="605" spans="1:44" ht="31.5" x14ac:dyDescent="0.25">
      <c r="A605" s="10">
        <v>46096</v>
      </c>
      <c r="B605" s="5" t="s">
        <v>912</v>
      </c>
      <c r="C605" s="5" t="s">
        <v>2804</v>
      </c>
      <c r="D605" s="5" t="s">
        <v>11</v>
      </c>
      <c r="E605" s="5" t="s">
        <v>8</v>
      </c>
      <c r="F605" s="5" t="s">
        <v>8</v>
      </c>
      <c r="G605" s="5" t="s">
        <v>5201</v>
      </c>
      <c r="H605" s="5" t="s">
        <v>5202</v>
      </c>
      <c r="I605" s="6" t="str">
        <f>HYPERLINK("http://maps.yandex.ru/?ll=34.858807,57.27143&amp;spn=0.011598,0.004531&amp;z=17&amp;l=map&amp;pt=34.858807,57.27143", "57.271435//34.858807")</f>
        <v>57.271435//34.858807</v>
      </c>
      <c r="J605" s="5" t="s">
        <v>50</v>
      </c>
      <c r="K605" s="6" t="str">
        <f>HYPERLINK("http://maps.yandex.ru/?ll=30.24308,60.09884&amp;spn=0.011598,0.004531&amp;z=17&amp;l=map&amp;pt=30.24308,60.09884", "60.098846//30.24308")</f>
        <v>60.098846//30.24308</v>
      </c>
      <c r="L605" s="5" t="s">
        <v>23</v>
      </c>
      <c r="M605" s="5" t="s">
        <v>4112</v>
      </c>
      <c r="N605" s="5" t="s">
        <v>5203</v>
      </c>
      <c r="O605" s="5" t="s">
        <v>860</v>
      </c>
      <c r="P605" s="5">
        <v>26</v>
      </c>
      <c r="Q605" s="5">
        <v>69</v>
      </c>
      <c r="R605" s="5">
        <v>5</v>
      </c>
      <c r="S605" s="5">
        <v>444.63400000000001</v>
      </c>
      <c r="T605" s="5" t="s">
        <v>12</v>
      </c>
      <c r="U605" s="5" t="s">
        <v>12</v>
      </c>
      <c r="V605" s="5" t="s">
        <v>12</v>
      </c>
      <c r="W605" s="5">
        <v>18.53</v>
      </c>
      <c r="X605" s="5">
        <v>72.16</v>
      </c>
      <c r="Y605" s="5">
        <v>100</v>
      </c>
      <c r="Z605" s="5" t="s">
        <v>12</v>
      </c>
      <c r="AA605" s="5" t="s">
        <v>12</v>
      </c>
      <c r="AB605" s="5" t="s">
        <v>12</v>
      </c>
      <c r="AC605" s="5" t="s">
        <v>12</v>
      </c>
      <c r="AD605" s="5" t="s">
        <v>12</v>
      </c>
      <c r="AE605" s="5" t="s">
        <v>12</v>
      </c>
      <c r="AF605" s="5" t="s">
        <v>12</v>
      </c>
      <c r="AG605" s="5"/>
      <c r="AH605" s="5"/>
      <c r="AI605" s="5"/>
      <c r="AJ605" s="5"/>
      <c r="AK605" s="5"/>
      <c r="AL605" s="5" t="s">
        <v>12</v>
      </c>
      <c r="AM605" s="5" t="s">
        <v>12</v>
      </c>
      <c r="AN605" s="5" t="s">
        <v>12</v>
      </c>
      <c r="AO605" s="5" t="s">
        <v>11</v>
      </c>
      <c r="AP605" s="5" t="s">
        <v>11</v>
      </c>
      <c r="AQ605" s="5" t="s">
        <v>67</v>
      </c>
      <c r="AR605" s="5" t="s">
        <v>66</v>
      </c>
    </row>
    <row r="606" spans="1:44" ht="31.5" x14ac:dyDescent="0.25">
      <c r="A606" s="10">
        <v>46096</v>
      </c>
      <c r="B606" s="5" t="s">
        <v>911</v>
      </c>
      <c r="C606" s="5" t="s">
        <v>2805</v>
      </c>
      <c r="D606" s="5" t="s">
        <v>11</v>
      </c>
      <c r="E606" s="5" t="s">
        <v>3</v>
      </c>
      <c r="F606" s="5" t="s">
        <v>3</v>
      </c>
      <c r="G606" s="5" t="s">
        <v>3103</v>
      </c>
      <c r="H606" s="5" t="s">
        <v>5204</v>
      </c>
      <c r="I606" s="6" t="str">
        <f>HYPERLINK("http://maps.yandex.ru/?ll=37.74943,44.7672&amp;spn=0.011598,0.004531&amp;z=17&amp;l=map&amp;pt=37.74943,44.7672", "44.76728//37.74943")</f>
        <v>44.76728//37.74943</v>
      </c>
      <c r="J606" s="5" t="s">
        <v>88</v>
      </c>
      <c r="K606" s="6" t="str">
        <f>HYPERLINK("http://maps.yandex.ru/?ll=39.122803,45.0084&amp;spn=0.011598,0.004531&amp;z=17&amp;l=map&amp;pt=39.122803,45.0084", "45.00845//39.122803")</f>
        <v>45.00845//39.122803</v>
      </c>
      <c r="L606" s="5" t="s">
        <v>88</v>
      </c>
      <c r="M606" s="5" t="s">
        <v>260</v>
      </c>
      <c r="N606" s="5" t="s">
        <v>5205</v>
      </c>
      <c r="O606" s="5" t="s">
        <v>5206</v>
      </c>
      <c r="P606" s="5">
        <v>4</v>
      </c>
      <c r="Q606" s="5">
        <v>16</v>
      </c>
      <c r="R606" s="5">
        <v>80</v>
      </c>
      <c r="S606" s="5">
        <v>24.29</v>
      </c>
      <c r="T606" s="5" t="s">
        <v>12</v>
      </c>
      <c r="U606" s="5" t="s">
        <v>12</v>
      </c>
      <c r="V606" s="5" t="s">
        <v>12</v>
      </c>
      <c r="W606" s="5">
        <v>1.01</v>
      </c>
      <c r="X606" s="5">
        <v>26.31</v>
      </c>
      <c r="Y606" s="5">
        <v>125</v>
      </c>
      <c r="Z606" s="5" t="s">
        <v>12</v>
      </c>
      <c r="AA606" s="5" t="s">
        <v>12</v>
      </c>
      <c r="AB606" s="5" t="s">
        <v>12</v>
      </c>
      <c r="AC606" s="5" t="s">
        <v>12</v>
      </c>
      <c r="AD606" s="5" t="s">
        <v>12</v>
      </c>
      <c r="AE606" s="5" t="s">
        <v>12</v>
      </c>
      <c r="AF606" s="5" t="s">
        <v>12</v>
      </c>
      <c r="AG606" s="5"/>
      <c r="AH606" s="5"/>
      <c r="AI606" s="5"/>
      <c r="AJ606" s="5"/>
      <c r="AK606" s="5"/>
      <c r="AL606" s="5" t="s">
        <v>12</v>
      </c>
      <c r="AM606" s="5" t="s">
        <v>12</v>
      </c>
      <c r="AN606" s="5" t="s">
        <v>12</v>
      </c>
      <c r="AO606" s="5" t="s">
        <v>11</v>
      </c>
      <c r="AP606" s="5" t="s">
        <v>11</v>
      </c>
      <c r="AQ606" s="5" t="s">
        <v>67</v>
      </c>
      <c r="AR606" s="5" t="s">
        <v>66</v>
      </c>
    </row>
    <row r="607" spans="1:44" ht="31.5" x14ac:dyDescent="0.25">
      <c r="A607" s="10">
        <v>46096</v>
      </c>
      <c r="B607" s="5" t="s">
        <v>909</v>
      </c>
      <c r="C607" s="5" t="s">
        <v>2863</v>
      </c>
      <c r="D607" s="5" t="s">
        <v>11</v>
      </c>
      <c r="E607" s="5" t="s">
        <v>3</v>
      </c>
      <c r="F607" s="5" t="s">
        <v>3</v>
      </c>
      <c r="G607" s="5" t="s">
        <v>3315</v>
      </c>
      <c r="H607" s="5" t="s">
        <v>3121</v>
      </c>
      <c r="I607" s="6" t="str">
        <f>HYPERLINK("http://maps.yandex.ru/?ll=45.375324,50.1279&amp;spn=0.011598,0.004531&amp;z=17&amp;l=map&amp;pt=45.375324,50.1279", "50.12799//45.375324")</f>
        <v>50.12799//45.375324</v>
      </c>
      <c r="J607" s="5" t="s">
        <v>95</v>
      </c>
      <c r="K607" s="6" t="str">
        <f>HYPERLINK("http://maps.yandex.ru/?ll=39.066814,45.05446&amp;spn=0.011598,0.004531&amp;z=17&amp;l=map&amp;pt=39.066814,45.05446", "45.054466//39.066814")</f>
        <v>45.054466//39.066814</v>
      </c>
      <c r="L607" s="5" t="s">
        <v>88</v>
      </c>
      <c r="M607" s="5" t="s">
        <v>1457</v>
      </c>
      <c r="N607" s="5" t="s">
        <v>886</v>
      </c>
      <c r="O607" s="5" t="s">
        <v>4693</v>
      </c>
      <c r="P607" s="5">
        <v>55</v>
      </c>
      <c r="Q607" s="5">
        <v>41</v>
      </c>
      <c r="R607" s="5">
        <v>4</v>
      </c>
      <c r="S607" s="5">
        <v>905.08399999999995</v>
      </c>
      <c r="T607" s="5" t="s">
        <v>12</v>
      </c>
      <c r="U607" s="5" t="s">
        <v>12</v>
      </c>
      <c r="V607" s="5" t="s">
        <v>12</v>
      </c>
      <c r="W607" s="5">
        <v>37.71</v>
      </c>
      <c r="X607" s="5">
        <v>68.03</v>
      </c>
      <c r="Y607" s="5">
        <v>112</v>
      </c>
      <c r="Z607" s="5" t="s">
        <v>12</v>
      </c>
      <c r="AA607" s="5" t="s">
        <v>12</v>
      </c>
      <c r="AB607" s="5" t="s">
        <v>12</v>
      </c>
      <c r="AC607" s="5" t="s">
        <v>12</v>
      </c>
      <c r="AD607" s="5" t="s">
        <v>12</v>
      </c>
      <c r="AE607" s="5" t="s">
        <v>12</v>
      </c>
      <c r="AF607" s="5" t="s">
        <v>12</v>
      </c>
      <c r="AG607" s="5"/>
      <c r="AH607" s="5"/>
      <c r="AI607" s="5"/>
      <c r="AJ607" s="5"/>
      <c r="AK607" s="5"/>
      <c r="AL607" s="5" t="s">
        <v>12</v>
      </c>
      <c r="AM607" s="5" t="s">
        <v>12</v>
      </c>
      <c r="AN607" s="5" t="s">
        <v>12</v>
      </c>
      <c r="AO607" s="5" t="s">
        <v>69</v>
      </c>
      <c r="AP607" s="5" t="s">
        <v>68</v>
      </c>
      <c r="AQ607" s="5" t="s">
        <v>67</v>
      </c>
      <c r="AR607" s="5" t="s">
        <v>66</v>
      </c>
    </row>
    <row r="608" spans="1:44" ht="31.5" x14ac:dyDescent="0.25">
      <c r="A608" s="10">
        <v>46096</v>
      </c>
      <c r="B608" s="5" t="s">
        <v>906</v>
      </c>
      <c r="C608" s="5" t="s">
        <v>2864</v>
      </c>
      <c r="D608" s="5" t="s">
        <v>11</v>
      </c>
      <c r="E608" s="5" t="s">
        <v>3</v>
      </c>
      <c r="F608" s="5" t="s">
        <v>3</v>
      </c>
      <c r="G608" s="5" t="s">
        <v>5207</v>
      </c>
      <c r="H608" s="5" t="s">
        <v>5208</v>
      </c>
      <c r="I608" s="6" t="str">
        <f>HYPERLINK("http://maps.yandex.ru/?ll=38.327076,55.72145&amp;spn=0.011598,0.004531&amp;z=17&amp;l=map&amp;pt=38.327076,55.72145", "55.721455//38.327076")</f>
        <v>55.721455//38.327076</v>
      </c>
      <c r="J608" s="5" t="s">
        <v>56</v>
      </c>
      <c r="K608" s="6" t="str">
        <f>HYPERLINK("http://maps.yandex.ru/?ll=38.46932,55.5927&amp;spn=0.011598,0.004531&amp;z=17&amp;l=map&amp;pt=38.46932,55.5927", "55.59272//38.46932")</f>
        <v>55.59272//38.46932</v>
      </c>
      <c r="L608" s="5" t="s">
        <v>56</v>
      </c>
      <c r="M608" s="5" t="s">
        <v>803</v>
      </c>
      <c r="N608" s="5" t="s">
        <v>4864</v>
      </c>
      <c r="O608" s="5" t="s">
        <v>726</v>
      </c>
      <c r="P608" s="5">
        <v>9</v>
      </c>
      <c r="Q608" s="5">
        <v>77</v>
      </c>
      <c r="R608" s="5">
        <v>14</v>
      </c>
      <c r="S608" s="5">
        <v>93.412000000000006</v>
      </c>
      <c r="T608" s="5" t="s">
        <v>12</v>
      </c>
      <c r="U608" s="5" t="s">
        <v>12</v>
      </c>
      <c r="V608" s="5" t="s">
        <v>12</v>
      </c>
      <c r="W608" s="5">
        <v>3.89</v>
      </c>
      <c r="X608" s="5">
        <v>41.7</v>
      </c>
      <c r="Y608" s="5">
        <v>102</v>
      </c>
      <c r="Z608" s="5" t="s">
        <v>2866</v>
      </c>
      <c r="AA608" s="5" t="s">
        <v>2486</v>
      </c>
      <c r="AB608" s="5" t="s">
        <v>19</v>
      </c>
      <c r="AC608" s="5" t="s">
        <v>19</v>
      </c>
      <c r="AD608" s="5" t="s">
        <v>19</v>
      </c>
      <c r="AE608" s="5" t="s">
        <v>1689</v>
      </c>
      <c r="AF608" s="5" t="s">
        <v>12</v>
      </c>
      <c r="AG608" s="5"/>
      <c r="AH608" s="5"/>
      <c r="AI608" s="5"/>
      <c r="AJ608" s="5"/>
      <c r="AK608" s="5"/>
      <c r="AL608" s="5" t="s">
        <v>12</v>
      </c>
      <c r="AM608" s="5" t="s">
        <v>12</v>
      </c>
      <c r="AN608" s="5" t="s">
        <v>12</v>
      </c>
      <c r="AO608" s="5" t="s">
        <v>69</v>
      </c>
      <c r="AP608" s="5" t="s">
        <v>68</v>
      </c>
      <c r="AQ608" s="5" t="s">
        <v>106</v>
      </c>
      <c r="AR608" s="5" t="s">
        <v>105</v>
      </c>
    </row>
    <row r="609" spans="1:44" ht="31.5" x14ac:dyDescent="0.25">
      <c r="A609" s="10">
        <v>46096</v>
      </c>
      <c r="B609" s="5" t="s">
        <v>905</v>
      </c>
      <c r="C609" s="5" t="s">
        <v>2867</v>
      </c>
      <c r="D609" s="5" t="s">
        <v>11</v>
      </c>
      <c r="E609" s="5" t="s">
        <v>3</v>
      </c>
      <c r="F609" s="5" t="s">
        <v>3</v>
      </c>
      <c r="G609" s="5" t="s">
        <v>5209</v>
      </c>
      <c r="H609" s="5" t="s">
        <v>5210</v>
      </c>
      <c r="I609" s="6" t="str">
        <f>HYPERLINK("http://maps.yandex.ru/?ll=39.120796,44.8077&amp;spn=0.011598,0.004531&amp;z=17&amp;l=map&amp;pt=39.120796,44.8077", "44.80778//39.120796")</f>
        <v>44.80778//39.120796</v>
      </c>
      <c r="J609" s="5" t="s">
        <v>88</v>
      </c>
      <c r="K609" s="6" t="str">
        <f>HYPERLINK("http://maps.yandex.ru/?ll=41.895054,44.67021&amp;spn=0.011598,0.004531&amp;z=17&amp;l=map&amp;pt=41.895054,44.67021", "44.670216//41.895054")</f>
        <v>44.670216//41.895054</v>
      </c>
      <c r="L609" s="5" t="s">
        <v>208</v>
      </c>
      <c r="M609" s="5" t="s">
        <v>5211</v>
      </c>
      <c r="N609" s="5" t="s">
        <v>1430</v>
      </c>
      <c r="O609" s="5" t="s">
        <v>505</v>
      </c>
      <c r="P609" s="5">
        <v>19</v>
      </c>
      <c r="Q609" s="5">
        <v>51</v>
      </c>
      <c r="R609" s="5">
        <v>30</v>
      </c>
      <c r="S609" s="5">
        <v>316.91199999999998</v>
      </c>
      <c r="T609" s="5" t="s">
        <v>12</v>
      </c>
      <c r="U609" s="5" t="s">
        <v>12</v>
      </c>
      <c r="V609" s="5" t="s">
        <v>12</v>
      </c>
      <c r="W609" s="5">
        <v>13.2</v>
      </c>
      <c r="X609" s="5">
        <v>69.11</v>
      </c>
      <c r="Y609" s="5">
        <v>126</v>
      </c>
      <c r="Z609" s="5" t="s">
        <v>12</v>
      </c>
      <c r="AA609" s="5" t="s">
        <v>12</v>
      </c>
      <c r="AB609" s="5" t="s">
        <v>12</v>
      </c>
      <c r="AC609" s="5" t="s">
        <v>12</v>
      </c>
      <c r="AD609" s="5" t="s">
        <v>12</v>
      </c>
      <c r="AE609" s="5" t="s">
        <v>12</v>
      </c>
      <c r="AF609" s="5" t="s">
        <v>12</v>
      </c>
      <c r="AG609" s="5"/>
      <c r="AH609" s="5"/>
      <c r="AI609" s="5"/>
      <c r="AJ609" s="5"/>
      <c r="AK609" s="5"/>
      <c r="AL609" s="5" t="s">
        <v>12</v>
      </c>
      <c r="AM609" s="5" t="s">
        <v>12</v>
      </c>
      <c r="AN609" s="5" t="s">
        <v>12</v>
      </c>
      <c r="AO609" s="5" t="s">
        <v>11</v>
      </c>
      <c r="AP609" s="5" t="s">
        <v>11</v>
      </c>
      <c r="AQ609" s="5" t="s">
        <v>106</v>
      </c>
      <c r="AR609" s="5" t="s">
        <v>105</v>
      </c>
    </row>
    <row r="610" spans="1:44" ht="15.75" x14ac:dyDescent="0.25">
      <c r="A610" s="10">
        <v>46096</v>
      </c>
      <c r="B610" s="5" t="s">
        <v>904</v>
      </c>
      <c r="C610" s="5" t="s">
        <v>2868</v>
      </c>
      <c r="D610" s="5" t="s">
        <v>11</v>
      </c>
      <c r="E610" s="5" t="s">
        <v>1</v>
      </c>
      <c r="F610" s="5" t="s">
        <v>1</v>
      </c>
      <c r="G610" s="5" t="s">
        <v>11</v>
      </c>
      <c r="H610" s="5" t="s">
        <v>11</v>
      </c>
      <c r="I610" s="6" t="str">
        <f>HYPERLINK("http://maps.yandex.ru/?ll=,&amp;spn=0.011598,0.004531&amp;z=17&amp;l=map&amp;pt=,", "")</f>
        <v/>
      </c>
      <c r="J610" s="5" t="s">
        <v>84</v>
      </c>
      <c r="K610" s="6" t="str">
        <f>HYPERLINK("http://maps.yandex.ru/?ll=,&amp;spn=0.011598,0.004531&amp;z=17&amp;l=map&amp;pt=,", "")</f>
        <v/>
      </c>
      <c r="L610" s="5" t="s">
        <v>84</v>
      </c>
      <c r="M610" s="5" t="s">
        <v>13</v>
      </c>
      <c r="N610" s="5" t="s">
        <v>58</v>
      </c>
      <c r="O610" s="5" t="s">
        <v>13</v>
      </c>
      <c r="P610" s="5">
        <v>0</v>
      </c>
      <c r="Q610" s="5">
        <v>100</v>
      </c>
      <c r="R610" s="5">
        <v>0</v>
      </c>
      <c r="S610" s="5">
        <v>0</v>
      </c>
      <c r="T610" s="5" t="s">
        <v>12</v>
      </c>
      <c r="U610" s="5" t="s">
        <v>12</v>
      </c>
      <c r="V610" s="5" t="s">
        <v>12</v>
      </c>
      <c r="W610" s="5">
        <v>0</v>
      </c>
      <c r="X610" s="5">
        <v>0</v>
      </c>
      <c r="Y610" s="5">
        <v>0</v>
      </c>
      <c r="Z610" s="5" t="s">
        <v>12</v>
      </c>
      <c r="AA610" s="5" t="s">
        <v>12</v>
      </c>
      <c r="AB610" s="5" t="s">
        <v>12</v>
      </c>
      <c r="AC610" s="5" t="s">
        <v>12</v>
      </c>
      <c r="AD610" s="5" t="s">
        <v>12</v>
      </c>
      <c r="AE610" s="5" t="s">
        <v>12</v>
      </c>
      <c r="AF610" s="5" t="s">
        <v>12</v>
      </c>
      <c r="AG610" s="5"/>
      <c r="AH610" s="5"/>
      <c r="AI610" s="5"/>
      <c r="AJ610" s="5"/>
      <c r="AK610" s="5"/>
      <c r="AL610" s="5" t="s">
        <v>12</v>
      </c>
      <c r="AM610" s="5" t="s">
        <v>12</v>
      </c>
      <c r="AN610" s="5" t="s">
        <v>12</v>
      </c>
      <c r="AO610" s="5" t="s">
        <v>11</v>
      </c>
      <c r="AP610" s="5" t="s">
        <v>11</v>
      </c>
      <c r="AQ610" s="5" t="s">
        <v>106</v>
      </c>
      <c r="AR610" s="5" t="s">
        <v>105</v>
      </c>
    </row>
    <row r="611" spans="1:44" ht="31.5" x14ac:dyDescent="0.25">
      <c r="A611" s="10">
        <v>46096</v>
      </c>
      <c r="B611" s="5" t="s">
        <v>903</v>
      </c>
      <c r="C611" s="5" t="s">
        <v>2869</v>
      </c>
      <c r="D611" s="5" t="s">
        <v>11</v>
      </c>
      <c r="E611" s="5" t="s">
        <v>3</v>
      </c>
      <c r="F611" s="5" t="s">
        <v>3</v>
      </c>
      <c r="G611" s="5" t="s">
        <v>5212</v>
      </c>
      <c r="H611" s="5" t="s">
        <v>5213</v>
      </c>
      <c r="I611" s="6" t="str">
        <f>HYPERLINK("http://maps.yandex.ru/?ll=38.520653,55.85555&amp;spn=0.011598,0.004531&amp;z=17&amp;l=map&amp;pt=38.520653,55.85555", "55.855556//38.520653")</f>
        <v>55.855556//38.520653</v>
      </c>
      <c r="J611" s="5" t="s">
        <v>56</v>
      </c>
      <c r="K611" s="6" t="str">
        <f>HYPERLINK("http://maps.yandex.ru/?ll=37.637188,55.4866&amp;spn=0.011598,0.004531&amp;z=17&amp;l=map&amp;pt=37.637188,55.4866", "55.48663//37.637188")</f>
        <v>55.48663//37.637188</v>
      </c>
      <c r="L611" s="5" t="s">
        <v>56</v>
      </c>
      <c r="M611" s="5" t="s">
        <v>1441</v>
      </c>
      <c r="N611" s="5" t="s">
        <v>5214</v>
      </c>
      <c r="O611" s="5" t="s">
        <v>312</v>
      </c>
      <c r="P611" s="5">
        <v>5</v>
      </c>
      <c r="Q611" s="5">
        <v>90</v>
      </c>
      <c r="R611" s="5">
        <v>5</v>
      </c>
      <c r="S611" s="5">
        <v>87.873999999999995</v>
      </c>
      <c r="T611" s="5" t="s">
        <v>12</v>
      </c>
      <c r="U611" s="5" t="s">
        <v>12</v>
      </c>
      <c r="V611" s="5" t="s">
        <v>12</v>
      </c>
      <c r="W611" s="5">
        <v>3.66</v>
      </c>
      <c r="X611" s="5">
        <v>67.84</v>
      </c>
      <c r="Y611" s="5">
        <v>100</v>
      </c>
      <c r="Z611" s="5" t="s">
        <v>12</v>
      </c>
      <c r="AA611" s="5" t="s">
        <v>12</v>
      </c>
      <c r="AB611" s="5" t="s">
        <v>12</v>
      </c>
      <c r="AC611" s="5" t="s">
        <v>12</v>
      </c>
      <c r="AD611" s="5" t="s">
        <v>12</v>
      </c>
      <c r="AE611" s="5" t="s">
        <v>12</v>
      </c>
      <c r="AF611" s="5" t="s">
        <v>12</v>
      </c>
      <c r="AG611" s="5"/>
      <c r="AH611" s="5"/>
      <c r="AI611" s="5"/>
      <c r="AJ611" s="5"/>
      <c r="AK611" s="5"/>
      <c r="AL611" s="5" t="s">
        <v>12</v>
      </c>
      <c r="AM611" s="5" t="s">
        <v>12</v>
      </c>
      <c r="AN611" s="5" t="s">
        <v>12</v>
      </c>
      <c r="AO611" s="5" t="s">
        <v>69</v>
      </c>
      <c r="AP611" s="5" t="s">
        <v>442</v>
      </c>
      <c r="AQ611" s="5" t="s">
        <v>99</v>
      </c>
      <c r="AR611" s="5" t="s">
        <v>275</v>
      </c>
    </row>
    <row r="612" spans="1:44" ht="15.75" x14ac:dyDescent="0.25">
      <c r="A612" s="10">
        <v>46096</v>
      </c>
      <c r="B612" s="5" t="s">
        <v>902</v>
      </c>
      <c r="C612" s="5" t="s">
        <v>2870</v>
      </c>
      <c r="D612" s="5" t="s">
        <v>11</v>
      </c>
      <c r="E612" s="5" t="s">
        <v>11</v>
      </c>
      <c r="F612" s="5" t="s">
        <v>11</v>
      </c>
      <c r="G612" s="5" t="s">
        <v>11</v>
      </c>
      <c r="H612" s="5" t="s">
        <v>11</v>
      </c>
      <c r="I612" s="6" t="str">
        <f>HYPERLINK("http://maps.yandex.ru/?ll=,&amp;spn=0.011598,0.004531&amp;z=17&amp;l=map&amp;pt=,", "")</f>
        <v/>
      </c>
      <c r="J612" s="5" t="s">
        <v>84</v>
      </c>
      <c r="K612" s="6" t="str">
        <f>HYPERLINK("http://maps.yandex.ru/?ll=,&amp;spn=0.011598,0.004531&amp;z=17&amp;l=map&amp;pt=,", "")</f>
        <v/>
      </c>
      <c r="L612" s="5" t="s">
        <v>84</v>
      </c>
      <c r="M612" s="5" t="s">
        <v>13</v>
      </c>
      <c r="N612" s="5" t="s">
        <v>13</v>
      </c>
      <c r="O612" s="5" t="s">
        <v>58</v>
      </c>
      <c r="P612" s="5">
        <v>0</v>
      </c>
      <c r="Q612" s="5">
        <v>0</v>
      </c>
      <c r="R612" s="5">
        <v>100</v>
      </c>
      <c r="S612" s="5">
        <v>0</v>
      </c>
      <c r="T612" s="5" t="s">
        <v>12</v>
      </c>
      <c r="U612" s="5" t="s">
        <v>12</v>
      </c>
      <c r="V612" s="5" t="s">
        <v>12</v>
      </c>
      <c r="W612" s="5">
        <v>0</v>
      </c>
      <c r="X612" s="5">
        <v>0</v>
      </c>
      <c r="Y612" s="5">
        <v>0</v>
      </c>
      <c r="Z612" s="5" t="s">
        <v>12</v>
      </c>
      <c r="AA612" s="5" t="s">
        <v>12</v>
      </c>
      <c r="AB612" s="5" t="s">
        <v>12</v>
      </c>
      <c r="AC612" s="5" t="s">
        <v>12</v>
      </c>
      <c r="AD612" s="5" t="s">
        <v>12</v>
      </c>
      <c r="AE612" s="5" t="s">
        <v>12</v>
      </c>
      <c r="AF612" s="5" t="s">
        <v>12</v>
      </c>
      <c r="AG612" s="5"/>
      <c r="AH612" s="5"/>
      <c r="AI612" s="5"/>
      <c r="AJ612" s="5"/>
      <c r="AK612" s="5"/>
      <c r="AL612" s="5" t="s">
        <v>12</v>
      </c>
      <c r="AM612" s="5" t="s">
        <v>12</v>
      </c>
      <c r="AN612" s="5" t="s">
        <v>12</v>
      </c>
      <c r="AO612" s="5" t="s">
        <v>11</v>
      </c>
      <c r="AP612" s="5" t="s">
        <v>11</v>
      </c>
      <c r="AQ612" s="5" t="s">
        <v>106</v>
      </c>
      <c r="AR612" s="5" t="s">
        <v>105</v>
      </c>
    </row>
    <row r="613" spans="1:44" ht="31.5" x14ac:dyDescent="0.25">
      <c r="A613" s="10">
        <v>46096</v>
      </c>
      <c r="B613" s="5" t="s">
        <v>901</v>
      </c>
      <c r="C613" s="5" t="s">
        <v>2871</v>
      </c>
      <c r="D613" s="5" t="s">
        <v>11</v>
      </c>
      <c r="E613" s="5" t="s">
        <v>11</v>
      </c>
      <c r="F613" s="5" t="s">
        <v>11</v>
      </c>
      <c r="G613" s="5" t="s">
        <v>5215</v>
      </c>
      <c r="H613" s="5" t="s">
        <v>5216</v>
      </c>
      <c r="I613" s="6" t="str">
        <f>HYPERLINK("http://maps.yandex.ru/?ll=58.474926,56.7955&amp;spn=0.011598,0.004531&amp;z=17&amp;l=map&amp;pt=58.474926,56.7955", "56.79559//58.474926")</f>
        <v>56.79559//58.474926</v>
      </c>
      <c r="J613" s="5" t="s">
        <v>77</v>
      </c>
      <c r="K613" s="6" t="str">
        <f>HYPERLINK("http://maps.yandex.ru/?ll=49.676018,58.66607&amp;spn=0.011598,0.004531&amp;z=17&amp;l=map&amp;pt=49.676018,58.66607", "58.666077//49.676018")</f>
        <v>58.666077//49.676018</v>
      </c>
      <c r="L613" s="5" t="s">
        <v>489</v>
      </c>
      <c r="M613" s="5" t="s">
        <v>1314</v>
      </c>
      <c r="N613" s="5" t="s">
        <v>5217</v>
      </c>
      <c r="O613" s="5" t="s">
        <v>988</v>
      </c>
      <c r="P613" s="5">
        <v>37</v>
      </c>
      <c r="Q613" s="5">
        <v>57</v>
      </c>
      <c r="R613" s="5">
        <v>6</v>
      </c>
      <c r="S613" s="5">
        <v>589.76199999999994</v>
      </c>
      <c r="T613" s="5" t="s">
        <v>12</v>
      </c>
      <c r="U613" s="5" t="s">
        <v>12</v>
      </c>
      <c r="V613" s="5" t="s">
        <v>12</v>
      </c>
      <c r="W613" s="5">
        <v>24.57</v>
      </c>
      <c r="X613" s="5">
        <v>66.430000000000007</v>
      </c>
      <c r="Y613" s="5">
        <v>103</v>
      </c>
      <c r="Z613" s="5" t="s">
        <v>12</v>
      </c>
      <c r="AA613" s="5" t="s">
        <v>12</v>
      </c>
      <c r="AB613" s="5" t="s">
        <v>12</v>
      </c>
      <c r="AC613" s="5" t="s">
        <v>12</v>
      </c>
      <c r="AD613" s="5" t="s">
        <v>12</v>
      </c>
      <c r="AE613" s="5" t="s">
        <v>12</v>
      </c>
      <c r="AF613" s="5" t="s">
        <v>12</v>
      </c>
      <c r="AG613" s="5"/>
      <c r="AH613" s="5"/>
      <c r="AI613" s="5"/>
      <c r="AJ613" s="5"/>
      <c r="AK613" s="5"/>
      <c r="AL613" s="5" t="s">
        <v>12</v>
      </c>
      <c r="AM613" s="5" t="s">
        <v>12</v>
      </c>
      <c r="AN613" s="5" t="s">
        <v>12</v>
      </c>
      <c r="AO613" s="5" t="s">
        <v>11</v>
      </c>
      <c r="AP613" s="5" t="s">
        <v>11</v>
      </c>
      <c r="AQ613" s="5" t="s">
        <v>67</v>
      </c>
      <c r="AR613" s="5" t="s">
        <v>66</v>
      </c>
    </row>
    <row r="614" spans="1:44" ht="15.75" x14ac:dyDescent="0.25">
      <c r="A614" s="10">
        <v>46096</v>
      </c>
      <c r="B614" s="5" t="s">
        <v>898</v>
      </c>
      <c r="C614" s="5" t="s">
        <v>2872</v>
      </c>
      <c r="D614" s="5" t="s">
        <v>11</v>
      </c>
      <c r="E614" s="5" t="s">
        <v>11</v>
      </c>
      <c r="F614" s="5" t="s">
        <v>11</v>
      </c>
      <c r="G614" s="5" t="s">
        <v>11</v>
      </c>
      <c r="H614" s="5" t="s">
        <v>11</v>
      </c>
      <c r="I614" s="6" t="str">
        <f>HYPERLINK("http://maps.yandex.ru/?ll=,&amp;spn=0.011598,0.004531&amp;z=17&amp;l=map&amp;pt=,", "")</f>
        <v/>
      </c>
      <c r="J614" s="5" t="s">
        <v>84</v>
      </c>
      <c r="K614" s="6" t="str">
        <f>HYPERLINK("http://maps.yandex.ru/?ll=,&amp;spn=0.011598,0.004531&amp;z=17&amp;l=map&amp;pt=,", "")</f>
        <v/>
      </c>
      <c r="L614" s="5" t="s">
        <v>84</v>
      </c>
      <c r="M614" s="5" t="s">
        <v>13</v>
      </c>
      <c r="N614" s="5" t="s">
        <v>58</v>
      </c>
      <c r="O614" s="5" t="s">
        <v>13</v>
      </c>
      <c r="P614" s="5">
        <v>0</v>
      </c>
      <c r="Q614" s="5">
        <v>100</v>
      </c>
      <c r="R614" s="5">
        <v>0</v>
      </c>
      <c r="S614" s="5">
        <v>0</v>
      </c>
      <c r="T614" s="5" t="s">
        <v>1673</v>
      </c>
      <c r="U614" s="5" t="s">
        <v>2873</v>
      </c>
      <c r="V614" s="5" t="s">
        <v>2874</v>
      </c>
      <c r="W614" s="5">
        <v>0</v>
      </c>
      <c r="X614" s="5">
        <v>0</v>
      </c>
      <c r="Y614" s="5">
        <v>0</v>
      </c>
      <c r="Z614" s="5" t="s">
        <v>2234</v>
      </c>
      <c r="AA614" s="5" t="s">
        <v>2665</v>
      </c>
      <c r="AB614" s="5" t="s">
        <v>19</v>
      </c>
      <c r="AC614" s="5" t="s">
        <v>19</v>
      </c>
      <c r="AD614" s="5" t="s">
        <v>19</v>
      </c>
      <c r="AE614" s="5" t="s">
        <v>1889</v>
      </c>
      <c r="AF614" s="5" t="s">
        <v>12</v>
      </c>
      <c r="AG614" s="5">
        <v>5</v>
      </c>
      <c r="AH614" s="5">
        <v>5</v>
      </c>
      <c r="AI614" s="5">
        <v>0</v>
      </c>
      <c r="AJ614" s="5">
        <v>500</v>
      </c>
      <c r="AK614" s="5">
        <v>0</v>
      </c>
      <c r="AL614" s="5" t="s">
        <v>12</v>
      </c>
      <c r="AM614" s="5" t="s">
        <v>12</v>
      </c>
      <c r="AN614" s="5" t="s">
        <v>12</v>
      </c>
      <c r="AO614" s="5" t="s">
        <v>11</v>
      </c>
      <c r="AP614" s="5" t="s">
        <v>11</v>
      </c>
      <c r="AQ614" s="5" t="s">
        <v>11</v>
      </c>
      <c r="AR614" s="5" t="s">
        <v>11</v>
      </c>
    </row>
    <row r="615" spans="1:44" ht="15.75" x14ac:dyDescent="0.25">
      <c r="A615" s="10">
        <v>46096</v>
      </c>
      <c r="B615" s="5" t="s">
        <v>897</v>
      </c>
      <c r="C615" s="5" t="s">
        <v>2875</v>
      </c>
      <c r="D615" s="5" t="s">
        <v>11</v>
      </c>
      <c r="E615" s="5" t="s">
        <v>11</v>
      </c>
      <c r="F615" s="5" t="s">
        <v>11</v>
      </c>
      <c r="G615" s="5" t="s">
        <v>11</v>
      </c>
      <c r="H615" s="5" t="s">
        <v>11</v>
      </c>
      <c r="I615" s="6" t="str">
        <f>HYPERLINK("http://maps.yandex.ru/?ll=,&amp;spn=0.011598,0.004531&amp;z=17&amp;l=map&amp;pt=,", "")</f>
        <v/>
      </c>
      <c r="J615" s="5" t="s">
        <v>84</v>
      </c>
      <c r="K615" s="6" t="str">
        <f>HYPERLINK("http://maps.yandex.ru/?ll=,&amp;spn=0.011598,0.004531&amp;z=17&amp;l=map&amp;pt=,", "")</f>
        <v/>
      </c>
      <c r="L615" s="5" t="s">
        <v>84</v>
      </c>
      <c r="M615" s="5" t="s">
        <v>13</v>
      </c>
      <c r="N615" s="5" t="s">
        <v>13</v>
      </c>
      <c r="O615" s="5" t="s">
        <v>58</v>
      </c>
      <c r="P615" s="5">
        <v>0</v>
      </c>
      <c r="Q615" s="5">
        <v>0</v>
      </c>
      <c r="R615" s="5">
        <v>100</v>
      </c>
      <c r="S615" s="5">
        <v>0</v>
      </c>
      <c r="T615" s="5" t="s">
        <v>12</v>
      </c>
      <c r="U615" s="5" t="s">
        <v>12</v>
      </c>
      <c r="V615" s="5" t="s">
        <v>12</v>
      </c>
      <c r="W615" s="5">
        <v>0</v>
      </c>
      <c r="X615" s="5">
        <v>0</v>
      </c>
      <c r="Y615" s="5">
        <v>0</v>
      </c>
      <c r="Z615" s="5" t="s">
        <v>12</v>
      </c>
      <c r="AA615" s="5" t="s">
        <v>12</v>
      </c>
      <c r="AB615" s="5" t="s">
        <v>12</v>
      </c>
      <c r="AC615" s="5" t="s">
        <v>12</v>
      </c>
      <c r="AD615" s="5" t="s">
        <v>12</v>
      </c>
      <c r="AE615" s="5" t="s">
        <v>12</v>
      </c>
      <c r="AF615" s="5" t="s">
        <v>12</v>
      </c>
      <c r="AG615" s="5"/>
      <c r="AH615" s="5">
        <v>0</v>
      </c>
      <c r="AI615" s="5"/>
      <c r="AJ615" s="5"/>
      <c r="AK615" s="5"/>
      <c r="AL615" s="5" t="s">
        <v>12</v>
      </c>
      <c r="AM615" s="5" t="s">
        <v>12</v>
      </c>
      <c r="AN615" s="5" t="s">
        <v>12</v>
      </c>
      <c r="AO615" s="5" t="s">
        <v>11</v>
      </c>
      <c r="AP615" s="5" t="s">
        <v>11</v>
      </c>
      <c r="AQ615" s="5" t="s">
        <v>11</v>
      </c>
      <c r="AR615" s="5" t="s">
        <v>11</v>
      </c>
    </row>
    <row r="616" spans="1:44" ht="31.5" x14ac:dyDescent="0.25">
      <c r="A616" s="10">
        <v>46096</v>
      </c>
      <c r="B616" s="5" t="s">
        <v>896</v>
      </c>
      <c r="C616" s="5" t="s">
        <v>2876</v>
      </c>
      <c r="D616" s="5" t="s">
        <v>11</v>
      </c>
      <c r="E616" s="5" t="s">
        <v>1</v>
      </c>
      <c r="F616" s="5" t="s">
        <v>1</v>
      </c>
      <c r="G616" s="5" t="s">
        <v>3103</v>
      </c>
      <c r="H616" s="5" t="s">
        <v>3121</v>
      </c>
      <c r="I616" s="6" t="str">
        <f>HYPERLINK("http://maps.yandex.ru/?ll=37.226345,55.77607&amp;spn=0.011598,0.004531&amp;z=17&amp;l=map&amp;pt=37.226345,55.77607", "55.776073//37.226345")</f>
        <v>55.776073//37.226345</v>
      </c>
      <c r="J616" s="5" t="s">
        <v>56</v>
      </c>
      <c r="K616" s="6" t="str">
        <f>HYPERLINK("http://maps.yandex.ru/?ll=37.486115,55.96031&amp;spn=0.011598,0.004531&amp;z=17&amp;l=map&amp;pt=37.486115,55.96031", "55.960316//37.486115")</f>
        <v>55.960316//37.486115</v>
      </c>
      <c r="L616" s="5" t="s">
        <v>56</v>
      </c>
      <c r="M616" s="5" t="s">
        <v>695</v>
      </c>
      <c r="N616" s="5" t="s">
        <v>4218</v>
      </c>
      <c r="O616" s="5" t="s">
        <v>372</v>
      </c>
      <c r="P616" s="5">
        <v>23</v>
      </c>
      <c r="Q616" s="5">
        <v>75</v>
      </c>
      <c r="R616" s="5">
        <v>2</v>
      </c>
      <c r="S616" s="5">
        <v>295.21699999999998</v>
      </c>
      <c r="T616" s="5" t="s">
        <v>12</v>
      </c>
      <c r="U616" s="5" t="s">
        <v>12</v>
      </c>
      <c r="V616" s="5" t="s">
        <v>12</v>
      </c>
      <c r="W616" s="5">
        <v>12.3</v>
      </c>
      <c r="X616" s="5">
        <v>53.91</v>
      </c>
      <c r="Y616" s="5">
        <v>99</v>
      </c>
      <c r="Z616" s="5" t="s">
        <v>12</v>
      </c>
      <c r="AA616" s="5" t="s">
        <v>12</v>
      </c>
      <c r="AB616" s="5" t="s">
        <v>12</v>
      </c>
      <c r="AC616" s="5" t="s">
        <v>12</v>
      </c>
      <c r="AD616" s="5" t="s">
        <v>12</v>
      </c>
      <c r="AE616" s="5" t="s">
        <v>12</v>
      </c>
      <c r="AF616" s="5" t="s">
        <v>12</v>
      </c>
      <c r="AG616" s="5"/>
      <c r="AH616" s="5"/>
      <c r="AI616" s="5"/>
      <c r="AJ616" s="5"/>
      <c r="AK616" s="5"/>
      <c r="AL616" s="5" t="s">
        <v>5218</v>
      </c>
      <c r="AM616" s="5" t="s">
        <v>5219</v>
      </c>
      <c r="AN616" s="5" t="s">
        <v>1607</v>
      </c>
      <c r="AO616" s="5" t="s">
        <v>69</v>
      </c>
      <c r="AP616" s="5" t="s">
        <v>68</v>
      </c>
      <c r="AQ616" s="5" t="s">
        <v>99</v>
      </c>
      <c r="AR616" s="5" t="s">
        <v>98</v>
      </c>
    </row>
    <row r="617" spans="1:44" ht="31.5" x14ac:dyDescent="0.25">
      <c r="A617" s="10">
        <v>46096</v>
      </c>
      <c r="B617" s="5" t="s">
        <v>895</v>
      </c>
      <c r="C617" s="5" t="s">
        <v>2877</v>
      </c>
      <c r="D617" s="5" t="s">
        <v>11</v>
      </c>
      <c r="E617" s="5" t="s">
        <v>1</v>
      </c>
      <c r="F617" s="5" t="s">
        <v>1</v>
      </c>
      <c r="G617" s="5" t="s">
        <v>5220</v>
      </c>
      <c r="H617" s="5" t="s">
        <v>5221</v>
      </c>
      <c r="I617" s="6" t="str">
        <f>HYPERLINK("http://maps.yandex.ru/?ll=39.218746,51.8481&amp;spn=0.011598,0.004531&amp;z=17&amp;l=map&amp;pt=39.218746,51.8481", "51.84812//39.218746")</f>
        <v>51.84812//39.218746</v>
      </c>
      <c r="J617" s="5" t="s">
        <v>101</v>
      </c>
      <c r="K617" s="6" t="str">
        <f>HYPERLINK("http://maps.yandex.ru/?ll=38.26429,51.56382&amp;spn=0.011598,0.004531&amp;z=17&amp;l=map&amp;pt=38.26429,51.56382", "51.563824//38.26429")</f>
        <v>51.563824//38.26429</v>
      </c>
      <c r="L617" s="5" t="s">
        <v>101</v>
      </c>
      <c r="M617" s="5" t="s">
        <v>1184</v>
      </c>
      <c r="N617" s="5" t="s">
        <v>638</v>
      </c>
      <c r="O617" s="5" t="s">
        <v>27</v>
      </c>
      <c r="P617" s="5">
        <v>20</v>
      </c>
      <c r="Q617" s="5">
        <v>43</v>
      </c>
      <c r="R617" s="5">
        <v>37</v>
      </c>
      <c r="S617" s="5">
        <v>79.850999999999999</v>
      </c>
      <c r="T617" s="5" t="s">
        <v>12</v>
      </c>
      <c r="U617" s="5" t="s">
        <v>12</v>
      </c>
      <c r="V617" s="5" t="s">
        <v>12</v>
      </c>
      <c r="W617" s="5">
        <v>3.33</v>
      </c>
      <c r="X617" s="5">
        <v>16.48</v>
      </c>
      <c r="Y617" s="5">
        <v>94</v>
      </c>
      <c r="Z617" s="5" t="s">
        <v>12</v>
      </c>
      <c r="AA617" s="5" t="s">
        <v>12</v>
      </c>
      <c r="AB617" s="5" t="s">
        <v>19</v>
      </c>
      <c r="AC617" s="5" t="s">
        <v>19</v>
      </c>
      <c r="AD617" s="5" t="s">
        <v>19</v>
      </c>
      <c r="AE617" s="5" t="s">
        <v>12</v>
      </c>
      <c r="AF617" s="5" t="s">
        <v>12</v>
      </c>
      <c r="AG617" s="5"/>
      <c r="AH617" s="5"/>
      <c r="AI617" s="5"/>
      <c r="AJ617" s="5"/>
      <c r="AK617" s="5"/>
      <c r="AL617" s="5" t="s">
        <v>12</v>
      </c>
      <c r="AM617" s="5" t="s">
        <v>12</v>
      </c>
      <c r="AN617" s="5" t="s">
        <v>12</v>
      </c>
      <c r="AO617" s="5" t="s">
        <v>69</v>
      </c>
      <c r="AP617" s="5" t="s">
        <v>68</v>
      </c>
      <c r="AQ617" s="5" t="s">
        <v>99</v>
      </c>
      <c r="AR617" s="5" t="s">
        <v>98</v>
      </c>
    </row>
    <row r="618" spans="1:44" ht="31.5" x14ac:dyDescent="0.25">
      <c r="A618" s="10">
        <v>46096</v>
      </c>
      <c r="B618" s="5" t="s">
        <v>894</v>
      </c>
      <c r="C618" s="5" t="s">
        <v>2878</v>
      </c>
      <c r="D618" s="5" t="s">
        <v>11</v>
      </c>
      <c r="E618" s="5" t="s">
        <v>6</v>
      </c>
      <c r="F618" s="5" t="s">
        <v>6</v>
      </c>
      <c r="G618" s="5" t="s">
        <v>5222</v>
      </c>
      <c r="H618" s="5" t="s">
        <v>5223</v>
      </c>
      <c r="I618" s="6" t="str">
        <f>HYPERLINK("http://maps.yandex.ru/?ll=38.892597,52.376&amp;spn=0.011598,0.004531&amp;z=17&amp;l=map&amp;pt=38.892597,52.376", "52.3765//38.892597")</f>
        <v>52.3765//38.892597</v>
      </c>
      <c r="J618" s="5" t="s">
        <v>151</v>
      </c>
      <c r="K618" s="6" t="str">
        <f>HYPERLINK("http://maps.yandex.ru/?ll=37.284412,55.72266&amp;spn=0.011598,0.004531&amp;z=17&amp;l=map&amp;pt=37.284412,55.72266", "55.722668//37.284412")</f>
        <v>55.722668//37.284412</v>
      </c>
      <c r="L618" s="5" t="s">
        <v>56</v>
      </c>
      <c r="M618" s="5" t="s">
        <v>500</v>
      </c>
      <c r="N618" s="5" t="s">
        <v>840</v>
      </c>
      <c r="O618" s="5" t="s">
        <v>858</v>
      </c>
      <c r="P618" s="5">
        <v>53</v>
      </c>
      <c r="Q618" s="5">
        <v>35</v>
      </c>
      <c r="R618" s="5">
        <v>12</v>
      </c>
      <c r="S618" s="5">
        <v>944.76</v>
      </c>
      <c r="T618" s="5" t="s">
        <v>12</v>
      </c>
      <c r="U618" s="5" t="s">
        <v>12</v>
      </c>
      <c r="V618" s="5" t="s">
        <v>12</v>
      </c>
      <c r="W618" s="5">
        <v>39.369999999999997</v>
      </c>
      <c r="X618" s="5">
        <v>74.41</v>
      </c>
      <c r="Y618" s="5">
        <v>105</v>
      </c>
      <c r="Z618" s="5" t="s">
        <v>12</v>
      </c>
      <c r="AA618" s="5" t="s">
        <v>12</v>
      </c>
      <c r="AB618" s="5" t="s">
        <v>12</v>
      </c>
      <c r="AC618" s="5" t="s">
        <v>12</v>
      </c>
      <c r="AD618" s="5" t="s">
        <v>12</v>
      </c>
      <c r="AE618" s="5" t="s">
        <v>12</v>
      </c>
      <c r="AF618" s="5" t="s">
        <v>12</v>
      </c>
      <c r="AG618" s="5"/>
      <c r="AH618" s="5"/>
      <c r="AI618" s="5"/>
      <c r="AJ618" s="5"/>
      <c r="AK618" s="5"/>
      <c r="AL618" s="5" t="s">
        <v>1547</v>
      </c>
      <c r="AM618" s="5" t="s">
        <v>5224</v>
      </c>
      <c r="AN618" s="5" t="s">
        <v>1756</v>
      </c>
      <c r="AO618" s="5" t="s">
        <v>69</v>
      </c>
      <c r="AP618" s="5" t="s">
        <v>68</v>
      </c>
      <c r="AQ618" s="5" t="s">
        <v>99</v>
      </c>
      <c r="AR618" s="5" t="s">
        <v>98</v>
      </c>
    </row>
    <row r="619" spans="1:44" ht="31.5" x14ac:dyDescent="0.25">
      <c r="A619" s="10">
        <v>46096</v>
      </c>
      <c r="B619" s="5" t="s">
        <v>892</v>
      </c>
      <c r="C619" s="5" t="s">
        <v>2879</v>
      </c>
      <c r="D619" s="5" t="s">
        <v>11</v>
      </c>
      <c r="E619" s="5" t="s">
        <v>1</v>
      </c>
      <c r="F619" s="5" t="s">
        <v>1</v>
      </c>
      <c r="G619" s="5" t="s">
        <v>5225</v>
      </c>
      <c r="H619" s="5" t="s">
        <v>5226</v>
      </c>
      <c r="I619" s="6" t="str">
        <f>HYPERLINK("http://maps.yandex.ru/?ll=36.268703,56.73158&amp;spn=0.011598,0.004531&amp;z=17&amp;l=map&amp;pt=36.268703,56.73158", "56.731586//36.268703")</f>
        <v>56.731586//36.268703</v>
      </c>
      <c r="J619" s="5" t="s">
        <v>50</v>
      </c>
      <c r="K619" s="6" t="str">
        <f>HYPERLINK("http://maps.yandex.ru/?ll=38.16084,55.495&amp;spn=0.011598,0.004531&amp;z=17&amp;l=map&amp;pt=38.16084,55.495", "55.4951//38.16084")</f>
        <v>55.4951//38.16084</v>
      </c>
      <c r="L619" s="5" t="s">
        <v>56</v>
      </c>
      <c r="M619" s="5" t="s">
        <v>3883</v>
      </c>
      <c r="N619" s="5" t="s">
        <v>4610</v>
      </c>
      <c r="O619" s="5" t="s">
        <v>13</v>
      </c>
      <c r="P619" s="5">
        <v>24</v>
      </c>
      <c r="Q619" s="5">
        <v>76</v>
      </c>
      <c r="R619" s="5">
        <v>0</v>
      </c>
      <c r="S619" s="5">
        <v>301.27699999999999</v>
      </c>
      <c r="T619" s="5" t="s">
        <v>12</v>
      </c>
      <c r="U619" s="5" t="s">
        <v>12</v>
      </c>
      <c r="V619" s="5" t="s">
        <v>12</v>
      </c>
      <c r="W619" s="5">
        <v>12.55</v>
      </c>
      <c r="X619" s="5">
        <v>52.84</v>
      </c>
      <c r="Y619" s="5">
        <v>166</v>
      </c>
      <c r="Z619" s="5" t="s">
        <v>1600</v>
      </c>
      <c r="AA619" s="5" t="s">
        <v>1912</v>
      </c>
      <c r="AB619" s="5" t="s">
        <v>19</v>
      </c>
      <c r="AC619" s="5" t="s">
        <v>19</v>
      </c>
      <c r="AD619" s="5" t="s">
        <v>19</v>
      </c>
      <c r="AE619" s="5" t="s">
        <v>1859</v>
      </c>
      <c r="AF619" s="5" t="s">
        <v>12</v>
      </c>
      <c r="AG619" s="5"/>
      <c r="AH619" s="5"/>
      <c r="AI619" s="5"/>
      <c r="AJ619" s="5"/>
      <c r="AK619" s="5"/>
      <c r="AL619" s="5" t="s">
        <v>5227</v>
      </c>
      <c r="AM619" s="5" t="s">
        <v>5228</v>
      </c>
      <c r="AN619" s="5" t="s">
        <v>2226</v>
      </c>
      <c r="AO619" s="5" t="s">
        <v>69</v>
      </c>
      <c r="AP619" s="5" t="s">
        <v>68</v>
      </c>
      <c r="AQ619" s="5" t="s">
        <v>67</v>
      </c>
      <c r="AR619" s="5" t="s">
        <v>66</v>
      </c>
    </row>
    <row r="620" spans="1:44" ht="15.75" x14ac:dyDescent="0.25">
      <c r="A620" s="10">
        <v>46096</v>
      </c>
      <c r="B620" s="5" t="s">
        <v>891</v>
      </c>
      <c r="C620" s="5" t="s">
        <v>2880</v>
      </c>
      <c r="D620" s="5" t="s">
        <v>11</v>
      </c>
      <c r="E620" s="5" t="s">
        <v>11</v>
      </c>
      <c r="F620" s="5" t="s">
        <v>11</v>
      </c>
      <c r="G620" s="5" t="s">
        <v>11</v>
      </c>
      <c r="H620" s="5" t="s">
        <v>11</v>
      </c>
      <c r="I620" s="6" t="str">
        <f>HYPERLINK("http://maps.yandex.ru/?ll=,&amp;spn=0.011598,0.004531&amp;z=17&amp;l=map&amp;pt=,", "")</f>
        <v/>
      </c>
      <c r="J620" s="5" t="s">
        <v>84</v>
      </c>
      <c r="K620" s="6" t="str">
        <f>HYPERLINK("http://maps.yandex.ru/?ll=,&amp;spn=0.011598,0.004531&amp;z=17&amp;l=map&amp;pt=,", "")</f>
        <v/>
      </c>
      <c r="L620" s="5" t="s">
        <v>84</v>
      </c>
      <c r="M620" s="5" t="s">
        <v>13</v>
      </c>
      <c r="N620" s="5" t="s">
        <v>58</v>
      </c>
      <c r="O620" s="5" t="s">
        <v>13</v>
      </c>
      <c r="P620" s="5">
        <v>0</v>
      </c>
      <c r="Q620" s="5">
        <v>100</v>
      </c>
      <c r="R620" s="5">
        <v>0</v>
      </c>
      <c r="S620" s="5">
        <v>0</v>
      </c>
      <c r="T620" s="5" t="s">
        <v>12</v>
      </c>
      <c r="U620" s="5" t="s">
        <v>12</v>
      </c>
      <c r="V620" s="5" t="s">
        <v>12</v>
      </c>
      <c r="W620" s="5">
        <v>0</v>
      </c>
      <c r="X620" s="5">
        <v>0</v>
      </c>
      <c r="Y620" s="5">
        <v>0</v>
      </c>
      <c r="Z620" s="5" t="s">
        <v>1489</v>
      </c>
      <c r="AA620" s="5" t="s">
        <v>2197</v>
      </c>
      <c r="AB620" s="5" t="s">
        <v>19</v>
      </c>
      <c r="AC620" s="5" t="s">
        <v>19</v>
      </c>
      <c r="AD620" s="5" t="s">
        <v>19</v>
      </c>
      <c r="AE620" s="5" t="s">
        <v>1689</v>
      </c>
      <c r="AF620" s="5" t="s">
        <v>12</v>
      </c>
      <c r="AG620" s="5"/>
      <c r="AH620" s="5"/>
      <c r="AI620" s="5"/>
      <c r="AJ620" s="5"/>
      <c r="AK620" s="5"/>
      <c r="AL620" s="5" t="s">
        <v>12</v>
      </c>
      <c r="AM620" s="5" t="s">
        <v>12</v>
      </c>
      <c r="AN620" s="5" t="s">
        <v>12</v>
      </c>
      <c r="AO620" s="5" t="s">
        <v>69</v>
      </c>
      <c r="AP620" s="5" t="s">
        <v>68</v>
      </c>
      <c r="AQ620" s="5" t="s">
        <v>99</v>
      </c>
      <c r="AR620" s="5" t="s">
        <v>275</v>
      </c>
    </row>
    <row r="621" spans="1:44" ht="31.5" x14ac:dyDescent="0.25">
      <c r="A621" s="10">
        <v>46096</v>
      </c>
      <c r="B621" s="5" t="s">
        <v>890</v>
      </c>
      <c r="C621" s="5" t="s">
        <v>2881</v>
      </c>
      <c r="D621" s="5" t="s">
        <v>11</v>
      </c>
      <c r="E621" s="5" t="s">
        <v>11</v>
      </c>
      <c r="F621" s="5" t="s">
        <v>11</v>
      </c>
      <c r="G621" s="5" t="s">
        <v>5229</v>
      </c>
      <c r="H621" s="5" t="s">
        <v>5230</v>
      </c>
      <c r="I621" s="6" t="str">
        <f>HYPERLINK("http://maps.yandex.ru/?ll=39.893448,47.3640&amp;spn=0.011598,0.004531&amp;z=17&amp;l=map&amp;pt=39.893448,47.3640", "47.36406//39.893448")</f>
        <v>47.36406//39.893448</v>
      </c>
      <c r="J621" s="5" t="s">
        <v>64</v>
      </c>
      <c r="K621" s="6" t="str">
        <f>HYPERLINK("http://maps.yandex.ru/?ll=39.893448,47.3640&amp;spn=0.011598,0.004531&amp;z=17&amp;l=map&amp;pt=39.893448,47.3640", "47.36406//39.893448")</f>
        <v>47.36406//39.893448</v>
      </c>
      <c r="L621" s="5" t="s">
        <v>64</v>
      </c>
      <c r="M621" s="5" t="s">
        <v>13</v>
      </c>
      <c r="N621" s="5" t="s">
        <v>1409</v>
      </c>
      <c r="O621" s="5" t="s">
        <v>255</v>
      </c>
      <c r="P621" s="5">
        <v>0</v>
      </c>
      <c r="Q621" s="5">
        <v>87</v>
      </c>
      <c r="R621" s="5">
        <v>13</v>
      </c>
      <c r="S621" s="5">
        <v>0</v>
      </c>
      <c r="T621" s="5" t="s">
        <v>12</v>
      </c>
      <c r="U621" s="5" t="s">
        <v>12</v>
      </c>
      <c r="V621" s="5" t="s">
        <v>12</v>
      </c>
      <c r="W621" s="5">
        <v>0</v>
      </c>
      <c r="X621" s="5">
        <v>0</v>
      </c>
      <c r="Y621" s="5">
        <v>5</v>
      </c>
      <c r="Z621" s="5" t="s">
        <v>1783</v>
      </c>
      <c r="AA621" s="5" t="s">
        <v>1783</v>
      </c>
      <c r="AB621" s="5" t="s">
        <v>19</v>
      </c>
      <c r="AC621" s="5" t="s">
        <v>19</v>
      </c>
      <c r="AD621" s="5" t="s">
        <v>19</v>
      </c>
      <c r="AE621" s="5" t="s">
        <v>19</v>
      </c>
      <c r="AF621" s="5" t="s">
        <v>12</v>
      </c>
      <c r="AG621" s="5"/>
      <c r="AH621" s="5"/>
      <c r="AI621" s="5"/>
      <c r="AJ621" s="5"/>
      <c r="AK621" s="5"/>
      <c r="AL621" s="5" t="s">
        <v>12</v>
      </c>
      <c r="AM621" s="5" t="s">
        <v>12</v>
      </c>
      <c r="AN621" s="5" t="s">
        <v>12</v>
      </c>
      <c r="AO621" s="5" t="s">
        <v>83</v>
      </c>
      <c r="AP621" s="5" t="s">
        <v>888</v>
      </c>
      <c r="AQ621" s="5" t="s">
        <v>106</v>
      </c>
      <c r="AR621" s="5" t="s">
        <v>403</v>
      </c>
    </row>
    <row r="622" spans="1:44" ht="31.5" x14ac:dyDescent="0.25">
      <c r="A622" s="10">
        <v>46096</v>
      </c>
      <c r="B622" s="5" t="s">
        <v>887</v>
      </c>
      <c r="C622" s="5" t="s">
        <v>2882</v>
      </c>
      <c r="D622" s="5" t="s">
        <v>11</v>
      </c>
      <c r="E622" s="5" t="s">
        <v>8</v>
      </c>
      <c r="F622" s="5" t="s">
        <v>8</v>
      </c>
      <c r="G622" s="5" t="s">
        <v>5231</v>
      </c>
      <c r="H622" s="5" t="s">
        <v>5232</v>
      </c>
      <c r="I622" s="6" t="str">
        <f>HYPERLINK("http://maps.yandex.ru/?ll=37.484596,54.80613&amp;spn=0.011598,0.004531&amp;z=17&amp;l=map&amp;pt=37.484596,54.80613", "54.806137//37.484596")</f>
        <v>54.806137//37.484596</v>
      </c>
      <c r="J622" s="5" t="s">
        <v>168</v>
      </c>
      <c r="K622" s="6" t="str">
        <f>HYPERLINK("http://maps.yandex.ru/?ll=37.493122,55.3333&amp;spn=0.011598,0.004531&amp;z=17&amp;l=map&amp;pt=37.493122,55.3333", "55.33338//37.493122")</f>
        <v>55.33338//37.493122</v>
      </c>
      <c r="L622" s="5" t="s">
        <v>56</v>
      </c>
      <c r="M622" s="5" t="s">
        <v>1375</v>
      </c>
      <c r="N622" s="5" t="s">
        <v>1388</v>
      </c>
      <c r="O622" s="5" t="s">
        <v>1209</v>
      </c>
      <c r="P622" s="5">
        <v>25</v>
      </c>
      <c r="Q622" s="5">
        <v>73</v>
      </c>
      <c r="R622" s="5">
        <v>2</v>
      </c>
      <c r="S622" s="5">
        <v>327.38499999999999</v>
      </c>
      <c r="T622" s="5" t="s">
        <v>12</v>
      </c>
      <c r="U622" s="5" t="s">
        <v>12</v>
      </c>
      <c r="V622" s="5" t="s">
        <v>12</v>
      </c>
      <c r="W622" s="5">
        <v>13.64</v>
      </c>
      <c r="X622" s="5">
        <v>54.51</v>
      </c>
      <c r="Y622" s="5">
        <v>165</v>
      </c>
      <c r="Z622" s="5" t="s">
        <v>2219</v>
      </c>
      <c r="AA622" s="5" t="s">
        <v>1548</v>
      </c>
      <c r="AB622" s="5" t="s">
        <v>19</v>
      </c>
      <c r="AC622" s="5" t="s">
        <v>19</v>
      </c>
      <c r="AD622" s="5" t="s">
        <v>19</v>
      </c>
      <c r="AE622" s="5" t="s">
        <v>2331</v>
      </c>
      <c r="AF622" s="5" t="s">
        <v>12</v>
      </c>
      <c r="AG622" s="5"/>
      <c r="AH622" s="5"/>
      <c r="AI622" s="5"/>
      <c r="AJ622" s="5"/>
      <c r="AK622" s="5"/>
      <c r="AL622" s="5" t="s">
        <v>19</v>
      </c>
      <c r="AM622" s="5" t="s">
        <v>19</v>
      </c>
      <c r="AN622" s="5" t="s">
        <v>19</v>
      </c>
      <c r="AO622" s="5" t="s">
        <v>69</v>
      </c>
      <c r="AP622" s="5" t="s">
        <v>68</v>
      </c>
      <c r="AQ622" s="5" t="s">
        <v>99</v>
      </c>
      <c r="AR622" s="5" t="s">
        <v>98</v>
      </c>
    </row>
    <row r="623" spans="1:44" ht="15.75" x14ac:dyDescent="0.25">
      <c r="A623" s="10">
        <v>46096</v>
      </c>
      <c r="B623" s="5" t="s">
        <v>885</v>
      </c>
      <c r="C623" s="5" t="s">
        <v>2883</v>
      </c>
      <c r="D623" s="5" t="s">
        <v>11</v>
      </c>
      <c r="E623" s="5" t="s">
        <v>6</v>
      </c>
      <c r="F623" s="5" t="s">
        <v>6</v>
      </c>
      <c r="G623" s="5" t="s">
        <v>11</v>
      </c>
      <c r="H623" s="5" t="s">
        <v>11</v>
      </c>
      <c r="I623" s="6" t="str">
        <f>HYPERLINK("http://maps.yandex.ru/?ll=,&amp;spn=0.011598,0.004531&amp;z=17&amp;l=map&amp;pt=,", "")</f>
        <v/>
      </c>
      <c r="J623" s="5" t="s">
        <v>84</v>
      </c>
      <c r="K623" s="6" t="str">
        <f>HYPERLINK("http://maps.yandex.ru/?ll=,&amp;spn=0.011598,0.004531&amp;z=17&amp;l=map&amp;pt=,", "")</f>
        <v/>
      </c>
      <c r="L623" s="5" t="s">
        <v>84</v>
      </c>
      <c r="M623" s="5" t="s">
        <v>13</v>
      </c>
      <c r="N623" s="5" t="s">
        <v>13</v>
      </c>
      <c r="O623" s="5" t="s">
        <v>58</v>
      </c>
      <c r="P623" s="5">
        <v>0</v>
      </c>
      <c r="Q623" s="5">
        <v>0</v>
      </c>
      <c r="R623" s="5">
        <v>100</v>
      </c>
      <c r="S623" s="5">
        <v>0</v>
      </c>
      <c r="T623" s="5" t="s">
        <v>12</v>
      </c>
      <c r="U623" s="5" t="s">
        <v>12</v>
      </c>
      <c r="V623" s="5" t="s">
        <v>12</v>
      </c>
      <c r="W623" s="5">
        <v>0</v>
      </c>
      <c r="X623" s="5">
        <v>0</v>
      </c>
      <c r="Y623" s="5">
        <v>0</v>
      </c>
      <c r="Z623" s="5" t="s">
        <v>12</v>
      </c>
      <c r="AA623" s="5" t="s">
        <v>12</v>
      </c>
      <c r="AB623" s="5" t="s">
        <v>19</v>
      </c>
      <c r="AC623" s="5" t="s">
        <v>19</v>
      </c>
      <c r="AD623" s="5" t="s">
        <v>19</v>
      </c>
      <c r="AE623" s="5" t="s">
        <v>12</v>
      </c>
      <c r="AF623" s="5" t="s">
        <v>12</v>
      </c>
      <c r="AG623" s="5"/>
      <c r="AH623" s="5"/>
      <c r="AI623" s="5"/>
      <c r="AJ623" s="5"/>
      <c r="AK623" s="5"/>
      <c r="AL623" s="5" t="s">
        <v>12</v>
      </c>
      <c r="AM623" s="5" t="s">
        <v>12</v>
      </c>
      <c r="AN623" s="5" t="s">
        <v>12</v>
      </c>
      <c r="AO623" s="5" t="s">
        <v>69</v>
      </c>
      <c r="AP623" s="5" t="s">
        <v>68</v>
      </c>
      <c r="AQ623" s="5" t="s">
        <v>99</v>
      </c>
      <c r="AR623" s="5" t="s">
        <v>98</v>
      </c>
    </row>
    <row r="624" spans="1:44" ht="31.5" x14ac:dyDescent="0.25">
      <c r="A624" s="10">
        <v>46096</v>
      </c>
      <c r="B624" s="5" t="s">
        <v>884</v>
      </c>
      <c r="C624" s="5" t="s">
        <v>2884</v>
      </c>
      <c r="D624" s="5" t="s">
        <v>11</v>
      </c>
      <c r="E624" s="5" t="s">
        <v>6</v>
      </c>
      <c r="F624" s="5" t="s">
        <v>6</v>
      </c>
      <c r="G624" s="5" t="s">
        <v>3103</v>
      </c>
      <c r="H624" s="5" t="s">
        <v>3121</v>
      </c>
      <c r="I624" s="6" t="str">
        <f>HYPERLINK("http://maps.yandex.ru/?ll=43.47975,48.70977&amp;spn=0.011598,0.004531&amp;z=17&amp;l=map&amp;pt=43.47975,48.70977", "48.709778//43.47975")</f>
        <v>48.709778//43.47975</v>
      </c>
      <c r="J624" s="5" t="s">
        <v>95</v>
      </c>
      <c r="K624" s="6" t="str">
        <f>HYPERLINK("http://maps.yandex.ru/?ll=39.85165,47.06088&amp;spn=0.011598,0.004531&amp;z=17&amp;l=map&amp;pt=39.85165,47.06088", "47.060883//39.85165")</f>
        <v>47.060883//39.85165</v>
      </c>
      <c r="L624" s="5" t="s">
        <v>64</v>
      </c>
      <c r="M624" s="5" t="s">
        <v>103</v>
      </c>
      <c r="N624" s="5" t="s">
        <v>615</v>
      </c>
      <c r="O624" s="5" t="s">
        <v>3107</v>
      </c>
      <c r="P624" s="5">
        <v>38</v>
      </c>
      <c r="Q624" s="5">
        <v>21</v>
      </c>
      <c r="R624" s="5">
        <v>41</v>
      </c>
      <c r="S624" s="5">
        <v>829.51700000000005</v>
      </c>
      <c r="T624" s="5" t="s">
        <v>12</v>
      </c>
      <c r="U624" s="5" t="s">
        <v>12</v>
      </c>
      <c r="V624" s="5" t="s">
        <v>12</v>
      </c>
      <c r="W624" s="5">
        <v>34.56</v>
      </c>
      <c r="X624" s="5">
        <v>91.94</v>
      </c>
      <c r="Y624" s="5">
        <v>157</v>
      </c>
      <c r="Z624" s="5" t="s">
        <v>12</v>
      </c>
      <c r="AA624" s="5" t="s">
        <v>12</v>
      </c>
      <c r="AB624" s="5" t="s">
        <v>19</v>
      </c>
      <c r="AC624" s="5" t="s">
        <v>19</v>
      </c>
      <c r="AD624" s="5" t="s">
        <v>19</v>
      </c>
      <c r="AE624" s="5" t="s">
        <v>12</v>
      </c>
      <c r="AF624" s="5" t="s">
        <v>12</v>
      </c>
      <c r="AG624" s="5"/>
      <c r="AH624" s="5"/>
      <c r="AI624" s="5"/>
      <c r="AJ624" s="5"/>
      <c r="AK624" s="5"/>
      <c r="AL624" s="5" t="s">
        <v>2885</v>
      </c>
      <c r="AM624" s="5" t="s">
        <v>5233</v>
      </c>
      <c r="AN624" s="5" t="s">
        <v>1671</v>
      </c>
      <c r="AO624" s="5" t="s">
        <v>69</v>
      </c>
      <c r="AP624" s="5" t="s">
        <v>68</v>
      </c>
      <c r="AQ624" s="5" t="s">
        <v>99</v>
      </c>
      <c r="AR624" s="5" t="s">
        <v>98</v>
      </c>
    </row>
    <row r="625" spans="1:44" ht="31.5" x14ac:dyDescent="0.25">
      <c r="A625" s="10">
        <v>46096</v>
      </c>
      <c r="B625" s="5" t="s">
        <v>881</v>
      </c>
      <c r="C625" s="5" t="s">
        <v>2886</v>
      </c>
      <c r="D625" s="5" t="s">
        <v>11</v>
      </c>
      <c r="E625" s="5" t="s">
        <v>6</v>
      </c>
      <c r="F625" s="5" t="s">
        <v>6</v>
      </c>
      <c r="G625" s="5" t="s">
        <v>5234</v>
      </c>
      <c r="H625" s="5" t="s">
        <v>5235</v>
      </c>
      <c r="I625" s="6" t="str">
        <f>HYPERLINK("http://maps.yandex.ru/?ll=52.327343,54.07746&amp;spn=0.011598,0.004531&amp;z=17&amp;l=map&amp;pt=52.327343,54.07746", "54.077465//52.327343")</f>
        <v>54.077465//52.327343</v>
      </c>
      <c r="J625" s="5" t="s">
        <v>76</v>
      </c>
      <c r="K625" s="6" t="str">
        <f>HYPERLINK("http://maps.yandex.ru/?ll=48.306484,52.95230&amp;spn=0.011598,0.004531&amp;z=17&amp;l=map&amp;pt=48.306484,52.95230", "52.952305//48.306484")</f>
        <v>52.952305//48.306484</v>
      </c>
      <c r="L625" s="5" t="s">
        <v>61</v>
      </c>
      <c r="M625" s="5" t="s">
        <v>1425</v>
      </c>
      <c r="N625" s="5" t="s">
        <v>336</v>
      </c>
      <c r="O625" s="5" t="s">
        <v>830</v>
      </c>
      <c r="P625" s="5">
        <v>31</v>
      </c>
      <c r="Q625" s="5">
        <v>53</v>
      </c>
      <c r="R625" s="5">
        <v>16</v>
      </c>
      <c r="S625" s="5">
        <v>404.30900000000003</v>
      </c>
      <c r="T625" s="5" t="s">
        <v>12</v>
      </c>
      <c r="U625" s="5" t="s">
        <v>12</v>
      </c>
      <c r="V625" s="5" t="s">
        <v>12</v>
      </c>
      <c r="W625" s="5">
        <v>16.850000000000001</v>
      </c>
      <c r="X625" s="5">
        <v>54.53</v>
      </c>
      <c r="Y625" s="5">
        <v>98</v>
      </c>
      <c r="Z625" s="5" t="s">
        <v>1916</v>
      </c>
      <c r="AA625" s="5" t="s">
        <v>2111</v>
      </c>
      <c r="AB625" s="5" t="s">
        <v>19</v>
      </c>
      <c r="AC625" s="5" t="s">
        <v>19</v>
      </c>
      <c r="AD625" s="5" t="s">
        <v>19</v>
      </c>
      <c r="AE625" s="5" t="s">
        <v>1671</v>
      </c>
      <c r="AF625" s="5" t="s">
        <v>12</v>
      </c>
      <c r="AG625" s="5"/>
      <c r="AH625" s="5"/>
      <c r="AI625" s="5"/>
      <c r="AJ625" s="5"/>
      <c r="AK625" s="5"/>
      <c r="AL625" s="5" t="s">
        <v>12</v>
      </c>
      <c r="AM625" s="5" t="s">
        <v>12</v>
      </c>
      <c r="AN625" s="5" t="s">
        <v>12</v>
      </c>
      <c r="AO625" s="5" t="s">
        <v>115</v>
      </c>
      <c r="AP625" s="5" t="s">
        <v>114</v>
      </c>
      <c r="AQ625" s="5" t="s">
        <v>99</v>
      </c>
      <c r="AR625" s="5" t="s">
        <v>98</v>
      </c>
    </row>
    <row r="626" spans="1:44" ht="31.5" x14ac:dyDescent="0.25">
      <c r="A626" s="10">
        <v>46096</v>
      </c>
      <c r="B626" s="5" t="s">
        <v>879</v>
      </c>
      <c r="C626" s="5" t="s">
        <v>2887</v>
      </c>
      <c r="D626" s="5" t="s">
        <v>11</v>
      </c>
      <c r="E626" s="5" t="s">
        <v>6</v>
      </c>
      <c r="F626" s="5" t="s">
        <v>6</v>
      </c>
      <c r="G626" s="5" t="s">
        <v>3103</v>
      </c>
      <c r="H626" s="5" t="s">
        <v>3121</v>
      </c>
      <c r="I626" s="6" t="str">
        <f>HYPERLINK("http://maps.yandex.ru/?ll=40.075737,50.5514&amp;spn=0.011598,0.004531&amp;z=17&amp;l=map&amp;pt=40.075737,50.5514", "50.55147//40.075737")</f>
        <v>50.55147//40.075737</v>
      </c>
      <c r="J626" s="5" t="s">
        <v>101</v>
      </c>
      <c r="K626" s="6" t="str">
        <f>HYPERLINK("http://maps.yandex.ru/?ll=39.23875,54.33038&amp;spn=0.011598,0.004531&amp;z=17&amp;l=map&amp;pt=39.23875,54.33038", "54.330383//39.23875")</f>
        <v>54.330383//39.23875</v>
      </c>
      <c r="L626" s="5" t="s">
        <v>118</v>
      </c>
      <c r="M626" s="5" t="s">
        <v>175</v>
      </c>
      <c r="N626" s="5" t="s">
        <v>5236</v>
      </c>
      <c r="O626" s="5" t="s">
        <v>631</v>
      </c>
      <c r="P626" s="5">
        <v>37</v>
      </c>
      <c r="Q626" s="5">
        <v>59</v>
      </c>
      <c r="R626" s="5">
        <v>5</v>
      </c>
      <c r="S626" s="5">
        <v>620.46500000000003</v>
      </c>
      <c r="T626" s="5" t="s">
        <v>2066</v>
      </c>
      <c r="U626" s="5" t="s">
        <v>2889</v>
      </c>
      <c r="V626" s="5" t="s">
        <v>5237</v>
      </c>
      <c r="W626" s="5">
        <v>25.85</v>
      </c>
      <c r="X626" s="5">
        <v>70.34</v>
      </c>
      <c r="Y626" s="5">
        <v>113</v>
      </c>
      <c r="Z626" s="5" t="s">
        <v>5238</v>
      </c>
      <c r="AA626" s="5" t="s">
        <v>1538</v>
      </c>
      <c r="AB626" s="5" t="s">
        <v>19</v>
      </c>
      <c r="AC626" s="5" t="s">
        <v>19</v>
      </c>
      <c r="AD626" s="5" t="s">
        <v>19</v>
      </c>
      <c r="AE626" s="5" t="s">
        <v>1974</v>
      </c>
      <c r="AF626" s="5" t="s">
        <v>5239</v>
      </c>
      <c r="AG626" s="5">
        <v>194</v>
      </c>
      <c r="AH626" s="5">
        <v>2</v>
      </c>
      <c r="AI626" s="5">
        <v>192</v>
      </c>
      <c r="AJ626" s="5">
        <v>26.72</v>
      </c>
      <c r="AK626" s="5">
        <v>26.45</v>
      </c>
      <c r="AL626" s="5" t="s">
        <v>12</v>
      </c>
      <c r="AM626" s="5" t="s">
        <v>12</v>
      </c>
      <c r="AN626" s="5" t="s">
        <v>12</v>
      </c>
      <c r="AO626" s="5" t="s">
        <v>11</v>
      </c>
      <c r="AP626" s="5" t="s">
        <v>11</v>
      </c>
      <c r="AQ626" s="5" t="s">
        <v>18</v>
      </c>
      <c r="AR626" s="5" t="s">
        <v>17</v>
      </c>
    </row>
    <row r="627" spans="1:44" ht="31.5" x14ac:dyDescent="0.25">
      <c r="A627" s="10">
        <v>46096</v>
      </c>
      <c r="B627" s="5" t="s">
        <v>878</v>
      </c>
      <c r="C627" s="5" t="s">
        <v>2890</v>
      </c>
      <c r="D627" s="5" t="s">
        <v>11</v>
      </c>
      <c r="E627" s="5" t="s">
        <v>8</v>
      </c>
      <c r="F627" s="5" t="s">
        <v>8</v>
      </c>
      <c r="G627" s="5" t="s">
        <v>5240</v>
      </c>
      <c r="H627" s="5" t="s">
        <v>5241</v>
      </c>
      <c r="I627" s="6" t="str">
        <f>HYPERLINK("http://maps.yandex.ru/?ll=38.89247,52.3764&amp;spn=0.011598,0.004531&amp;z=17&amp;l=map&amp;pt=38.89247,52.3764", "52.37643//38.89247")</f>
        <v>52.37643//38.89247</v>
      </c>
      <c r="J627" s="5" t="s">
        <v>151</v>
      </c>
      <c r="K627" s="6" t="str">
        <f>HYPERLINK("http://maps.yandex.ru/?ll=38.502277,55.84612&amp;spn=0.011598,0.004531&amp;z=17&amp;l=map&amp;pt=38.502277,55.84612", "55.846123//38.502277")</f>
        <v>55.846123//38.502277</v>
      </c>
      <c r="L627" s="5" t="s">
        <v>56</v>
      </c>
      <c r="M627" s="5" t="s">
        <v>1400</v>
      </c>
      <c r="N627" s="5" t="s">
        <v>195</v>
      </c>
      <c r="O627" s="5" t="s">
        <v>473</v>
      </c>
      <c r="P627" s="5">
        <v>31</v>
      </c>
      <c r="Q627" s="5">
        <v>66</v>
      </c>
      <c r="R627" s="5">
        <v>3</v>
      </c>
      <c r="S627" s="5">
        <v>479.14</v>
      </c>
      <c r="T627" s="5" t="s">
        <v>12</v>
      </c>
      <c r="U627" s="5" t="s">
        <v>12</v>
      </c>
      <c r="V627" s="5" t="s">
        <v>12</v>
      </c>
      <c r="W627" s="5">
        <v>19.96</v>
      </c>
      <c r="X627" s="5">
        <v>64.75</v>
      </c>
      <c r="Y627" s="5">
        <v>137</v>
      </c>
      <c r="Z627" s="5" t="s">
        <v>2891</v>
      </c>
      <c r="AA627" s="5" t="s">
        <v>1894</v>
      </c>
      <c r="AB627" s="5" t="s">
        <v>1579</v>
      </c>
      <c r="AC627" s="5" t="s">
        <v>1673</v>
      </c>
      <c r="AD627" s="5" t="s">
        <v>19</v>
      </c>
      <c r="AE627" s="5" t="s">
        <v>2318</v>
      </c>
      <c r="AF627" s="5" t="s">
        <v>12</v>
      </c>
      <c r="AG627" s="5"/>
      <c r="AH627" s="5"/>
      <c r="AI627" s="5"/>
      <c r="AJ627" s="5"/>
      <c r="AK627" s="5"/>
      <c r="AL627" s="5" t="s">
        <v>1485</v>
      </c>
      <c r="AM627" s="5" t="s">
        <v>5242</v>
      </c>
      <c r="AN627" s="5" t="s">
        <v>2226</v>
      </c>
      <c r="AO627" s="5" t="s">
        <v>115</v>
      </c>
      <c r="AP627" s="5" t="s">
        <v>114</v>
      </c>
      <c r="AQ627" s="5" t="s">
        <v>99</v>
      </c>
      <c r="AR627" s="5" t="s">
        <v>98</v>
      </c>
    </row>
    <row r="628" spans="1:44" ht="15.75" x14ac:dyDescent="0.25">
      <c r="A628" s="10">
        <v>46096</v>
      </c>
      <c r="B628" s="5" t="s">
        <v>877</v>
      </c>
      <c r="C628" s="5" t="s">
        <v>2892</v>
      </c>
      <c r="D628" s="5" t="s">
        <v>11</v>
      </c>
      <c r="E628" s="5" t="s">
        <v>8</v>
      </c>
      <c r="F628" s="5" t="s">
        <v>8</v>
      </c>
      <c r="G628" s="5" t="s">
        <v>5243</v>
      </c>
      <c r="H628" s="5" t="s">
        <v>5244</v>
      </c>
      <c r="I628" s="6" t="str">
        <f>HYPERLINK("http://maps.yandex.ru/?ll=49.12484,55.9165&amp;spn=0.011598,0.004531&amp;z=17&amp;l=map&amp;pt=49.12484,55.9165", "55.91653//49.12484")</f>
        <v>55.91653//49.12484</v>
      </c>
      <c r="J628" s="5" t="s">
        <v>28</v>
      </c>
      <c r="K628" s="6" t="str">
        <f>HYPERLINK("http://maps.yandex.ru/?ll=49.18267,55.9047&amp;spn=0.011598,0.004531&amp;z=17&amp;l=map&amp;pt=49.18267,55.9047", "55.90474//49.18267")</f>
        <v>55.90474//49.18267</v>
      </c>
      <c r="L628" s="5" t="s">
        <v>28</v>
      </c>
      <c r="M628" s="5" t="s">
        <v>1260</v>
      </c>
      <c r="N628" s="5" t="s">
        <v>5153</v>
      </c>
      <c r="O628" s="5" t="s">
        <v>13</v>
      </c>
      <c r="P628" s="5">
        <v>1</v>
      </c>
      <c r="Q628" s="5">
        <v>99</v>
      </c>
      <c r="R628" s="5">
        <v>0</v>
      </c>
      <c r="S628" s="5">
        <v>13.446999999999999</v>
      </c>
      <c r="T628" s="5" t="s">
        <v>1698</v>
      </c>
      <c r="U628" s="5" t="s">
        <v>5245</v>
      </c>
      <c r="V628" s="5" t="s">
        <v>5246</v>
      </c>
      <c r="W628" s="5">
        <v>0.56000000000000005</v>
      </c>
      <c r="X628" s="5">
        <v>59.62</v>
      </c>
      <c r="Y628" s="5">
        <v>83</v>
      </c>
      <c r="Z628" s="5" t="s">
        <v>1448</v>
      </c>
      <c r="AA628" s="5" t="s">
        <v>1834</v>
      </c>
      <c r="AB628" s="5" t="s">
        <v>19</v>
      </c>
      <c r="AC628" s="5" t="s">
        <v>19</v>
      </c>
      <c r="AD628" s="5" t="s">
        <v>19</v>
      </c>
      <c r="AE628" s="5" t="s">
        <v>1929</v>
      </c>
      <c r="AF628" s="5" t="s">
        <v>5247</v>
      </c>
      <c r="AG628" s="5">
        <v>9</v>
      </c>
      <c r="AH628" s="5">
        <v>5</v>
      </c>
      <c r="AI628" s="5">
        <v>4</v>
      </c>
      <c r="AJ628" s="5">
        <v>64.290000000000006</v>
      </c>
      <c r="AK628" s="5">
        <v>28.57</v>
      </c>
      <c r="AL628" s="5" t="s">
        <v>12</v>
      </c>
      <c r="AM628" s="5" t="s">
        <v>12</v>
      </c>
      <c r="AN628" s="5" t="s">
        <v>12</v>
      </c>
      <c r="AO628" s="5" t="s">
        <v>11</v>
      </c>
      <c r="AP628" s="5" t="s">
        <v>11</v>
      </c>
      <c r="AQ628" s="5" t="s">
        <v>123</v>
      </c>
      <c r="AR628" s="5" t="s">
        <v>122</v>
      </c>
    </row>
    <row r="629" spans="1:44" ht="31.5" x14ac:dyDescent="0.25">
      <c r="A629" s="10">
        <v>46096</v>
      </c>
      <c r="B629" s="5" t="s">
        <v>876</v>
      </c>
      <c r="C629" s="5" t="s">
        <v>2893</v>
      </c>
      <c r="D629" s="5" t="s">
        <v>11</v>
      </c>
      <c r="E629" s="5" t="s">
        <v>8</v>
      </c>
      <c r="F629" s="5" t="s">
        <v>8</v>
      </c>
      <c r="G629" s="5" t="s">
        <v>3103</v>
      </c>
      <c r="H629" s="5" t="s">
        <v>5248</v>
      </c>
      <c r="I629" s="6" t="str">
        <f>HYPERLINK("http://maps.yandex.ru/?ll=39.21341,51.9379&amp;spn=0.011598,0.004531&amp;z=17&amp;l=map&amp;pt=39.21341,51.9379", "51.93791//39.21341")</f>
        <v>51.93791//39.21341</v>
      </c>
      <c r="J629" s="5" t="s">
        <v>101</v>
      </c>
      <c r="K629" s="6" t="str">
        <f>HYPERLINK("http://maps.yandex.ru/?ll=38.15337,54.35404&amp;spn=0.011598,0.004531&amp;z=17&amp;l=map&amp;pt=38.15337,54.35404", "54.354046//38.15337")</f>
        <v>54.354046//38.15337</v>
      </c>
      <c r="L629" s="5" t="s">
        <v>168</v>
      </c>
      <c r="M629" s="5" t="s">
        <v>959</v>
      </c>
      <c r="N629" s="5" t="s">
        <v>460</v>
      </c>
      <c r="O629" s="5" t="s">
        <v>5249</v>
      </c>
      <c r="P629" s="5">
        <v>20</v>
      </c>
      <c r="Q629" s="5">
        <v>9</v>
      </c>
      <c r="R629" s="5">
        <v>72</v>
      </c>
      <c r="S629" s="5">
        <v>378.95299999999997</v>
      </c>
      <c r="T629" s="5" t="s">
        <v>4226</v>
      </c>
      <c r="U629" s="5" t="s">
        <v>2894</v>
      </c>
      <c r="V629" s="5" t="s">
        <v>5250</v>
      </c>
      <c r="W629" s="5">
        <v>15.79</v>
      </c>
      <c r="X629" s="5">
        <v>80.13</v>
      </c>
      <c r="Y629" s="5">
        <v>129</v>
      </c>
      <c r="Z629" s="5" t="s">
        <v>2895</v>
      </c>
      <c r="AA629" s="5" t="s">
        <v>3479</v>
      </c>
      <c r="AB629" s="5" t="s">
        <v>1512</v>
      </c>
      <c r="AC629" s="5" t="s">
        <v>1673</v>
      </c>
      <c r="AD629" s="5" t="s">
        <v>19</v>
      </c>
      <c r="AE629" s="5" t="s">
        <v>2737</v>
      </c>
      <c r="AF629" s="5" t="s">
        <v>5251</v>
      </c>
      <c r="AG629" s="5">
        <v>115</v>
      </c>
      <c r="AH629" s="5">
        <v>1</v>
      </c>
      <c r="AI629" s="5">
        <v>114</v>
      </c>
      <c r="AJ629" s="5">
        <v>33.049999999999997</v>
      </c>
      <c r="AK629" s="5">
        <v>32.76</v>
      </c>
      <c r="AL629" s="5" t="s">
        <v>12</v>
      </c>
      <c r="AM629" s="5" t="s">
        <v>12</v>
      </c>
      <c r="AN629" s="5" t="s">
        <v>12</v>
      </c>
      <c r="AO629" s="5" t="s">
        <v>11</v>
      </c>
      <c r="AP629" s="5" t="s">
        <v>11</v>
      </c>
      <c r="AQ629" s="5" t="s">
        <v>123</v>
      </c>
      <c r="AR629" s="5" t="s">
        <v>122</v>
      </c>
    </row>
    <row r="630" spans="1:44" ht="31.5" x14ac:dyDescent="0.25">
      <c r="A630" s="10">
        <v>46096</v>
      </c>
      <c r="B630" s="5" t="s">
        <v>875</v>
      </c>
      <c r="C630" s="5" t="s">
        <v>2896</v>
      </c>
      <c r="D630" s="5" t="s">
        <v>11</v>
      </c>
      <c r="E630" s="5" t="s">
        <v>6</v>
      </c>
      <c r="F630" s="5" t="s">
        <v>6</v>
      </c>
      <c r="G630" s="5" t="s">
        <v>5252</v>
      </c>
      <c r="H630" s="5" t="s">
        <v>5253</v>
      </c>
      <c r="I630" s="6" t="str">
        <f>HYPERLINK("http://maps.yandex.ru/?ll=38.15475,55.8161&amp;spn=0.011598,0.004531&amp;z=17&amp;l=map&amp;pt=38.15475,55.8161", "55.81614//38.15475")</f>
        <v>55.81614//38.15475</v>
      </c>
      <c r="J630" s="5" t="s">
        <v>56</v>
      </c>
      <c r="K630" s="6" t="str">
        <f>HYPERLINK("http://maps.yandex.ru/?ll=45.964554,53.1024&amp;spn=0.011598,0.004531&amp;z=17&amp;l=map&amp;pt=45.964554,53.1024", "53.10246//45.964554")</f>
        <v>53.10246//45.964554</v>
      </c>
      <c r="L630" s="5" t="s">
        <v>94</v>
      </c>
      <c r="M630" s="5" t="s">
        <v>220</v>
      </c>
      <c r="N630" s="5" t="s">
        <v>1042</v>
      </c>
      <c r="O630" s="5" t="s">
        <v>1198</v>
      </c>
      <c r="P630" s="5">
        <v>40</v>
      </c>
      <c r="Q630" s="5">
        <v>56</v>
      </c>
      <c r="R630" s="5">
        <v>4</v>
      </c>
      <c r="S630" s="5">
        <v>669.80100000000004</v>
      </c>
      <c r="T630" s="5" t="s">
        <v>12</v>
      </c>
      <c r="U630" s="5" t="s">
        <v>12</v>
      </c>
      <c r="V630" s="5" t="s">
        <v>12</v>
      </c>
      <c r="W630" s="5">
        <v>27.91</v>
      </c>
      <c r="X630" s="5">
        <v>69.98</v>
      </c>
      <c r="Y630" s="5">
        <v>102</v>
      </c>
      <c r="Z630" s="5" t="s">
        <v>2239</v>
      </c>
      <c r="AA630" s="5" t="s">
        <v>2315</v>
      </c>
      <c r="AB630" s="5" t="s">
        <v>19</v>
      </c>
      <c r="AC630" s="5" t="s">
        <v>19</v>
      </c>
      <c r="AD630" s="5" t="s">
        <v>19</v>
      </c>
      <c r="AE630" s="5" t="s">
        <v>1673</v>
      </c>
      <c r="AF630" s="5" t="s">
        <v>12</v>
      </c>
      <c r="AG630" s="5"/>
      <c r="AH630" s="5"/>
      <c r="AI630" s="5"/>
      <c r="AJ630" s="5"/>
      <c r="AK630" s="5"/>
      <c r="AL630" s="5" t="s">
        <v>12</v>
      </c>
      <c r="AM630" s="5" t="s">
        <v>12</v>
      </c>
      <c r="AN630" s="5" t="s">
        <v>12</v>
      </c>
      <c r="AO630" s="5" t="s">
        <v>115</v>
      </c>
      <c r="AP630" s="5" t="s">
        <v>114</v>
      </c>
      <c r="AQ630" s="5" t="s">
        <v>99</v>
      </c>
      <c r="AR630" s="5" t="s">
        <v>98</v>
      </c>
    </row>
    <row r="631" spans="1:44" ht="15.75" x14ac:dyDescent="0.25">
      <c r="A631" s="10">
        <v>46096</v>
      </c>
      <c r="B631" s="5" t="s">
        <v>873</v>
      </c>
      <c r="C631" s="5" t="s">
        <v>2897</v>
      </c>
      <c r="D631" s="5" t="s">
        <v>11</v>
      </c>
      <c r="E631" s="5" t="s">
        <v>7</v>
      </c>
      <c r="F631" s="5" t="s">
        <v>7</v>
      </c>
      <c r="G631" s="5" t="s">
        <v>11</v>
      </c>
      <c r="H631" s="5" t="s">
        <v>11</v>
      </c>
      <c r="I631" s="6" t="str">
        <f>HYPERLINK("http://maps.yandex.ru/?ll=,&amp;spn=0.011598,0.004531&amp;z=17&amp;l=map&amp;pt=,", "")</f>
        <v/>
      </c>
      <c r="J631" s="5" t="s">
        <v>84</v>
      </c>
      <c r="K631" s="6" t="str">
        <f>HYPERLINK("http://maps.yandex.ru/?ll=,&amp;spn=0.011598,0.004531&amp;z=17&amp;l=map&amp;pt=,", "")</f>
        <v/>
      </c>
      <c r="L631" s="5" t="s">
        <v>84</v>
      </c>
      <c r="M631" s="5" t="s">
        <v>13</v>
      </c>
      <c r="N631" s="5" t="s">
        <v>58</v>
      </c>
      <c r="O631" s="5" t="s">
        <v>13</v>
      </c>
      <c r="P631" s="5">
        <v>0</v>
      </c>
      <c r="Q631" s="5">
        <v>100</v>
      </c>
      <c r="R631" s="5">
        <v>0</v>
      </c>
      <c r="S631" s="5">
        <v>0</v>
      </c>
      <c r="T631" s="5" t="s">
        <v>12</v>
      </c>
      <c r="U631" s="5" t="s">
        <v>12</v>
      </c>
      <c r="V631" s="5" t="s">
        <v>12</v>
      </c>
      <c r="W631" s="5">
        <v>0</v>
      </c>
      <c r="X631" s="5">
        <v>0</v>
      </c>
      <c r="Y631" s="5">
        <v>0</v>
      </c>
      <c r="Z631" s="5" t="s">
        <v>2237</v>
      </c>
      <c r="AA631" s="5" t="s">
        <v>2237</v>
      </c>
      <c r="AB631" s="5" t="s">
        <v>19</v>
      </c>
      <c r="AC631" s="5" t="s">
        <v>19</v>
      </c>
      <c r="AD631" s="5" t="s">
        <v>19</v>
      </c>
      <c r="AE631" s="5" t="s">
        <v>19</v>
      </c>
      <c r="AF631" s="5" t="s">
        <v>12</v>
      </c>
      <c r="AG631" s="5"/>
      <c r="AH631" s="5"/>
      <c r="AI631" s="5"/>
      <c r="AJ631" s="5"/>
      <c r="AK631" s="5"/>
      <c r="AL631" s="5" t="s">
        <v>12</v>
      </c>
      <c r="AM631" s="5" t="s">
        <v>12</v>
      </c>
      <c r="AN631" s="5" t="s">
        <v>12</v>
      </c>
      <c r="AO631" s="5" t="s">
        <v>115</v>
      </c>
      <c r="AP631" s="5" t="s">
        <v>114</v>
      </c>
      <c r="AQ631" s="5" t="s">
        <v>99</v>
      </c>
      <c r="AR631" s="5" t="s">
        <v>98</v>
      </c>
    </row>
    <row r="632" spans="1:44" ht="31.5" x14ac:dyDescent="0.25">
      <c r="A632" s="10">
        <v>46096</v>
      </c>
      <c r="B632" s="5" t="s">
        <v>871</v>
      </c>
      <c r="C632" s="5" t="s">
        <v>2898</v>
      </c>
      <c r="D632" s="5" t="s">
        <v>11</v>
      </c>
      <c r="E632" s="5" t="s">
        <v>6</v>
      </c>
      <c r="F632" s="5" t="s">
        <v>6</v>
      </c>
      <c r="G632" s="5" t="s">
        <v>3103</v>
      </c>
      <c r="H632" s="5" t="s">
        <v>3121</v>
      </c>
      <c r="I632" s="6" t="str">
        <f>HYPERLINK("http://maps.yandex.ru/?ll=40.075455,50.55223&amp;spn=0.011598,0.004531&amp;z=17&amp;l=map&amp;pt=40.075455,50.55223", "50.552235//40.075455")</f>
        <v>50.552235//40.075455</v>
      </c>
      <c r="J632" s="5" t="s">
        <v>101</v>
      </c>
      <c r="K632" s="6" t="str">
        <f>HYPERLINK("http://maps.yandex.ru/?ll=39.236835,54.32892&amp;spn=0.011598,0.004531&amp;z=17&amp;l=map&amp;pt=39.236835,54.32892", "54.328922//39.236835")</f>
        <v>54.328922//39.236835</v>
      </c>
      <c r="L632" s="5" t="s">
        <v>118</v>
      </c>
      <c r="M632" s="5" t="s">
        <v>1314</v>
      </c>
      <c r="N632" s="5" t="s">
        <v>272</v>
      </c>
      <c r="O632" s="5" t="s">
        <v>756</v>
      </c>
      <c r="P632" s="5">
        <v>37</v>
      </c>
      <c r="Q632" s="5">
        <v>58</v>
      </c>
      <c r="R632" s="5">
        <v>5</v>
      </c>
      <c r="S632" s="5">
        <v>620.12</v>
      </c>
      <c r="T632" s="5" t="s">
        <v>12</v>
      </c>
      <c r="U632" s="5" t="s">
        <v>12</v>
      </c>
      <c r="V632" s="5" t="s">
        <v>12</v>
      </c>
      <c r="W632" s="5">
        <v>25.84</v>
      </c>
      <c r="X632" s="5">
        <v>69.87</v>
      </c>
      <c r="Y632" s="5">
        <v>110</v>
      </c>
      <c r="Z632" s="5" t="s">
        <v>1727</v>
      </c>
      <c r="AA632" s="5" t="s">
        <v>2487</v>
      </c>
      <c r="AB632" s="5" t="s">
        <v>19</v>
      </c>
      <c r="AC632" s="5" t="s">
        <v>19</v>
      </c>
      <c r="AD632" s="5" t="s">
        <v>19</v>
      </c>
      <c r="AE632" s="5" t="s">
        <v>2546</v>
      </c>
      <c r="AF632" s="5" t="s">
        <v>12</v>
      </c>
      <c r="AG632" s="5"/>
      <c r="AH632" s="5"/>
      <c r="AI632" s="5"/>
      <c r="AJ632" s="5"/>
      <c r="AK632" s="5"/>
      <c r="AL632" s="5" t="s">
        <v>2899</v>
      </c>
      <c r="AM632" s="5" t="s">
        <v>5254</v>
      </c>
      <c r="AN632" s="5" t="s">
        <v>1886</v>
      </c>
      <c r="AO632" s="5" t="s">
        <v>115</v>
      </c>
      <c r="AP632" s="5" t="s">
        <v>114</v>
      </c>
      <c r="AQ632" s="5" t="s">
        <v>99</v>
      </c>
      <c r="AR632" s="5" t="s">
        <v>98</v>
      </c>
    </row>
    <row r="633" spans="1:44" ht="31.5" x14ac:dyDescent="0.25">
      <c r="A633" s="10">
        <v>46096</v>
      </c>
      <c r="B633" s="5" t="s">
        <v>869</v>
      </c>
      <c r="C633" s="5" t="s">
        <v>2900</v>
      </c>
      <c r="D633" s="5" t="s">
        <v>11</v>
      </c>
      <c r="E633" s="5" t="s">
        <v>0</v>
      </c>
      <c r="F633" s="5" t="s">
        <v>0</v>
      </c>
      <c r="G633" s="5" t="s">
        <v>5255</v>
      </c>
      <c r="H633" s="5" t="s">
        <v>5256</v>
      </c>
      <c r="I633" s="6" t="str">
        <f>HYPERLINK("http://maps.yandex.ru/?ll=49.491974,55.7180&amp;spn=0.011598,0.004531&amp;z=17&amp;l=map&amp;pt=49.491974,55.7180", "55.71802//49.491974")</f>
        <v>55.71802//49.491974</v>
      </c>
      <c r="J633" s="5" t="s">
        <v>28</v>
      </c>
      <c r="K633" s="6" t="str">
        <f>HYPERLINK("http://maps.yandex.ru/?ll=57.352352,54.90769&amp;spn=0.011598,0.004531&amp;z=17&amp;l=map&amp;pt=57.352352,54.90769", "54.907696//57.352352")</f>
        <v>54.907696//57.352352</v>
      </c>
      <c r="L633" s="5" t="s">
        <v>227</v>
      </c>
      <c r="M633" s="5" t="s">
        <v>3279</v>
      </c>
      <c r="N633" s="5" t="s">
        <v>1443</v>
      </c>
      <c r="O633" s="5" t="s">
        <v>562</v>
      </c>
      <c r="P633" s="5">
        <v>41</v>
      </c>
      <c r="Q633" s="5">
        <v>55</v>
      </c>
      <c r="R633" s="5">
        <v>4</v>
      </c>
      <c r="S633" s="5">
        <v>631.23800000000006</v>
      </c>
      <c r="T633" s="5" t="s">
        <v>12</v>
      </c>
      <c r="U633" s="5" t="s">
        <v>12</v>
      </c>
      <c r="V633" s="5" t="s">
        <v>12</v>
      </c>
      <c r="W633" s="5">
        <v>26.3</v>
      </c>
      <c r="X633" s="5">
        <v>63.53</v>
      </c>
      <c r="Y633" s="5">
        <v>96</v>
      </c>
      <c r="Z633" s="5" t="s">
        <v>2075</v>
      </c>
      <c r="AA633" s="5" t="s">
        <v>2111</v>
      </c>
      <c r="AB633" s="5" t="s">
        <v>19</v>
      </c>
      <c r="AC633" s="5" t="s">
        <v>19</v>
      </c>
      <c r="AD633" s="5" t="s">
        <v>19</v>
      </c>
      <c r="AE633" s="5" t="s">
        <v>1787</v>
      </c>
      <c r="AF633" s="5" t="s">
        <v>12</v>
      </c>
      <c r="AG633" s="5"/>
      <c r="AH633" s="5"/>
      <c r="AI633" s="5"/>
      <c r="AJ633" s="5"/>
      <c r="AK633" s="5"/>
      <c r="AL633" s="5" t="s">
        <v>5257</v>
      </c>
      <c r="AM633" s="5" t="s">
        <v>2844</v>
      </c>
      <c r="AN633" s="5" t="s">
        <v>1886</v>
      </c>
      <c r="AO633" s="5" t="s">
        <v>115</v>
      </c>
      <c r="AP633" s="5" t="s">
        <v>114</v>
      </c>
      <c r="AQ633" s="5" t="s">
        <v>99</v>
      </c>
      <c r="AR633" s="5" t="s">
        <v>98</v>
      </c>
    </row>
    <row r="634" spans="1:44" ht="31.5" x14ac:dyDescent="0.25">
      <c r="A634" s="10">
        <v>46096</v>
      </c>
      <c r="B634" s="5" t="s">
        <v>867</v>
      </c>
      <c r="C634" s="5" t="s">
        <v>2901</v>
      </c>
      <c r="D634" s="5" t="s">
        <v>11</v>
      </c>
      <c r="E634" s="5" t="s">
        <v>5</v>
      </c>
      <c r="F634" s="5" t="s">
        <v>5</v>
      </c>
      <c r="G634" s="5" t="s">
        <v>5258</v>
      </c>
      <c r="H634" s="5" t="s">
        <v>5259</v>
      </c>
      <c r="I634" s="6" t="str">
        <f>HYPERLINK("http://maps.yandex.ru/?ll=48.830902,55.84919&amp;spn=0.011598,0.004531&amp;z=17&amp;l=map&amp;pt=48.830902,55.84919", "55.849197//48.830902")</f>
        <v>55.849197//48.830902</v>
      </c>
      <c r="J634" s="5" t="s">
        <v>28</v>
      </c>
      <c r="K634" s="6" t="str">
        <f>HYPERLINK("http://maps.yandex.ru/?ll=49.11509,55.7299&amp;spn=0.011598,0.004531&amp;z=17&amp;l=map&amp;pt=49.11509,55.7299", "55.72994//49.11509")</f>
        <v>55.72994//49.11509</v>
      </c>
      <c r="L634" s="5" t="s">
        <v>28</v>
      </c>
      <c r="M634" s="5" t="s">
        <v>207</v>
      </c>
      <c r="N634" s="5" t="s">
        <v>1388</v>
      </c>
      <c r="O634" s="5" t="s">
        <v>13</v>
      </c>
      <c r="P634" s="5">
        <v>27</v>
      </c>
      <c r="Q634" s="5">
        <v>73</v>
      </c>
      <c r="R634" s="5">
        <v>0</v>
      </c>
      <c r="S634" s="5">
        <v>480.58199999999999</v>
      </c>
      <c r="T634" s="5" t="s">
        <v>12</v>
      </c>
      <c r="U634" s="5" t="s">
        <v>12</v>
      </c>
      <c r="V634" s="5" t="s">
        <v>12</v>
      </c>
      <c r="W634" s="5">
        <v>20.02</v>
      </c>
      <c r="X634" s="5">
        <v>73.08</v>
      </c>
      <c r="Y634" s="5">
        <v>106</v>
      </c>
      <c r="Z634" s="5" t="s">
        <v>2133</v>
      </c>
      <c r="AA634" s="5" t="s">
        <v>1474</v>
      </c>
      <c r="AB634" s="5" t="s">
        <v>1553</v>
      </c>
      <c r="AC634" s="5" t="s">
        <v>1673</v>
      </c>
      <c r="AD634" s="5" t="s">
        <v>19</v>
      </c>
      <c r="AE634" s="5" t="s">
        <v>2947</v>
      </c>
      <c r="AF634" s="5" t="s">
        <v>12</v>
      </c>
      <c r="AG634" s="5"/>
      <c r="AH634" s="5"/>
      <c r="AI634" s="5"/>
      <c r="AJ634" s="5"/>
      <c r="AK634" s="5"/>
      <c r="AL634" s="5" t="s">
        <v>1587</v>
      </c>
      <c r="AM634" s="5" t="s">
        <v>5260</v>
      </c>
      <c r="AN634" s="5" t="s">
        <v>1607</v>
      </c>
      <c r="AO634" s="5" t="s">
        <v>115</v>
      </c>
      <c r="AP634" s="5" t="s">
        <v>114</v>
      </c>
      <c r="AQ634" s="5" t="s">
        <v>99</v>
      </c>
      <c r="AR634" s="5" t="s">
        <v>98</v>
      </c>
    </row>
    <row r="635" spans="1:44" ht="31.5" x14ac:dyDescent="0.25">
      <c r="A635" s="10">
        <v>46096</v>
      </c>
      <c r="B635" s="5" t="s">
        <v>866</v>
      </c>
      <c r="C635" s="5" t="s">
        <v>2902</v>
      </c>
      <c r="D635" s="5" t="s">
        <v>11</v>
      </c>
      <c r="E635" s="5" t="s">
        <v>1</v>
      </c>
      <c r="F635" s="5" t="s">
        <v>1</v>
      </c>
      <c r="G635" s="5" t="s">
        <v>5261</v>
      </c>
      <c r="H635" s="5" t="s">
        <v>5262</v>
      </c>
      <c r="I635" s="6" t="str">
        <f>HYPERLINK("http://maps.yandex.ru/?ll=30.609638,59.7704&amp;spn=0.011598,0.004531&amp;z=17&amp;l=map&amp;pt=30.609638,59.7704", "59.77045//30.609638")</f>
        <v>59.77045//30.609638</v>
      </c>
      <c r="J635" s="5" t="s">
        <v>23</v>
      </c>
      <c r="K635" s="6" t="str">
        <f>HYPERLINK("http://maps.yandex.ru/?ll=30.609564,59.7711&amp;spn=0.011598,0.004531&amp;z=17&amp;l=map&amp;pt=30.609564,59.7711", "59.77115//30.609564")</f>
        <v>59.77115//30.609564</v>
      </c>
      <c r="L635" s="5" t="s">
        <v>23</v>
      </c>
      <c r="M635" s="5" t="s">
        <v>13</v>
      </c>
      <c r="N635" s="5" t="s">
        <v>58</v>
      </c>
      <c r="O635" s="5" t="s">
        <v>13</v>
      </c>
      <c r="P635" s="5">
        <v>0</v>
      </c>
      <c r="Q635" s="5">
        <v>100</v>
      </c>
      <c r="R635" s="5">
        <v>0</v>
      </c>
      <c r="S635" s="5">
        <v>7.9000000000000001E-2</v>
      </c>
      <c r="T635" s="5" t="s">
        <v>1673</v>
      </c>
      <c r="U635" s="5" t="s">
        <v>5263</v>
      </c>
      <c r="V635" s="5" t="s">
        <v>2903</v>
      </c>
      <c r="W635" s="5">
        <v>0</v>
      </c>
      <c r="X635" s="5">
        <v>5.08</v>
      </c>
      <c r="Y635" s="5">
        <v>6</v>
      </c>
      <c r="Z635" s="5" t="s">
        <v>2904</v>
      </c>
      <c r="AA635" s="5" t="s">
        <v>4072</v>
      </c>
      <c r="AB635" s="5" t="s">
        <v>19</v>
      </c>
      <c r="AC635" s="5" t="s">
        <v>19</v>
      </c>
      <c r="AD635" s="5" t="s">
        <v>19</v>
      </c>
      <c r="AE635" s="5" t="s">
        <v>2049</v>
      </c>
      <c r="AF635" s="5" t="s">
        <v>12</v>
      </c>
      <c r="AG635" s="5">
        <v>5</v>
      </c>
      <c r="AH635" s="5">
        <v>5</v>
      </c>
      <c r="AI635" s="5">
        <v>0</v>
      </c>
      <c r="AJ635" s="5">
        <v>500</v>
      </c>
      <c r="AK635" s="5">
        <v>0</v>
      </c>
      <c r="AL635" s="5" t="s">
        <v>12</v>
      </c>
      <c r="AM635" s="5" t="s">
        <v>12</v>
      </c>
      <c r="AN635" s="5" t="s">
        <v>12</v>
      </c>
      <c r="AO635" s="5" t="s">
        <v>11</v>
      </c>
      <c r="AP635" s="5" t="s">
        <v>11</v>
      </c>
      <c r="AQ635" s="5" t="s">
        <v>53</v>
      </c>
      <c r="AR635" s="5" t="s">
        <v>52</v>
      </c>
    </row>
    <row r="636" spans="1:44" ht="15.75" x14ac:dyDescent="0.25">
      <c r="A636" s="10">
        <v>46096</v>
      </c>
      <c r="B636" s="5" t="s">
        <v>863</v>
      </c>
      <c r="C636" s="5" t="s">
        <v>2905</v>
      </c>
      <c r="D636" s="5" t="s">
        <v>11</v>
      </c>
      <c r="E636" s="5" t="s">
        <v>0</v>
      </c>
      <c r="F636" s="5" t="s">
        <v>0</v>
      </c>
      <c r="G636" s="5" t="s">
        <v>11</v>
      </c>
      <c r="H636" s="5" t="s">
        <v>11</v>
      </c>
      <c r="I636" s="6" t="str">
        <f>HYPERLINK("http://maps.yandex.ru/?ll=,&amp;spn=0.011598,0.004531&amp;z=17&amp;l=map&amp;pt=,", "")</f>
        <v/>
      </c>
      <c r="J636" s="5" t="s">
        <v>84</v>
      </c>
      <c r="K636" s="6" t="str">
        <f>HYPERLINK("http://maps.yandex.ru/?ll=,&amp;spn=0.011598,0.004531&amp;z=17&amp;l=map&amp;pt=,", "")</f>
        <v/>
      </c>
      <c r="L636" s="5" t="s">
        <v>84</v>
      </c>
      <c r="M636" s="5" t="s">
        <v>13</v>
      </c>
      <c r="N636" s="5" t="s">
        <v>13</v>
      </c>
      <c r="O636" s="5" t="s">
        <v>58</v>
      </c>
      <c r="P636" s="5">
        <v>0</v>
      </c>
      <c r="Q636" s="5">
        <v>0</v>
      </c>
      <c r="R636" s="5">
        <v>100</v>
      </c>
      <c r="S636" s="5">
        <v>0</v>
      </c>
      <c r="T636" s="5" t="s">
        <v>12</v>
      </c>
      <c r="U636" s="5" t="s">
        <v>12</v>
      </c>
      <c r="V636" s="5" t="s">
        <v>12</v>
      </c>
      <c r="W636" s="5">
        <v>0</v>
      </c>
      <c r="X636" s="5">
        <v>0</v>
      </c>
      <c r="Y636" s="5">
        <v>0</v>
      </c>
      <c r="Z636" s="5" t="s">
        <v>12</v>
      </c>
      <c r="AA636" s="5" t="s">
        <v>12</v>
      </c>
      <c r="AB636" s="5" t="s">
        <v>19</v>
      </c>
      <c r="AC636" s="5" t="s">
        <v>19</v>
      </c>
      <c r="AD636" s="5" t="s">
        <v>19</v>
      </c>
      <c r="AE636" s="5" t="s">
        <v>12</v>
      </c>
      <c r="AF636" s="5" t="s">
        <v>12</v>
      </c>
      <c r="AG636" s="5"/>
      <c r="AH636" s="5">
        <v>0</v>
      </c>
      <c r="AI636" s="5"/>
      <c r="AJ636" s="5"/>
      <c r="AK636" s="5"/>
      <c r="AL636" s="5" t="s">
        <v>12</v>
      </c>
      <c r="AM636" s="5" t="s">
        <v>12</v>
      </c>
      <c r="AN636" s="5" t="s">
        <v>12</v>
      </c>
      <c r="AO636" s="5" t="s">
        <v>11</v>
      </c>
      <c r="AP636" s="5" t="s">
        <v>11</v>
      </c>
      <c r="AQ636" s="5" t="s">
        <v>53</v>
      </c>
      <c r="AR636" s="5" t="s">
        <v>52</v>
      </c>
    </row>
    <row r="637" spans="1:44" ht="31.5" x14ac:dyDescent="0.25">
      <c r="A637" s="10">
        <v>46096</v>
      </c>
      <c r="B637" s="5" t="s">
        <v>862</v>
      </c>
      <c r="C637" s="5" t="s">
        <v>2906</v>
      </c>
      <c r="D637" s="5" t="s">
        <v>11</v>
      </c>
      <c r="E637" s="5" t="s">
        <v>8</v>
      </c>
      <c r="F637" s="5" t="s">
        <v>8</v>
      </c>
      <c r="G637" s="5" t="s">
        <v>5264</v>
      </c>
      <c r="H637" s="5" t="s">
        <v>5265</v>
      </c>
      <c r="I637" s="6" t="str">
        <f>HYPERLINK("http://maps.yandex.ru/?ll=55.009007,54.7293&amp;spn=0.011598,0.004531&amp;z=17&amp;l=map&amp;pt=55.009007,54.7293", "54.72939//55.009007")</f>
        <v>54.72939//55.009007</v>
      </c>
      <c r="J637" s="5" t="s">
        <v>34</v>
      </c>
      <c r="K637" s="6" t="str">
        <f>HYPERLINK("http://maps.yandex.ru/?ll=60.97175,56.75177&amp;spn=0.011598,0.004531&amp;z=17&amp;l=map&amp;pt=60.97175,56.75177", "56.751774//60.97175")</f>
        <v>56.751774//60.97175</v>
      </c>
      <c r="L637" s="5" t="s">
        <v>77</v>
      </c>
      <c r="M637" s="5" t="s">
        <v>984</v>
      </c>
      <c r="N637" s="5" t="s">
        <v>676</v>
      </c>
      <c r="O637" s="5" t="s">
        <v>13</v>
      </c>
      <c r="P637" s="5">
        <v>38</v>
      </c>
      <c r="Q637" s="5">
        <v>62</v>
      </c>
      <c r="R637" s="5">
        <v>0</v>
      </c>
      <c r="S637" s="5">
        <v>664.36099999999999</v>
      </c>
      <c r="T637" s="5" t="s">
        <v>2596</v>
      </c>
      <c r="U637" s="5" t="s">
        <v>5266</v>
      </c>
      <c r="V637" s="5" t="s">
        <v>5267</v>
      </c>
      <c r="W637" s="5">
        <v>27.68</v>
      </c>
      <c r="X637" s="5">
        <v>73.8</v>
      </c>
      <c r="Y637" s="5">
        <v>105</v>
      </c>
      <c r="Z637" s="5" t="s">
        <v>2907</v>
      </c>
      <c r="AA637" s="5" t="s">
        <v>2107</v>
      </c>
      <c r="AB637" s="5" t="s">
        <v>19</v>
      </c>
      <c r="AC637" s="5" t="s">
        <v>19</v>
      </c>
      <c r="AD637" s="5" t="s">
        <v>19</v>
      </c>
      <c r="AE637" s="5" t="s">
        <v>1896</v>
      </c>
      <c r="AF637" s="5" t="s">
        <v>5268</v>
      </c>
      <c r="AG637" s="5">
        <v>198</v>
      </c>
      <c r="AH637" s="5">
        <v>3</v>
      </c>
      <c r="AI637" s="5">
        <v>195</v>
      </c>
      <c r="AJ637" s="5">
        <v>29.16</v>
      </c>
      <c r="AK637" s="5">
        <v>28.72</v>
      </c>
      <c r="AL637" s="5" t="s">
        <v>12</v>
      </c>
      <c r="AM637" s="5" t="s">
        <v>12</v>
      </c>
      <c r="AN637" s="5" t="s">
        <v>12</v>
      </c>
      <c r="AO637" s="5" t="s">
        <v>11</v>
      </c>
      <c r="AP637" s="5" t="s">
        <v>11</v>
      </c>
      <c r="AQ637" s="5" t="s">
        <v>53</v>
      </c>
      <c r="AR637" s="5" t="s">
        <v>52</v>
      </c>
    </row>
    <row r="638" spans="1:44" ht="15.75" x14ac:dyDescent="0.25">
      <c r="A638" s="10">
        <v>46096</v>
      </c>
      <c r="B638" s="5" t="s">
        <v>859</v>
      </c>
      <c r="C638" s="5" t="s">
        <v>2908</v>
      </c>
      <c r="D638" s="5" t="s">
        <v>11</v>
      </c>
      <c r="E638" s="5" t="s">
        <v>8</v>
      </c>
      <c r="F638" s="5" t="s">
        <v>8</v>
      </c>
      <c r="G638" s="5" t="s">
        <v>11</v>
      </c>
      <c r="H638" s="5" t="s">
        <v>11</v>
      </c>
      <c r="I638" s="6" t="str">
        <f>HYPERLINK("http://maps.yandex.ru/?ll=,&amp;spn=0.011598,0.004531&amp;z=17&amp;l=map&amp;pt=,", "")</f>
        <v/>
      </c>
      <c r="J638" s="5" t="s">
        <v>84</v>
      </c>
      <c r="K638" s="6" t="str">
        <f>HYPERLINK("http://maps.yandex.ru/?ll=,&amp;spn=0.011598,0.004531&amp;z=17&amp;l=map&amp;pt=,", "")</f>
        <v/>
      </c>
      <c r="L638" s="5" t="s">
        <v>84</v>
      </c>
      <c r="M638" s="5" t="s">
        <v>13</v>
      </c>
      <c r="N638" s="5" t="s">
        <v>58</v>
      </c>
      <c r="O638" s="5" t="s">
        <v>13</v>
      </c>
      <c r="P638" s="5">
        <v>0</v>
      </c>
      <c r="Q638" s="5">
        <v>100</v>
      </c>
      <c r="R638" s="5">
        <v>0</v>
      </c>
      <c r="S638" s="5">
        <v>0</v>
      </c>
      <c r="T638" s="5" t="s">
        <v>1673</v>
      </c>
      <c r="U638" s="5" t="s">
        <v>4080</v>
      </c>
      <c r="V638" s="5" t="s">
        <v>1814</v>
      </c>
      <c r="W638" s="5">
        <v>0</v>
      </c>
      <c r="X638" s="5">
        <v>0</v>
      </c>
      <c r="Y638" s="5">
        <v>0</v>
      </c>
      <c r="Z638" s="5" t="s">
        <v>1681</v>
      </c>
      <c r="AA638" s="5" t="s">
        <v>1744</v>
      </c>
      <c r="AB638" s="5" t="s">
        <v>19</v>
      </c>
      <c r="AC638" s="5" t="s">
        <v>19</v>
      </c>
      <c r="AD638" s="5" t="s">
        <v>19</v>
      </c>
      <c r="AE638" s="5" t="s">
        <v>2303</v>
      </c>
      <c r="AF638" s="5" t="s">
        <v>12</v>
      </c>
      <c r="AG638" s="5">
        <v>10</v>
      </c>
      <c r="AH638" s="5">
        <v>10</v>
      </c>
      <c r="AI638" s="5">
        <v>0</v>
      </c>
      <c r="AJ638" s="5">
        <v>1000</v>
      </c>
      <c r="AK638" s="5">
        <v>0</v>
      </c>
      <c r="AL638" s="5" t="s">
        <v>12</v>
      </c>
      <c r="AM638" s="5" t="s">
        <v>12</v>
      </c>
      <c r="AN638" s="5" t="s">
        <v>12</v>
      </c>
      <c r="AO638" s="5" t="s">
        <v>11</v>
      </c>
      <c r="AP638" s="5" t="s">
        <v>11</v>
      </c>
      <c r="AQ638" s="5" t="s">
        <v>53</v>
      </c>
      <c r="AR638" s="5" t="s">
        <v>52</v>
      </c>
    </row>
    <row r="639" spans="1:44" ht="31.5" x14ac:dyDescent="0.25">
      <c r="A639" s="10">
        <v>46096</v>
      </c>
      <c r="B639" s="5" t="s">
        <v>856</v>
      </c>
      <c r="C639" s="5" t="s">
        <v>2909</v>
      </c>
      <c r="D639" s="5" t="s">
        <v>11</v>
      </c>
      <c r="E639" s="5" t="s">
        <v>8</v>
      </c>
      <c r="F639" s="5" t="s">
        <v>8</v>
      </c>
      <c r="G639" s="5" t="s">
        <v>5269</v>
      </c>
      <c r="H639" s="5" t="s">
        <v>5270</v>
      </c>
      <c r="I639" s="6" t="str">
        <f>HYPERLINK("http://maps.yandex.ru/?ll=38.115555,53.5014&amp;spn=0.011598,0.004531&amp;z=17&amp;l=map&amp;pt=38.115555,53.5014", "53.50142//38.115555")</f>
        <v>53.50142//38.115555</v>
      </c>
      <c r="J639" s="5" t="s">
        <v>168</v>
      </c>
      <c r="K639" s="6" t="str">
        <f>HYPERLINK("http://maps.yandex.ru/?ll=34.26491,57.692&amp;spn=0.011598,0.004531&amp;z=17&amp;l=map&amp;pt=34.26491,57.692", "57.6929//34.26491")</f>
        <v>57.6929//34.26491</v>
      </c>
      <c r="L639" s="5" t="s">
        <v>50</v>
      </c>
      <c r="M639" s="5" t="s">
        <v>252</v>
      </c>
      <c r="N639" s="5" t="s">
        <v>304</v>
      </c>
      <c r="O639" s="5" t="s">
        <v>189</v>
      </c>
      <c r="P639" s="5">
        <v>29</v>
      </c>
      <c r="Q639" s="5">
        <v>60</v>
      </c>
      <c r="R639" s="5">
        <v>11</v>
      </c>
      <c r="S639" s="5">
        <v>502.06400000000002</v>
      </c>
      <c r="T639" s="5" t="s">
        <v>1843</v>
      </c>
      <c r="U639" s="5" t="s">
        <v>5271</v>
      </c>
      <c r="V639" s="5" t="s">
        <v>5272</v>
      </c>
      <c r="W639" s="5">
        <v>20.92</v>
      </c>
      <c r="X639" s="5">
        <v>72.62</v>
      </c>
      <c r="Y639" s="5">
        <v>118</v>
      </c>
      <c r="Z639" s="5" t="s">
        <v>2910</v>
      </c>
      <c r="AA639" s="5" t="s">
        <v>1816</v>
      </c>
      <c r="AB639" s="5" t="s">
        <v>19</v>
      </c>
      <c r="AC639" s="5" t="s">
        <v>19</v>
      </c>
      <c r="AD639" s="5" t="s">
        <v>19</v>
      </c>
      <c r="AE639" s="5" t="s">
        <v>1793</v>
      </c>
      <c r="AF639" s="5" t="s">
        <v>5273</v>
      </c>
      <c r="AG639" s="5">
        <v>164</v>
      </c>
      <c r="AH639" s="5">
        <v>4</v>
      </c>
      <c r="AI639" s="5">
        <v>160</v>
      </c>
      <c r="AJ639" s="5">
        <v>25.87</v>
      </c>
      <c r="AK639" s="5">
        <v>25.24</v>
      </c>
      <c r="AL639" s="5" t="s">
        <v>12</v>
      </c>
      <c r="AM639" s="5" t="s">
        <v>12</v>
      </c>
      <c r="AN639" s="5" t="s">
        <v>12</v>
      </c>
      <c r="AO639" s="5" t="s">
        <v>11</v>
      </c>
      <c r="AP639" s="5" t="s">
        <v>11</v>
      </c>
      <c r="AQ639" s="5" t="s">
        <v>53</v>
      </c>
      <c r="AR639" s="5" t="s">
        <v>52</v>
      </c>
    </row>
    <row r="640" spans="1:44" ht="31.5" x14ac:dyDescent="0.25">
      <c r="A640" s="10">
        <v>46096</v>
      </c>
      <c r="B640" s="5" t="s">
        <v>855</v>
      </c>
      <c r="C640" s="5" t="s">
        <v>2911</v>
      </c>
      <c r="D640" s="5" t="s">
        <v>11</v>
      </c>
      <c r="E640" s="5" t="s">
        <v>0</v>
      </c>
      <c r="F640" s="5" t="s">
        <v>0</v>
      </c>
      <c r="G640" s="5" t="s">
        <v>3103</v>
      </c>
      <c r="H640" s="5" t="s">
        <v>5274</v>
      </c>
      <c r="I640" s="6" t="str">
        <f>HYPERLINK("http://maps.yandex.ru/?ll=39.141945,44.75206&amp;spn=0.011598,0.004531&amp;z=17&amp;l=map&amp;pt=39.141945,44.75206", "44.752068//39.141945")</f>
        <v>44.752068//39.141945</v>
      </c>
      <c r="J640" s="5" t="s">
        <v>88</v>
      </c>
      <c r="K640" s="6" t="str">
        <f>HYPERLINK("http://maps.yandex.ru/?ll=39.962543,46.21519&amp;spn=0.011598,0.004531&amp;z=17&amp;l=map&amp;pt=39.962543,46.21519", "46.215195//39.962543")</f>
        <v>46.215195//39.962543</v>
      </c>
      <c r="L640" s="5" t="s">
        <v>88</v>
      </c>
      <c r="M640" s="5" t="s">
        <v>5275</v>
      </c>
      <c r="N640" s="5" t="s">
        <v>537</v>
      </c>
      <c r="O640" s="5" t="s">
        <v>341</v>
      </c>
      <c r="P640" s="5">
        <v>31</v>
      </c>
      <c r="Q640" s="5">
        <v>39</v>
      </c>
      <c r="R640" s="5">
        <v>30</v>
      </c>
      <c r="S640" s="5">
        <v>578.33199999999999</v>
      </c>
      <c r="T640" s="5" t="s">
        <v>2521</v>
      </c>
      <c r="U640" s="5" t="s">
        <v>5276</v>
      </c>
      <c r="V640" s="5" t="s">
        <v>5277</v>
      </c>
      <c r="W640" s="5">
        <v>24.1</v>
      </c>
      <c r="X640" s="5">
        <v>77.86</v>
      </c>
      <c r="Y640" s="5">
        <v>157</v>
      </c>
      <c r="Z640" s="5" t="s">
        <v>1881</v>
      </c>
      <c r="AA640" s="5" t="s">
        <v>2508</v>
      </c>
      <c r="AB640" s="5" t="s">
        <v>19</v>
      </c>
      <c r="AC640" s="5" t="s">
        <v>19</v>
      </c>
      <c r="AD640" s="5" t="s">
        <v>19</v>
      </c>
      <c r="AE640" s="5" t="s">
        <v>1751</v>
      </c>
      <c r="AF640" s="5" t="s">
        <v>5278</v>
      </c>
      <c r="AG640" s="5">
        <v>72</v>
      </c>
      <c r="AH640" s="5">
        <v>0</v>
      </c>
      <c r="AI640" s="5">
        <v>72</v>
      </c>
      <c r="AJ640" s="5">
        <v>30.77</v>
      </c>
      <c r="AK640" s="5">
        <v>30.77</v>
      </c>
      <c r="AL640" s="5" t="s">
        <v>12</v>
      </c>
      <c r="AM640" s="5" t="s">
        <v>12</v>
      </c>
      <c r="AN640" s="5" t="s">
        <v>12</v>
      </c>
      <c r="AO640" s="5" t="s">
        <v>11</v>
      </c>
      <c r="AP640" s="5" t="s">
        <v>11</v>
      </c>
      <c r="AQ640" s="5" t="s">
        <v>53</v>
      </c>
      <c r="AR640" s="5" t="s">
        <v>52</v>
      </c>
    </row>
    <row r="641" spans="1:44" ht="31.5" x14ac:dyDescent="0.25">
      <c r="A641" s="10">
        <v>46096</v>
      </c>
      <c r="B641" s="5" t="s">
        <v>854</v>
      </c>
      <c r="C641" s="5" t="s">
        <v>2915</v>
      </c>
      <c r="D641" s="5" t="s">
        <v>11</v>
      </c>
      <c r="E641" s="5" t="s">
        <v>7</v>
      </c>
      <c r="F641" s="5" t="s">
        <v>7</v>
      </c>
      <c r="G641" s="5" t="s">
        <v>3103</v>
      </c>
      <c r="H641" s="5" t="s">
        <v>3575</v>
      </c>
      <c r="I641" s="6" t="str">
        <f>HYPERLINK("http://maps.yandex.ru/?ll=37.565952,54.05172&amp;spn=0.011598,0.004531&amp;z=17&amp;l=map&amp;pt=37.565952,54.05172", "54.051723//37.565952")</f>
        <v>54.051723//37.565952</v>
      </c>
      <c r="J641" s="5" t="s">
        <v>168</v>
      </c>
      <c r="K641" s="6" t="str">
        <f>HYPERLINK("http://maps.yandex.ru/?ll=37.592793,54.13354&amp;spn=0.011598,0.004531&amp;z=17&amp;l=map&amp;pt=37.592793,54.13354", "54.133545//37.592793")</f>
        <v>54.133545//37.592793</v>
      </c>
      <c r="L641" s="5" t="s">
        <v>168</v>
      </c>
      <c r="M641" s="5" t="s">
        <v>631</v>
      </c>
      <c r="N641" s="5" t="s">
        <v>4018</v>
      </c>
      <c r="O641" s="5" t="s">
        <v>206</v>
      </c>
      <c r="P641" s="5">
        <v>5</v>
      </c>
      <c r="Q641" s="5">
        <v>68</v>
      </c>
      <c r="R641" s="5">
        <v>27</v>
      </c>
      <c r="S641" s="5">
        <v>82.278999999999996</v>
      </c>
      <c r="T641" s="5" t="s">
        <v>12</v>
      </c>
      <c r="U641" s="5" t="s">
        <v>12</v>
      </c>
      <c r="V641" s="5" t="s">
        <v>12</v>
      </c>
      <c r="W641" s="5">
        <v>3.43</v>
      </c>
      <c r="X641" s="5">
        <v>75.349999999999994</v>
      </c>
      <c r="Y641" s="5">
        <v>97</v>
      </c>
      <c r="Z641" s="5" t="s">
        <v>2916</v>
      </c>
      <c r="AA641" s="5" t="s">
        <v>2916</v>
      </c>
      <c r="AB641" s="5" t="s">
        <v>19</v>
      </c>
      <c r="AC641" s="5" t="s">
        <v>19</v>
      </c>
      <c r="AD641" s="5" t="s">
        <v>19</v>
      </c>
      <c r="AE641" s="5" t="s">
        <v>19</v>
      </c>
      <c r="AF641" s="5" t="s">
        <v>568</v>
      </c>
      <c r="AG641" s="5"/>
      <c r="AH641" s="5">
        <v>0</v>
      </c>
      <c r="AI641" s="5"/>
      <c r="AJ641" s="5"/>
      <c r="AK641" s="5"/>
      <c r="AL641" s="5" t="s">
        <v>12</v>
      </c>
      <c r="AM641" s="5" t="s">
        <v>12</v>
      </c>
      <c r="AN641" s="5" t="s">
        <v>12</v>
      </c>
      <c r="AO641" s="5" t="s">
        <v>11</v>
      </c>
      <c r="AP641" s="5" t="s">
        <v>11</v>
      </c>
      <c r="AQ641" s="5" t="s">
        <v>53</v>
      </c>
      <c r="AR641" s="5" t="s">
        <v>52</v>
      </c>
    </row>
    <row r="642" spans="1:44" ht="31.5" x14ac:dyDescent="0.25">
      <c r="A642" s="10">
        <v>46096</v>
      </c>
      <c r="B642" s="5" t="s">
        <v>853</v>
      </c>
      <c r="C642" s="5" t="s">
        <v>2917</v>
      </c>
      <c r="D642" s="5" t="s">
        <v>11</v>
      </c>
      <c r="E642" s="5" t="s">
        <v>0</v>
      </c>
      <c r="F642" s="5" t="s">
        <v>0</v>
      </c>
      <c r="G642" s="5" t="s">
        <v>5279</v>
      </c>
      <c r="H642" s="5" t="s">
        <v>5280</v>
      </c>
      <c r="I642" s="6" t="str">
        <f>HYPERLINK("http://maps.yandex.ru/?ll=82.54303,55.00817&amp;spn=0.011598,0.004531&amp;z=17&amp;l=map&amp;pt=82.54303,55.00817", "55.008175//82.54303")</f>
        <v>55.008175//82.54303</v>
      </c>
      <c r="J642" s="5" t="s">
        <v>39</v>
      </c>
      <c r="K642" s="6" t="str">
        <f>HYPERLINK("http://maps.yandex.ru/?ll=82.53598,55.01270&amp;spn=0.011598,0.004531&amp;z=17&amp;l=map&amp;pt=82.53598,55.01270", "55.012707//82.53598")</f>
        <v>55.012707//82.53598</v>
      </c>
      <c r="L642" s="5" t="s">
        <v>39</v>
      </c>
      <c r="M642" s="5" t="s">
        <v>1246</v>
      </c>
      <c r="N642" s="5" t="s">
        <v>4557</v>
      </c>
      <c r="O642" s="5" t="s">
        <v>13</v>
      </c>
      <c r="P642" s="5">
        <v>14</v>
      </c>
      <c r="Q642" s="5">
        <v>86</v>
      </c>
      <c r="R642" s="5">
        <v>0</v>
      </c>
      <c r="S642" s="5">
        <v>120.499</v>
      </c>
      <c r="T642" s="5" t="s">
        <v>2190</v>
      </c>
      <c r="U642" s="5" t="s">
        <v>5281</v>
      </c>
      <c r="V642" s="5" t="s">
        <v>5282</v>
      </c>
      <c r="W642" s="5">
        <v>5.0199999999999996</v>
      </c>
      <c r="X642" s="5">
        <v>35.85</v>
      </c>
      <c r="Y642" s="5">
        <v>77</v>
      </c>
      <c r="Z642" s="5" t="s">
        <v>2918</v>
      </c>
      <c r="AA642" s="5" t="s">
        <v>2128</v>
      </c>
      <c r="AB642" s="5" t="s">
        <v>19</v>
      </c>
      <c r="AC642" s="5" t="s">
        <v>19</v>
      </c>
      <c r="AD642" s="5" t="s">
        <v>19</v>
      </c>
      <c r="AE642" s="5" t="s">
        <v>1897</v>
      </c>
      <c r="AF642" s="5" t="s">
        <v>5283</v>
      </c>
      <c r="AG642" s="5">
        <v>51</v>
      </c>
      <c r="AH642" s="5">
        <v>8</v>
      </c>
      <c r="AI642" s="5">
        <v>43</v>
      </c>
      <c r="AJ642" s="5">
        <v>41.13</v>
      </c>
      <c r="AK642" s="5">
        <v>34.68</v>
      </c>
      <c r="AL642" s="5" t="s">
        <v>12</v>
      </c>
      <c r="AM642" s="5" t="s">
        <v>12</v>
      </c>
      <c r="AN642" s="5" t="s">
        <v>12</v>
      </c>
      <c r="AO642" s="5" t="s">
        <v>11</v>
      </c>
      <c r="AP642" s="5" t="s">
        <v>11</v>
      </c>
      <c r="AQ642" s="5" t="s">
        <v>53</v>
      </c>
      <c r="AR642" s="5" t="s">
        <v>52</v>
      </c>
    </row>
    <row r="643" spans="1:44" ht="31.5" x14ac:dyDescent="0.25">
      <c r="A643" s="10">
        <v>46096</v>
      </c>
      <c r="B643" s="5" t="s">
        <v>851</v>
      </c>
      <c r="C643" s="5" t="s">
        <v>2919</v>
      </c>
      <c r="D643" s="5" t="s">
        <v>11</v>
      </c>
      <c r="E643" s="5" t="s">
        <v>0</v>
      </c>
      <c r="F643" s="5" t="s">
        <v>0</v>
      </c>
      <c r="G643" s="5" t="s">
        <v>5284</v>
      </c>
      <c r="H643" s="5" t="s">
        <v>3911</v>
      </c>
      <c r="I643" s="6" t="str">
        <f>HYPERLINK("http://maps.yandex.ru/?ll=53.34903,54.4797&amp;spn=0.011598,0.004531&amp;z=17&amp;l=map&amp;pt=53.34903,54.4797", "54.47979//53.34903")</f>
        <v>54.47979//53.34903</v>
      </c>
      <c r="J643" s="5" t="s">
        <v>28</v>
      </c>
      <c r="K643" s="6" t="str">
        <f>HYPERLINK("http://maps.yandex.ru/?ll=45.006115,53.25189&amp;spn=0.011598,0.004531&amp;z=17&amp;l=map&amp;pt=45.006115,53.25189", "53.251896//45.006115")</f>
        <v>53.251896//45.006115</v>
      </c>
      <c r="L643" s="5" t="s">
        <v>94</v>
      </c>
      <c r="M643" s="5" t="s">
        <v>1314</v>
      </c>
      <c r="N643" s="5" t="s">
        <v>3950</v>
      </c>
      <c r="O643" s="5" t="s">
        <v>286</v>
      </c>
      <c r="P643" s="5">
        <v>37</v>
      </c>
      <c r="Q643" s="5">
        <v>62</v>
      </c>
      <c r="R643" s="5">
        <v>1</v>
      </c>
      <c r="S643" s="5">
        <v>623.64700000000005</v>
      </c>
      <c r="T643" s="5" t="s">
        <v>1538</v>
      </c>
      <c r="U643" s="5" t="s">
        <v>5285</v>
      </c>
      <c r="V643" s="5" t="s">
        <v>5286</v>
      </c>
      <c r="W643" s="5">
        <v>25.99</v>
      </c>
      <c r="X643" s="5">
        <v>70.31</v>
      </c>
      <c r="Y643" s="5">
        <v>144</v>
      </c>
      <c r="Z643" s="5" t="s">
        <v>2641</v>
      </c>
      <c r="AA643" s="5" t="s">
        <v>2300</v>
      </c>
      <c r="AB643" s="5" t="s">
        <v>4285</v>
      </c>
      <c r="AC643" s="5" t="s">
        <v>1673</v>
      </c>
      <c r="AD643" s="5" t="s">
        <v>19</v>
      </c>
      <c r="AE643" s="5" t="s">
        <v>1857</v>
      </c>
      <c r="AF643" s="5" t="s">
        <v>5287</v>
      </c>
      <c r="AG643" s="5">
        <v>206</v>
      </c>
      <c r="AH643" s="5">
        <v>4</v>
      </c>
      <c r="AI643" s="5">
        <v>202</v>
      </c>
      <c r="AJ643" s="5">
        <v>31.99</v>
      </c>
      <c r="AK643" s="5">
        <v>31.37</v>
      </c>
      <c r="AL643" s="5" t="s">
        <v>12</v>
      </c>
      <c r="AM643" s="5" t="s">
        <v>12</v>
      </c>
      <c r="AN643" s="5" t="s">
        <v>12</v>
      </c>
      <c r="AO643" s="5" t="s">
        <v>11</v>
      </c>
      <c r="AP643" s="5" t="s">
        <v>11</v>
      </c>
      <c r="AQ643" s="5" t="s">
        <v>53</v>
      </c>
      <c r="AR643" s="5" t="s">
        <v>52</v>
      </c>
    </row>
    <row r="644" spans="1:44" ht="31.5" x14ac:dyDescent="0.25">
      <c r="A644" s="10">
        <v>46096</v>
      </c>
      <c r="B644" s="5" t="s">
        <v>852</v>
      </c>
      <c r="C644" s="5" t="s">
        <v>2922</v>
      </c>
      <c r="D644" s="5" t="s">
        <v>11</v>
      </c>
      <c r="E644" s="5" t="s">
        <v>6</v>
      </c>
      <c r="F644" s="5" t="s">
        <v>6</v>
      </c>
      <c r="G644" s="5" t="s">
        <v>5288</v>
      </c>
      <c r="H644" s="5" t="s">
        <v>5289</v>
      </c>
      <c r="I644" s="6" t="str">
        <f>HYPERLINK("http://maps.yandex.ru/?ll=109.874535,51.42659&amp;spn=0.011598,0.004531&amp;z=17&amp;l=map&amp;pt=109.874535,51.42659", "51.426594//109.874535")</f>
        <v>51.426594//109.874535</v>
      </c>
      <c r="J644" s="5" t="s">
        <v>155</v>
      </c>
      <c r="K644" s="6" t="str">
        <f>HYPERLINK("http://maps.yandex.ru/?ll=103.756615,52.49094&amp;spn=0.011598,0.004531&amp;z=17&amp;l=map&amp;pt=103.756615,52.49094", "52.490948//103.756615")</f>
        <v>52.490948//103.756615</v>
      </c>
      <c r="L644" s="5" t="s">
        <v>1066</v>
      </c>
      <c r="M644" s="5" t="s">
        <v>4754</v>
      </c>
      <c r="N644" s="5" t="s">
        <v>765</v>
      </c>
      <c r="O644" s="5" t="s">
        <v>13</v>
      </c>
      <c r="P644" s="5">
        <v>48</v>
      </c>
      <c r="Q644" s="5">
        <v>52</v>
      </c>
      <c r="R644" s="5">
        <v>0</v>
      </c>
      <c r="S644" s="5">
        <v>763.17700000000002</v>
      </c>
      <c r="T644" s="5" t="s">
        <v>1881</v>
      </c>
      <c r="U644" s="5" t="s">
        <v>2923</v>
      </c>
      <c r="V644" s="5" t="s">
        <v>5290</v>
      </c>
      <c r="W644" s="5">
        <v>31.8</v>
      </c>
      <c r="X644" s="5">
        <v>66.88</v>
      </c>
      <c r="Y644" s="5">
        <v>114</v>
      </c>
      <c r="Z644" s="5" t="s">
        <v>2924</v>
      </c>
      <c r="AA644" s="5" t="s">
        <v>2271</v>
      </c>
      <c r="AB644" s="5" t="s">
        <v>2138</v>
      </c>
      <c r="AC644" s="5" t="s">
        <v>1673</v>
      </c>
      <c r="AD644" s="5" t="s">
        <v>19</v>
      </c>
      <c r="AE644" s="5" t="s">
        <v>5034</v>
      </c>
      <c r="AF644" s="5" t="s">
        <v>5291</v>
      </c>
      <c r="AG644" s="5">
        <v>337</v>
      </c>
      <c r="AH644" s="5">
        <v>8</v>
      </c>
      <c r="AI644" s="5">
        <v>329</v>
      </c>
      <c r="AJ644" s="5">
        <v>43.71</v>
      </c>
      <c r="AK644" s="5">
        <v>42.67</v>
      </c>
      <c r="AL644" s="5" t="s">
        <v>12</v>
      </c>
      <c r="AM644" s="5" t="s">
        <v>12</v>
      </c>
      <c r="AN644" s="5" t="s">
        <v>12</v>
      </c>
      <c r="AO644" s="5" t="s">
        <v>11</v>
      </c>
      <c r="AP644" s="5" t="s">
        <v>11</v>
      </c>
      <c r="AQ644" s="5" t="s">
        <v>53</v>
      </c>
      <c r="AR644" s="5" t="s">
        <v>52</v>
      </c>
    </row>
    <row r="645" spans="1:44" ht="31.5" x14ac:dyDescent="0.25">
      <c r="A645" s="10">
        <v>46096</v>
      </c>
      <c r="B645" s="5" t="s">
        <v>848</v>
      </c>
      <c r="C645" s="5" t="s">
        <v>2912</v>
      </c>
      <c r="D645" s="5" t="s">
        <v>11</v>
      </c>
      <c r="E645" s="5" t="s">
        <v>6</v>
      </c>
      <c r="F645" s="5" t="s">
        <v>6</v>
      </c>
      <c r="G645" s="5" t="s">
        <v>5292</v>
      </c>
      <c r="H645" s="5" t="s">
        <v>5293</v>
      </c>
      <c r="I645" s="6" t="str">
        <f>HYPERLINK("http://maps.yandex.ru/?ll=52.355263,52.6572&amp;spn=0.011598,0.004531&amp;z=17&amp;l=map&amp;pt=52.355263,52.6572", "52.65727//52.355263")</f>
        <v>52.65727//52.355263</v>
      </c>
      <c r="J645" s="5" t="s">
        <v>300</v>
      </c>
      <c r="K645" s="6" t="str">
        <f>HYPERLINK("http://maps.yandex.ru/?ll=55.170204,51.863&amp;spn=0.011598,0.004531&amp;z=17&amp;l=map&amp;pt=55.170204,51.863", "51.8639//55.170204")</f>
        <v>51.8639//55.170204</v>
      </c>
      <c r="L645" s="5" t="s">
        <v>300</v>
      </c>
      <c r="M645" s="5" t="s">
        <v>352</v>
      </c>
      <c r="N645" s="5" t="s">
        <v>4044</v>
      </c>
      <c r="O645" s="5" t="s">
        <v>13</v>
      </c>
      <c r="P645" s="5">
        <v>14</v>
      </c>
      <c r="Q645" s="5">
        <v>86</v>
      </c>
      <c r="R645" s="5">
        <v>0</v>
      </c>
      <c r="S645" s="5">
        <v>237.44399999999999</v>
      </c>
      <c r="T645" s="5" t="s">
        <v>1748</v>
      </c>
      <c r="U645" s="5" t="s">
        <v>2913</v>
      </c>
      <c r="V645" s="5" t="s">
        <v>5294</v>
      </c>
      <c r="W645" s="5">
        <v>9.89</v>
      </c>
      <c r="X645" s="5">
        <v>70.3</v>
      </c>
      <c r="Y645" s="5">
        <v>99</v>
      </c>
      <c r="Z645" s="5" t="s">
        <v>1561</v>
      </c>
      <c r="AA645" s="5" t="s">
        <v>1603</v>
      </c>
      <c r="AB645" s="5" t="s">
        <v>19</v>
      </c>
      <c r="AC645" s="5" t="s">
        <v>19</v>
      </c>
      <c r="AD645" s="5" t="s">
        <v>19</v>
      </c>
      <c r="AE645" s="5" t="s">
        <v>2769</v>
      </c>
      <c r="AF645" s="5" t="s">
        <v>5295</v>
      </c>
      <c r="AG645" s="5">
        <v>78</v>
      </c>
      <c r="AH645" s="5">
        <v>4</v>
      </c>
      <c r="AI645" s="5">
        <v>74</v>
      </c>
      <c r="AJ645" s="5">
        <v>33.19</v>
      </c>
      <c r="AK645" s="5">
        <v>31.49</v>
      </c>
      <c r="AL645" s="5" t="s">
        <v>12</v>
      </c>
      <c r="AM645" s="5" t="s">
        <v>12</v>
      </c>
      <c r="AN645" s="5" t="s">
        <v>12</v>
      </c>
      <c r="AO645" s="5" t="s">
        <v>11</v>
      </c>
      <c r="AP645" s="5" t="s">
        <v>11</v>
      </c>
      <c r="AQ645" s="5" t="s">
        <v>123</v>
      </c>
      <c r="AR645" s="5" t="s">
        <v>122</v>
      </c>
    </row>
    <row r="646" spans="1:44" ht="31.5" x14ac:dyDescent="0.25">
      <c r="A646" s="10">
        <v>46096</v>
      </c>
      <c r="B646" s="5" t="s">
        <v>847</v>
      </c>
      <c r="C646" s="5" t="s">
        <v>2991</v>
      </c>
      <c r="D646" s="5" t="s">
        <v>11</v>
      </c>
      <c r="E646" s="5" t="s">
        <v>0</v>
      </c>
      <c r="F646" s="5" t="s">
        <v>0</v>
      </c>
      <c r="G646" s="5" t="s">
        <v>5296</v>
      </c>
      <c r="H646" s="5" t="s">
        <v>5297</v>
      </c>
      <c r="I646" s="6" t="str">
        <f>HYPERLINK("http://maps.yandex.ru/?ll=63.671066,57.08524&amp;spn=0.011598,0.004531&amp;z=17&amp;l=map&amp;pt=63.671066,57.08524", "57.085243//63.671066")</f>
        <v>57.085243//63.671066</v>
      </c>
      <c r="J646" s="5" t="s">
        <v>77</v>
      </c>
      <c r="K646" s="6" t="str">
        <f>HYPERLINK("http://maps.yandex.ru/?ll=60.517254,56.8917&amp;spn=0.011598,0.004531&amp;z=17&amp;l=map&amp;pt=60.517254,56.8917", "56.89174//60.517254")</f>
        <v>56.89174//60.517254</v>
      </c>
      <c r="L646" s="5" t="s">
        <v>77</v>
      </c>
      <c r="M646" s="5" t="s">
        <v>355</v>
      </c>
      <c r="N646" s="5" t="s">
        <v>1492</v>
      </c>
      <c r="O646" s="5" t="s">
        <v>883</v>
      </c>
      <c r="P646" s="5">
        <v>18</v>
      </c>
      <c r="Q646" s="5">
        <v>79</v>
      </c>
      <c r="R646" s="5">
        <v>4</v>
      </c>
      <c r="S646" s="5">
        <v>260.79000000000002</v>
      </c>
      <c r="T646" s="5" t="s">
        <v>5298</v>
      </c>
      <c r="U646" s="5" t="s">
        <v>5299</v>
      </c>
      <c r="V646" s="5" t="s">
        <v>5300</v>
      </c>
      <c r="W646" s="5">
        <v>10.87</v>
      </c>
      <c r="X646" s="5">
        <v>61.76</v>
      </c>
      <c r="Y646" s="5">
        <v>98</v>
      </c>
      <c r="Z646" s="5" t="s">
        <v>2859</v>
      </c>
      <c r="AA646" s="5" t="s">
        <v>5301</v>
      </c>
      <c r="AB646" s="5" t="s">
        <v>1885</v>
      </c>
      <c r="AC646" s="5" t="s">
        <v>1673</v>
      </c>
      <c r="AD646" s="5" t="s">
        <v>19</v>
      </c>
      <c r="AE646" s="5" t="s">
        <v>1959</v>
      </c>
      <c r="AF646" s="5" t="s">
        <v>5302</v>
      </c>
      <c r="AG646" s="5">
        <v>107</v>
      </c>
      <c r="AH646" s="5">
        <v>18</v>
      </c>
      <c r="AI646" s="5">
        <v>89</v>
      </c>
      <c r="AJ646" s="5">
        <v>40.68</v>
      </c>
      <c r="AK646" s="5">
        <v>33.840000000000003</v>
      </c>
      <c r="AL646" s="5" t="s">
        <v>12</v>
      </c>
      <c r="AM646" s="5" t="s">
        <v>12</v>
      </c>
      <c r="AN646" s="5" t="s">
        <v>12</v>
      </c>
      <c r="AO646" s="5" t="s">
        <v>11</v>
      </c>
      <c r="AP646" s="5" t="s">
        <v>11</v>
      </c>
      <c r="AQ646" s="5" t="s">
        <v>123</v>
      </c>
      <c r="AR646" s="5" t="s">
        <v>122</v>
      </c>
    </row>
    <row r="647" spans="1:44" ht="31.5" x14ac:dyDescent="0.25">
      <c r="A647" s="10">
        <v>46096</v>
      </c>
      <c r="B647" s="5" t="s">
        <v>846</v>
      </c>
      <c r="C647" s="5" t="s">
        <v>2993</v>
      </c>
      <c r="D647" s="5" t="s">
        <v>11</v>
      </c>
      <c r="E647" s="5" t="s">
        <v>6</v>
      </c>
      <c r="F647" s="5" t="s">
        <v>6</v>
      </c>
      <c r="G647" s="5" t="s">
        <v>5303</v>
      </c>
      <c r="H647" s="5" t="s">
        <v>5304</v>
      </c>
      <c r="I647" s="6" t="str">
        <f>HYPERLINK("http://maps.yandex.ru/?ll=39.195686,52.1287&amp;spn=0.011598,0.004531&amp;z=17&amp;l=map&amp;pt=39.195686,52.1287", "52.12879//39.195686")</f>
        <v>52.12879//39.195686</v>
      </c>
      <c r="J647" s="5" t="s">
        <v>151</v>
      </c>
      <c r="K647" s="6" t="str">
        <f>HYPERLINK("http://maps.yandex.ru/?ll=39.611027,47.2080&amp;spn=0.011598,0.004531&amp;z=17&amp;l=map&amp;pt=39.611027,47.2080", "47.20803//39.611027")</f>
        <v>47.20803//39.611027</v>
      </c>
      <c r="L647" s="5" t="s">
        <v>64</v>
      </c>
      <c r="M647" s="5" t="s">
        <v>550</v>
      </c>
      <c r="N647" s="5" t="s">
        <v>4529</v>
      </c>
      <c r="O647" s="5" t="s">
        <v>4969</v>
      </c>
      <c r="P647" s="5">
        <v>36</v>
      </c>
      <c r="Q647" s="5">
        <v>27</v>
      </c>
      <c r="R647" s="5">
        <v>37</v>
      </c>
      <c r="S647" s="5">
        <v>616.91</v>
      </c>
      <c r="T647" s="5" t="s">
        <v>3281</v>
      </c>
      <c r="U647" s="5" t="s">
        <v>5305</v>
      </c>
      <c r="V647" s="5" t="s">
        <v>5306</v>
      </c>
      <c r="W647" s="5">
        <v>25.7</v>
      </c>
      <c r="X647" s="5">
        <v>71.459999999999994</v>
      </c>
      <c r="Y647" s="5">
        <v>125</v>
      </c>
      <c r="Z647" s="5" t="s">
        <v>1798</v>
      </c>
      <c r="AA647" s="5" t="s">
        <v>2231</v>
      </c>
      <c r="AB647" s="5" t="s">
        <v>19</v>
      </c>
      <c r="AC647" s="5" t="s">
        <v>19</v>
      </c>
      <c r="AD647" s="5" t="s">
        <v>19</v>
      </c>
      <c r="AE647" s="5" t="s">
        <v>2064</v>
      </c>
      <c r="AF647" s="5" t="s">
        <v>1366</v>
      </c>
      <c r="AG647" s="5">
        <v>203</v>
      </c>
      <c r="AH647" s="5">
        <v>2</v>
      </c>
      <c r="AI647" s="5">
        <v>201</v>
      </c>
      <c r="AJ647" s="5">
        <v>31.67</v>
      </c>
      <c r="AK647" s="5">
        <v>31.36</v>
      </c>
      <c r="AL647" s="5" t="s">
        <v>12</v>
      </c>
      <c r="AM647" s="5" t="s">
        <v>12</v>
      </c>
      <c r="AN647" s="5" t="s">
        <v>12</v>
      </c>
      <c r="AO647" s="5" t="s">
        <v>11</v>
      </c>
      <c r="AP647" s="5" t="s">
        <v>11</v>
      </c>
      <c r="AQ647" s="5" t="s">
        <v>53</v>
      </c>
      <c r="AR647" s="5" t="s">
        <v>52</v>
      </c>
    </row>
    <row r="648" spans="1:44" ht="15.75" x14ac:dyDescent="0.25">
      <c r="A648" s="10">
        <v>46096</v>
      </c>
      <c r="B648" s="5" t="s">
        <v>844</v>
      </c>
      <c r="C648" s="5" t="s">
        <v>2996</v>
      </c>
      <c r="D648" s="5" t="s">
        <v>11</v>
      </c>
      <c r="E648" s="5" t="s">
        <v>8</v>
      </c>
      <c r="F648" s="5" t="s">
        <v>8</v>
      </c>
      <c r="G648" s="5" t="s">
        <v>11</v>
      </c>
      <c r="H648" s="5" t="s">
        <v>11</v>
      </c>
      <c r="I648" s="6" t="str">
        <f>HYPERLINK("http://maps.yandex.ru/?ll=,&amp;spn=0.011598,0.004531&amp;z=17&amp;l=map&amp;pt=,", "")</f>
        <v/>
      </c>
      <c r="J648" s="5" t="s">
        <v>84</v>
      </c>
      <c r="K648" s="6" t="str">
        <f>HYPERLINK("http://maps.yandex.ru/?ll=,&amp;spn=0.011598,0.004531&amp;z=17&amp;l=map&amp;pt=,", "")</f>
        <v/>
      </c>
      <c r="L648" s="5" t="s">
        <v>84</v>
      </c>
      <c r="M648" s="5" t="s">
        <v>13</v>
      </c>
      <c r="N648" s="5" t="s">
        <v>58</v>
      </c>
      <c r="O648" s="5" t="s">
        <v>13</v>
      </c>
      <c r="P648" s="5">
        <v>0</v>
      </c>
      <c r="Q648" s="5">
        <v>100</v>
      </c>
      <c r="R648" s="5">
        <v>0</v>
      </c>
      <c r="S648" s="5">
        <v>0</v>
      </c>
      <c r="T648" s="5" t="s">
        <v>12</v>
      </c>
      <c r="U648" s="5" t="s">
        <v>12</v>
      </c>
      <c r="V648" s="5" t="s">
        <v>12</v>
      </c>
      <c r="W648" s="5">
        <v>0</v>
      </c>
      <c r="X648" s="5">
        <v>0</v>
      </c>
      <c r="Y648" s="5">
        <v>0</v>
      </c>
      <c r="Z648" s="5" t="s">
        <v>1621</v>
      </c>
      <c r="AA648" s="5" t="s">
        <v>1621</v>
      </c>
      <c r="AB648" s="5" t="s">
        <v>19</v>
      </c>
      <c r="AC648" s="5" t="s">
        <v>19</v>
      </c>
      <c r="AD648" s="5" t="s">
        <v>19</v>
      </c>
      <c r="AE648" s="5" t="s">
        <v>19</v>
      </c>
      <c r="AF648" s="5" t="s">
        <v>12</v>
      </c>
      <c r="AG648" s="5"/>
      <c r="AH648" s="5"/>
      <c r="AI648" s="5"/>
      <c r="AJ648" s="5"/>
      <c r="AK648" s="5"/>
      <c r="AL648" s="5" t="s">
        <v>12</v>
      </c>
      <c r="AM648" s="5" t="s">
        <v>12</v>
      </c>
      <c r="AN648" s="5" t="s">
        <v>12</v>
      </c>
      <c r="AO648" s="5" t="s">
        <v>115</v>
      </c>
      <c r="AP648" s="5" t="s">
        <v>114</v>
      </c>
      <c r="AQ648" s="5" t="s">
        <v>99</v>
      </c>
      <c r="AR648" s="5" t="s">
        <v>98</v>
      </c>
    </row>
    <row r="649" spans="1:44" ht="31.5" x14ac:dyDescent="0.25">
      <c r="A649" s="10">
        <v>46096</v>
      </c>
      <c r="B649" s="5" t="s">
        <v>843</v>
      </c>
      <c r="C649" s="5" t="s">
        <v>2997</v>
      </c>
      <c r="D649" s="5" t="s">
        <v>11</v>
      </c>
      <c r="E649" s="5" t="s">
        <v>4</v>
      </c>
      <c r="F649" s="5" t="s">
        <v>4</v>
      </c>
      <c r="G649" s="5" t="s">
        <v>3103</v>
      </c>
      <c r="H649" s="5" t="s">
        <v>5307</v>
      </c>
      <c r="I649" s="6" t="str">
        <f>HYPERLINK("http://maps.yandex.ru/?ll=44.408104,49.42813&amp;spn=0.011598,0.004531&amp;z=17&amp;l=map&amp;pt=44.408104,49.42813", "49.428135//44.408104")</f>
        <v>49.428135//44.408104</v>
      </c>
      <c r="J649" s="5" t="s">
        <v>95</v>
      </c>
      <c r="K649" s="6" t="str">
        <f>HYPERLINK("http://maps.yandex.ru/?ll=47.92587,52.3089&amp;spn=0.011598,0.004531&amp;z=17&amp;l=map&amp;pt=47.92587,52.3089", "52.30894//47.92587")</f>
        <v>52.30894//47.92587</v>
      </c>
      <c r="L649" s="5" t="s">
        <v>213</v>
      </c>
      <c r="M649" s="5" t="s">
        <v>279</v>
      </c>
      <c r="N649" s="5" t="s">
        <v>1335</v>
      </c>
      <c r="O649" s="5" t="s">
        <v>218</v>
      </c>
      <c r="P649" s="5">
        <v>31</v>
      </c>
      <c r="Q649" s="5">
        <v>44</v>
      </c>
      <c r="R649" s="5">
        <v>25</v>
      </c>
      <c r="S649" s="5">
        <v>558.60299999999995</v>
      </c>
      <c r="T649" s="5" t="s">
        <v>12</v>
      </c>
      <c r="U649" s="5" t="s">
        <v>12</v>
      </c>
      <c r="V649" s="5" t="s">
        <v>12</v>
      </c>
      <c r="W649" s="5">
        <v>23.28</v>
      </c>
      <c r="X649" s="5">
        <v>74.59</v>
      </c>
      <c r="Y649" s="5">
        <v>98</v>
      </c>
      <c r="Z649" s="5" t="s">
        <v>1764</v>
      </c>
      <c r="AA649" s="5" t="s">
        <v>1577</v>
      </c>
      <c r="AB649" s="5" t="s">
        <v>19</v>
      </c>
      <c r="AC649" s="5" t="s">
        <v>19</v>
      </c>
      <c r="AD649" s="5" t="s">
        <v>19</v>
      </c>
      <c r="AE649" s="5" t="s">
        <v>1673</v>
      </c>
      <c r="AF649" s="5" t="s">
        <v>12</v>
      </c>
      <c r="AG649" s="5"/>
      <c r="AH649" s="5"/>
      <c r="AI649" s="5"/>
      <c r="AJ649" s="5"/>
      <c r="AK649" s="5"/>
      <c r="AL649" s="5" t="s">
        <v>5308</v>
      </c>
      <c r="AM649" s="5" t="s">
        <v>5308</v>
      </c>
      <c r="AN649" s="5" t="s">
        <v>19</v>
      </c>
      <c r="AO649" s="5" t="s">
        <v>115</v>
      </c>
      <c r="AP649" s="5" t="s">
        <v>114</v>
      </c>
      <c r="AQ649" s="5" t="s">
        <v>99</v>
      </c>
      <c r="AR649" s="5" t="s">
        <v>98</v>
      </c>
    </row>
    <row r="650" spans="1:44" ht="31.5" x14ac:dyDescent="0.25">
      <c r="A650" s="10">
        <v>46096</v>
      </c>
      <c r="B650" s="5" t="s">
        <v>841</v>
      </c>
      <c r="C650" s="5" t="s">
        <v>2998</v>
      </c>
      <c r="D650" s="5" t="s">
        <v>11</v>
      </c>
      <c r="E650" s="5" t="s">
        <v>3</v>
      </c>
      <c r="F650" s="5" t="s">
        <v>3</v>
      </c>
      <c r="G650" s="5" t="s">
        <v>5309</v>
      </c>
      <c r="H650" s="5" t="s">
        <v>5310</v>
      </c>
      <c r="I650" s="6" t="str">
        <f>HYPERLINK("http://maps.yandex.ru/?ll=38.99839,44.95514&amp;spn=0.011598,0.004531&amp;z=17&amp;l=map&amp;pt=38.99839,44.95514", "44.955143//38.99839")</f>
        <v>44.955143//38.99839</v>
      </c>
      <c r="J650" s="5" t="s">
        <v>23</v>
      </c>
      <c r="K650" s="6" t="str">
        <f>HYPERLINK("http://maps.yandex.ru/?ll=43.137623,44.17178&amp;spn=0.011598,0.004531&amp;z=17&amp;l=map&amp;pt=43.137623,44.17178", "44.171787//43.137623")</f>
        <v>44.171787//43.137623</v>
      </c>
      <c r="L650" s="5" t="s">
        <v>208</v>
      </c>
      <c r="M650" s="5" t="s">
        <v>521</v>
      </c>
      <c r="N650" s="5" t="s">
        <v>658</v>
      </c>
      <c r="O650" s="5" t="s">
        <v>591</v>
      </c>
      <c r="P650" s="5">
        <v>26</v>
      </c>
      <c r="Q650" s="5">
        <v>36</v>
      </c>
      <c r="R650" s="5">
        <v>39</v>
      </c>
      <c r="S650" s="5">
        <v>430.45299999999997</v>
      </c>
      <c r="T650" s="5" t="s">
        <v>12</v>
      </c>
      <c r="U650" s="5" t="s">
        <v>12</v>
      </c>
      <c r="V650" s="5" t="s">
        <v>12</v>
      </c>
      <c r="W650" s="5">
        <v>17.940000000000001</v>
      </c>
      <c r="X650" s="5">
        <v>70.13</v>
      </c>
      <c r="Y650" s="5">
        <v>154</v>
      </c>
      <c r="Z650" s="5" t="s">
        <v>1945</v>
      </c>
      <c r="AA650" s="5" t="s">
        <v>1532</v>
      </c>
      <c r="AB650" s="5" t="s">
        <v>19</v>
      </c>
      <c r="AC650" s="5" t="s">
        <v>19</v>
      </c>
      <c r="AD650" s="5" t="s">
        <v>19</v>
      </c>
      <c r="AE650" s="5" t="s">
        <v>1870</v>
      </c>
      <c r="AF650" s="5" t="s">
        <v>12</v>
      </c>
      <c r="AG650" s="5"/>
      <c r="AH650" s="5"/>
      <c r="AI650" s="5"/>
      <c r="AJ650" s="5"/>
      <c r="AK650" s="5"/>
      <c r="AL650" s="5" t="s">
        <v>2999</v>
      </c>
      <c r="AM650" s="5" t="s">
        <v>5311</v>
      </c>
      <c r="AN650" s="5" t="s">
        <v>1673</v>
      </c>
      <c r="AO650" s="5" t="s">
        <v>115</v>
      </c>
      <c r="AP650" s="5" t="s">
        <v>114</v>
      </c>
      <c r="AQ650" s="5" t="s">
        <v>99</v>
      </c>
      <c r="AR650" s="5" t="s">
        <v>98</v>
      </c>
    </row>
    <row r="651" spans="1:44" ht="31.5" x14ac:dyDescent="0.25">
      <c r="A651" s="10">
        <v>46096</v>
      </c>
      <c r="B651" s="5" t="s">
        <v>838</v>
      </c>
      <c r="C651" s="5" t="s">
        <v>3000</v>
      </c>
      <c r="D651" s="5" t="s">
        <v>11</v>
      </c>
      <c r="E651" s="5" t="s">
        <v>0</v>
      </c>
      <c r="F651" s="5" t="s">
        <v>0</v>
      </c>
      <c r="G651" s="5" t="s">
        <v>3103</v>
      </c>
      <c r="H651" s="5" t="s">
        <v>5312</v>
      </c>
      <c r="I651" s="6" t="str">
        <f>HYPERLINK("http://maps.yandex.ru/?ll=39.17921,44.87145&amp;spn=0.011598,0.004531&amp;z=17&amp;l=map&amp;pt=39.17921,44.87145", "44.871452//39.17921")</f>
        <v>44.871452//39.17921</v>
      </c>
      <c r="J651" s="5" t="s">
        <v>23</v>
      </c>
      <c r="K651" s="6" t="str">
        <f>HYPERLINK("http://maps.yandex.ru/?ll=39.67228,46.576&amp;spn=0.011598,0.004531&amp;z=17&amp;l=map&amp;pt=39.67228,46.576", "46.5766//39.67228")</f>
        <v>46.5766//39.67228</v>
      </c>
      <c r="L651" s="5" t="s">
        <v>88</v>
      </c>
      <c r="M651" s="5" t="s">
        <v>1138</v>
      </c>
      <c r="N651" s="5" t="s">
        <v>622</v>
      </c>
      <c r="O651" s="5" t="s">
        <v>1198</v>
      </c>
      <c r="P651" s="5">
        <v>50</v>
      </c>
      <c r="Q651" s="5">
        <v>46</v>
      </c>
      <c r="R651" s="5">
        <v>4</v>
      </c>
      <c r="S651" s="5">
        <v>1062.751</v>
      </c>
      <c r="T651" s="5" t="s">
        <v>12</v>
      </c>
      <c r="U651" s="5" t="s">
        <v>12</v>
      </c>
      <c r="V651" s="5" t="s">
        <v>12</v>
      </c>
      <c r="W651" s="5">
        <v>44.28</v>
      </c>
      <c r="X651" s="5">
        <v>89.21</v>
      </c>
      <c r="Y651" s="5">
        <v>144</v>
      </c>
      <c r="Z651" s="5" t="s">
        <v>1919</v>
      </c>
      <c r="AA651" s="5" t="s">
        <v>2075</v>
      </c>
      <c r="AB651" s="5" t="s">
        <v>19</v>
      </c>
      <c r="AC651" s="5" t="s">
        <v>19</v>
      </c>
      <c r="AD651" s="5" t="s">
        <v>19</v>
      </c>
      <c r="AE651" s="5" t="s">
        <v>1746</v>
      </c>
      <c r="AF651" s="5" t="s">
        <v>12</v>
      </c>
      <c r="AG651" s="5"/>
      <c r="AH651" s="5"/>
      <c r="AI651" s="5"/>
      <c r="AJ651" s="5"/>
      <c r="AK651" s="5"/>
      <c r="AL651" s="5" t="s">
        <v>5313</v>
      </c>
      <c r="AM651" s="5" t="s">
        <v>5314</v>
      </c>
      <c r="AN651" s="5" t="s">
        <v>1870</v>
      </c>
      <c r="AO651" s="5" t="s">
        <v>115</v>
      </c>
      <c r="AP651" s="5" t="s">
        <v>114</v>
      </c>
      <c r="AQ651" s="5" t="s">
        <v>99</v>
      </c>
      <c r="AR651" s="5" t="s">
        <v>98</v>
      </c>
    </row>
    <row r="652" spans="1:44" ht="31.5" x14ac:dyDescent="0.25">
      <c r="A652" s="10">
        <v>46096</v>
      </c>
      <c r="B652" s="5" t="s">
        <v>836</v>
      </c>
      <c r="C652" s="5" t="s">
        <v>3001</v>
      </c>
      <c r="D652" s="5" t="s">
        <v>11</v>
      </c>
      <c r="E652" s="5" t="s">
        <v>0</v>
      </c>
      <c r="F652" s="5" t="s">
        <v>0</v>
      </c>
      <c r="G652" s="5" t="s">
        <v>3103</v>
      </c>
      <c r="H652" s="5" t="s">
        <v>5315</v>
      </c>
      <c r="I652" s="6" t="str">
        <f>HYPERLINK("http://maps.yandex.ru/?ll=39.215607,51.84800&amp;spn=0.011598,0.004531&amp;z=17&amp;l=map&amp;pt=39.215607,51.84800", "51.848007//39.215607")</f>
        <v>51.848007//39.215607</v>
      </c>
      <c r="J652" s="5" t="s">
        <v>101</v>
      </c>
      <c r="K652" s="6" t="str">
        <f>HYPERLINK("http://maps.yandex.ru/?ll=39.553596,51.4948&amp;spn=0.011598,0.004531&amp;z=17&amp;l=map&amp;pt=39.553596,51.4948", "51.49488//39.553596")</f>
        <v>51.49488//39.553596</v>
      </c>
      <c r="L652" s="5" t="s">
        <v>101</v>
      </c>
      <c r="M652" s="5" t="s">
        <v>388</v>
      </c>
      <c r="N652" s="5" t="s">
        <v>4722</v>
      </c>
      <c r="O652" s="5" t="s">
        <v>495</v>
      </c>
      <c r="P652" s="5">
        <v>3</v>
      </c>
      <c r="Q652" s="5">
        <v>16</v>
      </c>
      <c r="R652" s="5">
        <v>81</v>
      </c>
      <c r="S652" s="5">
        <v>15.176</v>
      </c>
      <c r="T652" s="5" t="s">
        <v>1988</v>
      </c>
      <c r="U652" s="5" t="s">
        <v>5316</v>
      </c>
      <c r="V652" s="5" t="s">
        <v>5317</v>
      </c>
      <c r="W652" s="5">
        <v>0.63</v>
      </c>
      <c r="X652" s="5">
        <v>23.6</v>
      </c>
      <c r="Y652" s="5">
        <v>102</v>
      </c>
      <c r="Z652" s="5" t="s">
        <v>1483</v>
      </c>
      <c r="AA652" s="5" t="s">
        <v>2375</v>
      </c>
      <c r="AB652" s="5" t="s">
        <v>19</v>
      </c>
      <c r="AC652" s="5" t="s">
        <v>19</v>
      </c>
      <c r="AD652" s="5" t="s">
        <v>19</v>
      </c>
      <c r="AE652" s="5" t="s">
        <v>1709</v>
      </c>
      <c r="AF652" s="5" t="s">
        <v>5318</v>
      </c>
      <c r="AG652" s="5">
        <v>38</v>
      </c>
      <c r="AH652" s="5">
        <v>1</v>
      </c>
      <c r="AI652" s="5">
        <v>37</v>
      </c>
      <c r="AJ652" s="5">
        <v>37.619999999999997</v>
      </c>
      <c r="AK652" s="5">
        <v>36.630000000000003</v>
      </c>
      <c r="AL652" s="5" t="s">
        <v>12</v>
      </c>
      <c r="AM652" s="5" t="s">
        <v>12</v>
      </c>
      <c r="AN652" s="5" t="s">
        <v>12</v>
      </c>
      <c r="AO652" s="5" t="s">
        <v>11</v>
      </c>
      <c r="AP652" s="5" t="s">
        <v>11</v>
      </c>
      <c r="AQ652" s="5" t="s">
        <v>53</v>
      </c>
      <c r="AR652" s="5" t="s">
        <v>52</v>
      </c>
    </row>
    <row r="653" spans="1:44" ht="31.5" x14ac:dyDescent="0.25">
      <c r="A653" s="10">
        <v>46096</v>
      </c>
      <c r="B653" s="5" t="s">
        <v>835</v>
      </c>
      <c r="C653" s="5" t="s">
        <v>3003</v>
      </c>
      <c r="D653" s="5" t="s">
        <v>11</v>
      </c>
      <c r="E653" s="5" t="s">
        <v>8</v>
      </c>
      <c r="F653" s="5" t="s">
        <v>8</v>
      </c>
      <c r="G653" s="5" t="s">
        <v>4987</v>
      </c>
      <c r="H653" s="5" t="s">
        <v>5319</v>
      </c>
      <c r="I653" s="6" t="str">
        <f>HYPERLINK("http://maps.yandex.ru/?ll=47.24814,56.0590&amp;spn=0.011598,0.004531&amp;z=17&amp;l=map&amp;pt=47.24814,56.0590", "56.05901//47.24814")</f>
        <v>56.05901//47.24814</v>
      </c>
      <c r="J653" s="5" t="s">
        <v>46</v>
      </c>
      <c r="K653" s="6" t="str">
        <f>HYPERLINK("http://maps.yandex.ru/?ll=49.358784,55.82827&amp;spn=0.011598,0.004531&amp;z=17&amp;l=map&amp;pt=49.358784,55.82827", "55.828278//49.358784")</f>
        <v>55.828278//49.358784</v>
      </c>
      <c r="L653" s="5" t="s">
        <v>28</v>
      </c>
      <c r="M653" s="5" t="s">
        <v>255</v>
      </c>
      <c r="N653" s="5" t="s">
        <v>1409</v>
      </c>
      <c r="O653" s="5" t="s">
        <v>13</v>
      </c>
      <c r="P653" s="5">
        <v>13</v>
      </c>
      <c r="Q653" s="5">
        <v>87</v>
      </c>
      <c r="R653" s="5">
        <v>0</v>
      </c>
      <c r="S653" s="5">
        <v>181.489</v>
      </c>
      <c r="T653" s="5" t="s">
        <v>12</v>
      </c>
      <c r="U653" s="5" t="s">
        <v>12</v>
      </c>
      <c r="V653" s="5" t="s">
        <v>12</v>
      </c>
      <c r="W653" s="5">
        <v>7.56</v>
      </c>
      <c r="X653" s="5">
        <v>60.31</v>
      </c>
      <c r="Y653" s="5">
        <v>93</v>
      </c>
      <c r="Z653" s="5" t="s">
        <v>1945</v>
      </c>
      <c r="AA653" s="5" t="s">
        <v>1910</v>
      </c>
      <c r="AB653" s="5" t="s">
        <v>19</v>
      </c>
      <c r="AC653" s="5" t="s">
        <v>19</v>
      </c>
      <c r="AD653" s="5" t="s">
        <v>19</v>
      </c>
      <c r="AE653" s="5" t="s">
        <v>1689</v>
      </c>
      <c r="AF653" s="5" t="s">
        <v>12</v>
      </c>
      <c r="AG653" s="5"/>
      <c r="AH653" s="5"/>
      <c r="AI653" s="5"/>
      <c r="AJ653" s="5"/>
      <c r="AK653" s="5"/>
      <c r="AL653" s="5" t="s">
        <v>12</v>
      </c>
      <c r="AM653" s="5" t="s">
        <v>12</v>
      </c>
      <c r="AN653" s="5" t="s">
        <v>12</v>
      </c>
      <c r="AO653" s="5" t="s">
        <v>115</v>
      </c>
      <c r="AP653" s="5" t="s">
        <v>114</v>
      </c>
      <c r="AQ653" s="5" t="s">
        <v>99</v>
      </c>
      <c r="AR653" s="5" t="s">
        <v>98</v>
      </c>
    </row>
    <row r="654" spans="1:44" ht="31.5" x14ac:dyDescent="0.25">
      <c r="A654" s="10">
        <v>46096</v>
      </c>
      <c r="B654" s="5" t="s">
        <v>834</v>
      </c>
      <c r="C654" s="5" t="s">
        <v>3004</v>
      </c>
      <c r="D654" s="5" t="s">
        <v>11</v>
      </c>
      <c r="E654" s="5" t="s">
        <v>8</v>
      </c>
      <c r="F654" s="5" t="s">
        <v>8</v>
      </c>
      <c r="G654" s="5" t="s">
        <v>5320</v>
      </c>
      <c r="H654" s="5" t="s">
        <v>5321</v>
      </c>
      <c r="I654" s="6" t="str">
        <f>HYPERLINK("http://maps.yandex.ru/?ll=60.775795,56.91391&amp;spn=0.011598,0.004531&amp;z=17&amp;l=map&amp;pt=60.775795,56.91391", "56.913918//60.775795")</f>
        <v>56.913918//60.775795</v>
      </c>
      <c r="J654" s="5" t="s">
        <v>77</v>
      </c>
      <c r="K654" s="6" t="str">
        <f>HYPERLINK("http://maps.yandex.ru/?ll=61.32308,54.96707&amp;spn=0.011598,0.004531&amp;z=17&amp;l=map&amp;pt=61.32308,54.96707", "54.967075//61.32308")</f>
        <v>54.967075//61.32308</v>
      </c>
      <c r="L654" s="5" t="s">
        <v>227</v>
      </c>
      <c r="M654" s="5" t="s">
        <v>5322</v>
      </c>
      <c r="N654" s="5" t="s">
        <v>1495</v>
      </c>
      <c r="O654" s="5" t="s">
        <v>13</v>
      </c>
      <c r="P654" s="5">
        <v>16</v>
      </c>
      <c r="Q654" s="5">
        <v>84</v>
      </c>
      <c r="R654" s="5">
        <v>0</v>
      </c>
      <c r="S654" s="5">
        <v>254.529</v>
      </c>
      <c r="T654" s="5" t="s">
        <v>12</v>
      </c>
      <c r="U654" s="5" t="s">
        <v>12</v>
      </c>
      <c r="V654" s="5" t="s">
        <v>12</v>
      </c>
      <c r="W654" s="5">
        <v>10.61</v>
      </c>
      <c r="X654" s="5">
        <v>67.36</v>
      </c>
      <c r="Y654" s="5">
        <v>94</v>
      </c>
      <c r="Z654" s="5" t="s">
        <v>2033</v>
      </c>
      <c r="AA654" s="5" t="s">
        <v>2330</v>
      </c>
      <c r="AB654" s="5" t="s">
        <v>19</v>
      </c>
      <c r="AC654" s="5" t="s">
        <v>19</v>
      </c>
      <c r="AD654" s="5" t="s">
        <v>19</v>
      </c>
      <c r="AE654" s="5" t="s">
        <v>2201</v>
      </c>
      <c r="AF654" s="5" t="s">
        <v>12</v>
      </c>
      <c r="AG654" s="5"/>
      <c r="AH654" s="5"/>
      <c r="AI654" s="5"/>
      <c r="AJ654" s="5"/>
      <c r="AK654" s="5"/>
      <c r="AL654" s="5" t="s">
        <v>12</v>
      </c>
      <c r="AM654" s="5" t="s">
        <v>12</v>
      </c>
      <c r="AN654" s="5" t="s">
        <v>12</v>
      </c>
      <c r="AO654" s="5" t="s">
        <v>115</v>
      </c>
      <c r="AP654" s="5" t="s">
        <v>114</v>
      </c>
      <c r="AQ654" s="5" t="s">
        <v>99</v>
      </c>
      <c r="AR654" s="5" t="s">
        <v>98</v>
      </c>
    </row>
    <row r="655" spans="1:44" ht="31.5" x14ac:dyDescent="0.25">
      <c r="A655" s="10">
        <v>46096</v>
      </c>
      <c r="B655" s="5" t="s">
        <v>832</v>
      </c>
      <c r="C655" s="5" t="s">
        <v>3005</v>
      </c>
      <c r="D655" s="5" t="s">
        <v>11</v>
      </c>
      <c r="E655" s="5" t="s">
        <v>0</v>
      </c>
      <c r="F655" s="5" t="s">
        <v>0</v>
      </c>
      <c r="G655" s="5" t="s">
        <v>5323</v>
      </c>
      <c r="H655" s="5" t="s">
        <v>5324</v>
      </c>
      <c r="I655" s="6" t="str">
        <f>HYPERLINK("http://maps.yandex.ru/?ll=82.54312,55.0080&amp;spn=0.011598,0.004531&amp;z=17&amp;l=map&amp;pt=82.54312,55.0080", "55.00807//82.54312")</f>
        <v>55.00807//82.54312</v>
      </c>
      <c r="J655" s="5" t="s">
        <v>39</v>
      </c>
      <c r="K655" s="6" t="str">
        <f>HYPERLINK("http://maps.yandex.ru/?ll=82.535995,55.01270&amp;spn=0.011598,0.004531&amp;z=17&amp;l=map&amp;pt=82.535995,55.01270", "55.012703//82.535995")</f>
        <v>55.012703//82.535995</v>
      </c>
      <c r="L655" s="5" t="s">
        <v>39</v>
      </c>
      <c r="M655" s="5" t="s">
        <v>1357</v>
      </c>
      <c r="N655" s="5" t="s">
        <v>3415</v>
      </c>
      <c r="O655" s="5" t="s">
        <v>13</v>
      </c>
      <c r="P655" s="5">
        <v>14</v>
      </c>
      <c r="Q655" s="5">
        <v>86</v>
      </c>
      <c r="R655" s="5">
        <v>0</v>
      </c>
      <c r="S655" s="5">
        <v>120.00700000000001</v>
      </c>
      <c r="T655" s="5" t="s">
        <v>12</v>
      </c>
      <c r="U655" s="5" t="s">
        <v>12</v>
      </c>
      <c r="V655" s="5" t="s">
        <v>12</v>
      </c>
      <c r="W655" s="5">
        <v>5</v>
      </c>
      <c r="X655" s="5">
        <v>36.89</v>
      </c>
      <c r="Y655" s="5">
        <v>77</v>
      </c>
      <c r="Z655" s="5" t="s">
        <v>1910</v>
      </c>
      <c r="AA655" s="5" t="s">
        <v>2239</v>
      </c>
      <c r="AB655" s="5" t="s">
        <v>19</v>
      </c>
      <c r="AC655" s="5" t="s">
        <v>19</v>
      </c>
      <c r="AD655" s="5" t="s">
        <v>19</v>
      </c>
      <c r="AE655" s="5" t="s">
        <v>1695</v>
      </c>
      <c r="AF655" s="5" t="s">
        <v>12</v>
      </c>
      <c r="AG655" s="5"/>
      <c r="AH655" s="5"/>
      <c r="AI655" s="5"/>
      <c r="AJ655" s="5"/>
      <c r="AK655" s="5"/>
      <c r="AL655" s="5" t="s">
        <v>5325</v>
      </c>
      <c r="AM655" s="5" t="s">
        <v>5326</v>
      </c>
      <c r="AN655" s="5" t="s">
        <v>1671</v>
      </c>
      <c r="AO655" s="5" t="s">
        <v>115</v>
      </c>
      <c r="AP655" s="5" t="s">
        <v>114</v>
      </c>
      <c r="AQ655" s="5" t="s">
        <v>99</v>
      </c>
      <c r="AR655" s="5" t="s">
        <v>98</v>
      </c>
    </row>
    <row r="656" spans="1:44" ht="31.5" x14ac:dyDescent="0.25">
      <c r="A656" s="10">
        <v>46096</v>
      </c>
      <c r="B656" s="5" t="s">
        <v>831</v>
      </c>
      <c r="C656" s="5" t="s">
        <v>3006</v>
      </c>
      <c r="D656" s="5" t="s">
        <v>11</v>
      </c>
      <c r="E656" s="5" t="s">
        <v>8</v>
      </c>
      <c r="F656" s="5" t="s">
        <v>8</v>
      </c>
      <c r="G656" s="5" t="s">
        <v>5327</v>
      </c>
      <c r="H656" s="5" t="s">
        <v>5328</v>
      </c>
      <c r="I656" s="6" t="str">
        <f>HYPERLINK("http://maps.yandex.ru/?ll=37.42883,56.01217&amp;spn=0.011598,0.004531&amp;z=17&amp;l=map&amp;pt=37.42883,56.01217", "56.012177//37.42883")</f>
        <v>56.012177//37.42883</v>
      </c>
      <c r="J656" s="5" t="s">
        <v>56</v>
      </c>
      <c r="K656" s="6" t="str">
        <f>HYPERLINK("http://maps.yandex.ru/?ll=30.396204,59.89959&amp;spn=0.011598,0.004531&amp;z=17&amp;l=map&amp;pt=30.396204,59.89959", "59.899593//30.396204")</f>
        <v>59.899593//30.396204</v>
      </c>
      <c r="L656" s="5" t="s">
        <v>23</v>
      </c>
      <c r="M656" s="5" t="s">
        <v>1272</v>
      </c>
      <c r="N656" s="5" t="s">
        <v>3950</v>
      </c>
      <c r="O656" s="5" t="s">
        <v>1464</v>
      </c>
      <c r="P656" s="5">
        <v>29</v>
      </c>
      <c r="Q656" s="5">
        <v>62</v>
      </c>
      <c r="R656" s="5">
        <v>9</v>
      </c>
      <c r="S656" s="5">
        <v>547.73699999999997</v>
      </c>
      <c r="T656" s="5" t="s">
        <v>2025</v>
      </c>
      <c r="U656" s="5" t="s">
        <v>5329</v>
      </c>
      <c r="V656" s="5" t="s">
        <v>5330</v>
      </c>
      <c r="W656" s="5">
        <v>22.82</v>
      </c>
      <c r="X656" s="5">
        <v>78.739999999999995</v>
      </c>
      <c r="Y656" s="5">
        <v>119</v>
      </c>
      <c r="Z656" s="5" t="s">
        <v>2918</v>
      </c>
      <c r="AA656" s="5" t="s">
        <v>2544</v>
      </c>
      <c r="AB656" s="5" t="s">
        <v>1676</v>
      </c>
      <c r="AC656" s="5" t="s">
        <v>1673</v>
      </c>
      <c r="AD656" s="5" t="s">
        <v>19</v>
      </c>
      <c r="AE656" s="5" t="s">
        <v>1371</v>
      </c>
      <c r="AF656" s="5" t="s">
        <v>5331</v>
      </c>
      <c r="AG656" s="5">
        <v>200</v>
      </c>
      <c r="AH656" s="5">
        <v>3</v>
      </c>
      <c r="AI656" s="5">
        <v>197</v>
      </c>
      <c r="AJ656" s="5">
        <v>27.36</v>
      </c>
      <c r="AK656" s="5">
        <v>26.95</v>
      </c>
      <c r="AL656" s="5" t="s">
        <v>12</v>
      </c>
      <c r="AM656" s="5" t="s">
        <v>12</v>
      </c>
      <c r="AN656" s="5" t="s">
        <v>12</v>
      </c>
      <c r="AO656" s="5" t="s">
        <v>11</v>
      </c>
      <c r="AP656" s="5" t="s">
        <v>11</v>
      </c>
      <c r="AQ656" s="5" t="s">
        <v>18</v>
      </c>
      <c r="AR656" s="5" t="s">
        <v>17</v>
      </c>
    </row>
    <row r="657" spans="1:44" ht="15.75" x14ac:dyDescent="0.25">
      <c r="A657" s="10">
        <v>46096</v>
      </c>
      <c r="B657" s="5" t="s">
        <v>829</v>
      </c>
      <c r="C657" s="5" t="s">
        <v>3007</v>
      </c>
      <c r="D657" s="5" t="s">
        <v>11</v>
      </c>
      <c r="E657" s="5" t="s">
        <v>8</v>
      </c>
      <c r="F657" s="5" t="s">
        <v>8</v>
      </c>
      <c r="G657" s="5" t="s">
        <v>11</v>
      </c>
      <c r="H657" s="5" t="s">
        <v>11</v>
      </c>
      <c r="I657" s="6" t="str">
        <f>HYPERLINK("http://maps.yandex.ru/?ll=,&amp;spn=0.011598,0.004531&amp;z=17&amp;l=map&amp;pt=,", "")</f>
        <v/>
      </c>
      <c r="J657" s="5" t="s">
        <v>84</v>
      </c>
      <c r="K657" s="6" t="str">
        <f>HYPERLINK("http://maps.yandex.ru/?ll=,&amp;spn=0.011598,0.004531&amp;z=17&amp;l=map&amp;pt=,", "")</f>
        <v/>
      </c>
      <c r="L657" s="5" t="s">
        <v>84</v>
      </c>
      <c r="M657" s="5" t="s">
        <v>13</v>
      </c>
      <c r="N657" s="5" t="s">
        <v>58</v>
      </c>
      <c r="O657" s="5" t="s">
        <v>13</v>
      </c>
      <c r="P657" s="5">
        <v>0</v>
      </c>
      <c r="Q657" s="5">
        <v>100</v>
      </c>
      <c r="R657" s="5">
        <v>0</v>
      </c>
      <c r="S657" s="5">
        <v>0</v>
      </c>
      <c r="T657" s="5" t="s">
        <v>12</v>
      </c>
      <c r="U657" s="5" t="s">
        <v>12</v>
      </c>
      <c r="V657" s="5" t="s">
        <v>12</v>
      </c>
      <c r="W657" s="5">
        <v>0</v>
      </c>
      <c r="X657" s="5">
        <v>0</v>
      </c>
      <c r="Y657" s="5">
        <v>0</v>
      </c>
      <c r="Z657" s="5" t="s">
        <v>2006</v>
      </c>
      <c r="AA657" s="5" t="s">
        <v>1877</v>
      </c>
      <c r="AB657" s="5" t="s">
        <v>19</v>
      </c>
      <c r="AC657" s="5" t="s">
        <v>19</v>
      </c>
      <c r="AD657" s="5" t="s">
        <v>19</v>
      </c>
      <c r="AE657" s="5" t="s">
        <v>1673</v>
      </c>
      <c r="AF657" s="5" t="s">
        <v>12</v>
      </c>
      <c r="AG657" s="5"/>
      <c r="AH657" s="5"/>
      <c r="AI657" s="5"/>
      <c r="AJ657" s="5"/>
      <c r="AK657" s="5"/>
      <c r="AL657" s="5" t="s">
        <v>12</v>
      </c>
      <c r="AM657" s="5" t="s">
        <v>12</v>
      </c>
      <c r="AN657" s="5" t="s">
        <v>12</v>
      </c>
      <c r="AO657" s="5" t="s">
        <v>115</v>
      </c>
      <c r="AP657" s="5" t="s">
        <v>114</v>
      </c>
      <c r="AQ657" s="5" t="s">
        <v>99</v>
      </c>
      <c r="AR657" s="5" t="s">
        <v>98</v>
      </c>
    </row>
    <row r="658" spans="1:44" ht="31.5" x14ac:dyDescent="0.25">
      <c r="A658" s="10">
        <v>46096</v>
      </c>
      <c r="B658" s="5" t="s">
        <v>824</v>
      </c>
      <c r="C658" s="5" t="s">
        <v>3009</v>
      </c>
      <c r="D658" s="5" t="s">
        <v>11</v>
      </c>
      <c r="E658" s="5" t="s">
        <v>8</v>
      </c>
      <c r="F658" s="5" t="s">
        <v>8</v>
      </c>
      <c r="G658" s="5" t="s">
        <v>3103</v>
      </c>
      <c r="H658" s="5" t="s">
        <v>5332</v>
      </c>
      <c r="I658" s="6" t="str">
        <f>HYPERLINK("http://maps.yandex.ru/?ll=48.219597,53.1349&amp;spn=0.011598,0.004531&amp;z=17&amp;l=map&amp;pt=48.219597,53.1349", "53.13498//48.219597")</f>
        <v>53.13498//48.219597</v>
      </c>
      <c r="J658" s="5" t="s">
        <v>76</v>
      </c>
      <c r="K658" s="6" t="str">
        <f>HYPERLINK("http://maps.yandex.ru/?ll=50.15232,53.0855&amp;spn=0.011598,0.004531&amp;z=17&amp;l=map&amp;pt=50.15232,53.0855", "53.08558//50.15232")</f>
        <v>53.08558//50.15232</v>
      </c>
      <c r="L658" s="5" t="s">
        <v>76</v>
      </c>
      <c r="M658" s="5" t="s">
        <v>1000</v>
      </c>
      <c r="N658" s="5" t="s">
        <v>1380</v>
      </c>
      <c r="O658" s="5" t="s">
        <v>111</v>
      </c>
      <c r="P658" s="5">
        <v>4</v>
      </c>
      <c r="Q658" s="5">
        <v>31</v>
      </c>
      <c r="R658" s="5">
        <v>65</v>
      </c>
      <c r="S658" s="5">
        <v>103.7</v>
      </c>
      <c r="T658" s="5" t="s">
        <v>12</v>
      </c>
      <c r="U658" s="5" t="s">
        <v>12</v>
      </c>
      <c r="V658" s="5" t="s">
        <v>12</v>
      </c>
      <c r="W658" s="5">
        <v>4.32</v>
      </c>
      <c r="X658" s="5">
        <v>122</v>
      </c>
      <c r="Y658" s="5">
        <v>145</v>
      </c>
      <c r="Z658" s="5" t="s">
        <v>1545</v>
      </c>
      <c r="AA658" s="5" t="s">
        <v>2315</v>
      </c>
      <c r="AB658" s="5" t="s">
        <v>19</v>
      </c>
      <c r="AC658" s="5" t="s">
        <v>19</v>
      </c>
      <c r="AD658" s="5" t="s">
        <v>19</v>
      </c>
      <c r="AE658" s="5" t="s">
        <v>2203</v>
      </c>
      <c r="AF658" s="5" t="s">
        <v>12</v>
      </c>
      <c r="AG658" s="5"/>
      <c r="AH658" s="5"/>
      <c r="AI658" s="5"/>
      <c r="AJ658" s="5"/>
      <c r="AK658" s="5"/>
      <c r="AL658" s="5" t="s">
        <v>3010</v>
      </c>
      <c r="AM658" s="5" t="s">
        <v>5333</v>
      </c>
      <c r="AN658" s="5" t="s">
        <v>2195</v>
      </c>
      <c r="AO658" s="5" t="s">
        <v>115</v>
      </c>
      <c r="AP658" s="5" t="s">
        <v>114</v>
      </c>
      <c r="AQ658" s="5" t="s">
        <v>99</v>
      </c>
      <c r="AR658" s="5" t="s">
        <v>98</v>
      </c>
    </row>
    <row r="659" spans="1:44" ht="31.5" x14ac:dyDescent="0.25">
      <c r="A659" s="10">
        <v>46096</v>
      </c>
      <c r="B659" s="5" t="s">
        <v>822</v>
      </c>
      <c r="C659" s="5" t="s">
        <v>3011</v>
      </c>
      <c r="D659" s="5" t="s">
        <v>11</v>
      </c>
      <c r="E659" s="5" t="s">
        <v>0</v>
      </c>
      <c r="F659" s="5" t="s">
        <v>0</v>
      </c>
      <c r="G659" s="5" t="s">
        <v>5334</v>
      </c>
      <c r="H659" s="5" t="s">
        <v>5335</v>
      </c>
      <c r="I659" s="6" t="str">
        <f>HYPERLINK("http://maps.yandex.ru/?ll=55.926903,53.64342&amp;spn=0.011598,0.004531&amp;z=17&amp;l=map&amp;pt=55.926903,53.64342", "53.643425//55.926903")</f>
        <v>53.643425//55.926903</v>
      </c>
      <c r="J659" s="5" t="s">
        <v>34</v>
      </c>
      <c r="K659" s="6" t="str">
        <f>HYPERLINK("http://maps.yandex.ru/?ll=55.92688,53.64343&amp;spn=0.011598,0.004531&amp;z=17&amp;l=map&amp;pt=55.92688,53.64343", "53.643433//55.92688")</f>
        <v>53.643433//55.92688</v>
      </c>
      <c r="L659" s="5" t="s">
        <v>34</v>
      </c>
      <c r="M659" s="5" t="s">
        <v>13</v>
      </c>
      <c r="N659" s="5" t="s">
        <v>58</v>
      </c>
      <c r="O659" s="5" t="s">
        <v>13</v>
      </c>
      <c r="P659" s="5">
        <v>0</v>
      </c>
      <c r="Q659" s="5">
        <v>100</v>
      </c>
      <c r="R659" s="5">
        <v>0</v>
      </c>
      <c r="S659" s="5">
        <v>0</v>
      </c>
      <c r="T659" s="5" t="s">
        <v>12</v>
      </c>
      <c r="U659" s="5" t="s">
        <v>12</v>
      </c>
      <c r="V659" s="5" t="s">
        <v>12</v>
      </c>
      <c r="W659" s="5">
        <v>0</v>
      </c>
      <c r="X659" s="5">
        <v>0</v>
      </c>
      <c r="Y659" s="5">
        <v>4</v>
      </c>
      <c r="Z659" s="5" t="s">
        <v>2235</v>
      </c>
      <c r="AA659" s="5" t="s">
        <v>2297</v>
      </c>
      <c r="AB659" s="5" t="s">
        <v>19</v>
      </c>
      <c r="AC659" s="5" t="s">
        <v>19</v>
      </c>
      <c r="AD659" s="5" t="s">
        <v>19</v>
      </c>
      <c r="AE659" s="5" t="s">
        <v>1689</v>
      </c>
      <c r="AF659" s="5" t="s">
        <v>12</v>
      </c>
      <c r="AG659" s="5"/>
      <c r="AH659" s="5"/>
      <c r="AI659" s="5"/>
      <c r="AJ659" s="5"/>
      <c r="AK659" s="5"/>
      <c r="AL659" s="5" t="s">
        <v>5336</v>
      </c>
      <c r="AM659" s="5" t="s">
        <v>5336</v>
      </c>
      <c r="AN659" s="5" t="s">
        <v>19</v>
      </c>
      <c r="AO659" s="5" t="s">
        <v>83</v>
      </c>
      <c r="AP659" s="5" t="s">
        <v>82</v>
      </c>
      <c r="AQ659" s="5" t="s">
        <v>106</v>
      </c>
      <c r="AR659" s="5" t="s">
        <v>105</v>
      </c>
    </row>
    <row r="660" spans="1:44" ht="31.5" x14ac:dyDescent="0.25">
      <c r="A660" s="10">
        <v>46096</v>
      </c>
      <c r="B660" s="5" t="s">
        <v>821</v>
      </c>
      <c r="C660" s="5" t="s">
        <v>3012</v>
      </c>
      <c r="D660" s="5" t="s">
        <v>11</v>
      </c>
      <c r="E660" s="5" t="s">
        <v>0</v>
      </c>
      <c r="F660" s="5" t="s">
        <v>0</v>
      </c>
      <c r="G660" s="5" t="s">
        <v>5337</v>
      </c>
      <c r="H660" s="5" t="s">
        <v>5338</v>
      </c>
      <c r="I660" s="6" t="str">
        <f>HYPERLINK("http://maps.yandex.ru/?ll=30.64719,59.6682&amp;spn=0.011598,0.004531&amp;z=17&amp;l=map&amp;pt=30.64719,59.6682", "59.66827//30.64719")</f>
        <v>59.66827//30.64719</v>
      </c>
      <c r="J660" s="5" t="s">
        <v>22</v>
      </c>
      <c r="K660" s="6" t="str">
        <f>HYPERLINK("http://maps.yandex.ru/?ll=35.303036,57.18207&amp;spn=0.011598,0.004531&amp;z=17&amp;l=map&amp;pt=35.303036,57.18207", "57.182076//35.303036")</f>
        <v>57.182076//35.303036</v>
      </c>
      <c r="L660" s="5" t="s">
        <v>50</v>
      </c>
      <c r="M660" s="5" t="s">
        <v>1387</v>
      </c>
      <c r="N660" s="5" t="s">
        <v>622</v>
      </c>
      <c r="O660" s="5" t="s">
        <v>980</v>
      </c>
      <c r="P660" s="5">
        <v>32</v>
      </c>
      <c r="Q660" s="5">
        <v>46</v>
      </c>
      <c r="R660" s="5">
        <v>22</v>
      </c>
      <c r="S660" s="5">
        <v>475.29899999999998</v>
      </c>
      <c r="T660" s="5" t="s">
        <v>12</v>
      </c>
      <c r="U660" s="5" t="s">
        <v>12</v>
      </c>
      <c r="V660" s="5" t="s">
        <v>12</v>
      </c>
      <c r="W660" s="5">
        <v>19.8</v>
      </c>
      <c r="X660" s="5">
        <v>62.64</v>
      </c>
      <c r="Y660" s="5">
        <v>108</v>
      </c>
      <c r="Z660" s="5" t="s">
        <v>1559</v>
      </c>
      <c r="AA660" s="5" t="s">
        <v>1933</v>
      </c>
      <c r="AB660" s="5" t="s">
        <v>19</v>
      </c>
      <c r="AC660" s="5" t="s">
        <v>19</v>
      </c>
      <c r="AD660" s="5" t="s">
        <v>19</v>
      </c>
      <c r="AE660" s="5" t="s">
        <v>2331</v>
      </c>
      <c r="AF660" s="5" t="s">
        <v>12</v>
      </c>
      <c r="AG660" s="5"/>
      <c r="AH660" s="5"/>
      <c r="AI660" s="5"/>
      <c r="AJ660" s="5"/>
      <c r="AK660" s="5"/>
      <c r="AL660" s="5" t="s">
        <v>5339</v>
      </c>
      <c r="AM660" s="5" t="s">
        <v>3371</v>
      </c>
      <c r="AN660" s="5" t="s">
        <v>2303</v>
      </c>
      <c r="AO660" s="5" t="s">
        <v>69</v>
      </c>
      <c r="AP660" s="5" t="s">
        <v>68</v>
      </c>
      <c r="AQ660" s="5" t="s">
        <v>99</v>
      </c>
      <c r="AR660" s="5" t="s">
        <v>98</v>
      </c>
    </row>
    <row r="661" spans="1:44" ht="31.5" x14ac:dyDescent="0.25">
      <c r="A661" s="10">
        <v>46096</v>
      </c>
      <c r="B661" s="5" t="s">
        <v>820</v>
      </c>
      <c r="C661" s="5" t="s">
        <v>3013</v>
      </c>
      <c r="D661" s="5" t="s">
        <v>11</v>
      </c>
      <c r="E661" s="5" t="s">
        <v>8</v>
      </c>
      <c r="F661" s="5" t="s">
        <v>8</v>
      </c>
      <c r="G661" s="5" t="s">
        <v>5340</v>
      </c>
      <c r="H661" s="5" t="s">
        <v>5341</v>
      </c>
      <c r="I661" s="6" t="str">
        <f>HYPERLINK("http://maps.yandex.ru/?ll=39.681187,46.5817&amp;spn=0.011598,0.004531&amp;z=17&amp;l=map&amp;pt=39.681187,46.5817", "46.58174//39.681187")</f>
        <v>46.58174//39.681187</v>
      </c>
      <c r="J661" s="5" t="s">
        <v>88</v>
      </c>
      <c r="K661" s="6" t="str">
        <f>HYPERLINK("http://maps.yandex.ru/?ll=38.215546,52.93124&amp;spn=0.011598,0.004531&amp;z=17&amp;l=map&amp;pt=38.215546,52.93124", "52.931244//38.215546")</f>
        <v>52.931244//38.215546</v>
      </c>
      <c r="L661" s="5" t="s">
        <v>151</v>
      </c>
      <c r="M661" s="5" t="s">
        <v>5342</v>
      </c>
      <c r="N661" s="5" t="s">
        <v>351</v>
      </c>
      <c r="O661" s="5" t="s">
        <v>5343</v>
      </c>
      <c r="P661" s="5">
        <v>38</v>
      </c>
      <c r="Q661" s="5">
        <v>54</v>
      </c>
      <c r="R661" s="5">
        <v>8</v>
      </c>
      <c r="S661" s="5">
        <v>725.00599999999997</v>
      </c>
      <c r="T661" s="5" t="s">
        <v>3084</v>
      </c>
      <c r="U661" s="5" t="s">
        <v>5344</v>
      </c>
      <c r="V661" s="5" t="s">
        <v>5345</v>
      </c>
      <c r="W661" s="5">
        <v>30.21</v>
      </c>
      <c r="X661" s="5">
        <v>79.48</v>
      </c>
      <c r="Y661" s="5">
        <v>119</v>
      </c>
      <c r="Z661" s="5" t="s">
        <v>1469</v>
      </c>
      <c r="AA661" s="5" t="s">
        <v>1827</v>
      </c>
      <c r="AB661" s="5" t="s">
        <v>19</v>
      </c>
      <c r="AC661" s="5" t="s">
        <v>19</v>
      </c>
      <c r="AD661" s="5" t="s">
        <v>19</v>
      </c>
      <c r="AE661" s="5" t="s">
        <v>3834</v>
      </c>
      <c r="AF661" s="5" t="s">
        <v>5346</v>
      </c>
      <c r="AG661" s="5"/>
      <c r="AH661" s="5">
        <v>0</v>
      </c>
      <c r="AI661" s="5"/>
      <c r="AJ661" s="5">
        <v>0</v>
      </c>
      <c r="AK661" s="5">
        <v>0</v>
      </c>
      <c r="AL661" s="5" t="s">
        <v>12</v>
      </c>
      <c r="AM661" s="5" t="s">
        <v>12</v>
      </c>
      <c r="AN661" s="5" t="s">
        <v>12</v>
      </c>
      <c r="AO661" s="5" t="s">
        <v>11</v>
      </c>
      <c r="AP661" s="5" t="s">
        <v>11</v>
      </c>
      <c r="AQ661" s="5" t="s">
        <v>92</v>
      </c>
      <c r="AR661" s="5" t="s">
        <v>91</v>
      </c>
    </row>
    <row r="662" spans="1:44" ht="31.5" x14ac:dyDescent="0.25">
      <c r="A662" s="10">
        <v>46096</v>
      </c>
      <c r="B662" s="5" t="s">
        <v>819</v>
      </c>
      <c r="C662" s="5" t="s">
        <v>3014</v>
      </c>
      <c r="D662" s="5" t="s">
        <v>11</v>
      </c>
      <c r="E662" s="5" t="s">
        <v>6</v>
      </c>
      <c r="F662" s="5" t="s">
        <v>6</v>
      </c>
      <c r="G662" s="5" t="s">
        <v>5347</v>
      </c>
      <c r="H662" s="5" t="s">
        <v>5348</v>
      </c>
      <c r="I662" s="6" t="str">
        <f>HYPERLINK("http://maps.yandex.ru/?ll=43.888317,48.6761&amp;spn=0.011598,0.004531&amp;z=17&amp;l=map&amp;pt=43.888317,48.6761", "48.67619//43.888317")</f>
        <v>48.67619//43.888317</v>
      </c>
      <c r="J662" s="5" t="s">
        <v>95</v>
      </c>
      <c r="K662" s="6" t="str">
        <f>HYPERLINK("http://maps.yandex.ru/?ll=39.950462,47.3468&amp;spn=0.011598,0.004531&amp;z=17&amp;l=map&amp;pt=39.950462,47.3468", "47.34683//39.950462")</f>
        <v>47.34683//39.950462</v>
      </c>
      <c r="L662" s="5" t="s">
        <v>64</v>
      </c>
      <c r="M662" s="5" t="s">
        <v>218</v>
      </c>
      <c r="N662" s="5" t="s">
        <v>167</v>
      </c>
      <c r="O662" s="5" t="s">
        <v>1514</v>
      </c>
      <c r="P662" s="5">
        <v>25</v>
      </c>
      <c r="Q662" s="5">
        <v>62</v>
      </c>
      <c r="R662" s="5">
        <v>13</v>
      </c>
      <c r="S662" s="5">
        <v>425.35599999999999</v>
      </c>
      <c r="T662" s="5" t="s">
        <v>5349</v>
      </c>
      <c r="U662" s="5" t="s">
        <v>5350</v>
      </c>
      <c r="V662" s="5" t="s">
        <v>5351</v>
      </c>
      <c r="W662" s="5">
        <v>17.72</v>
      </c>
      <c r="X662" s="5">
        <v>72.09</v>
      </c>
      <c r="Y662" s="5">
        <v>149</v>
      </c>
      <c r="Z662" s="5" t="s">
        <v>2767</v>
      </c>
      <c r="AA662" s="5" t="s">
        <v>1595</v>
      </c>
      <c r="AB662" s="5" t="s">
        <v>5352</v>
      </c>
      <c r="AC662" s="5" t="s">
        <v>1673</v>
      </c>
      <c r="AD662" s="5" t="s">
        <v>19</v>
      </c>
      <c r="AE662" s="5" t="s">
        <v>1933</v>
      </c>
      <c r="AF662" s="5" t="s">
        <v>5353</v>
      </c>
      <c r="AG662" s="5"/>
      <c r="AH662" s="5">
        <v>0</v>
      </c>
      <c r="AI662" s="5"/>
      <c r="AJ662" s="5">
        <v>0</v>
      </c>
      <c r="AK662" s="5">
        <v>0</v>
      </c>
      <c r="AL662" s="5" t="s">
        <v>12</v>
      </c>
      <c r="AM662" s="5" t="s">
        <v>12</v>
      </c>
      <c r="AN662" s="5" t="s">
        <v>12</v>
      </c>
      <c r="AO662" s="5" t="s">
        <v>11</v>
      </c>
      <c r="AP662" s="5" t="s">
        <v>11</v>
      </c>
      <c r="AQ662" s="5" t="s">
        <v>92</v>
      </c>
      <c r="AR662" s="5" t="s">
        <v>91</v>
      </c>
    </row>
    <row r="663" spans="1:44" ht="31.5" x14ac:dyDescent="0.25">
      <c r="A663" s="10">
        <v>46096</v>
      </c>
      <c r="B663" s="5" t="s">
        <v>817</v>
      </c>
      <c r="C663" s="5" t="s">
        <v>3015</v>
      </c>
      <c r="D663" s="5" t="s">
        <v>11</v>
      </c>
      <c r="E663" s="5" t="s">
        <v>4</v>
      </c>
      <c r="F663" s="5" t="s">
        <v>4</v>
      </c>
      <c r="G663" s="5" t="s">
        <v>5354</v>
      </c>
      <c r="H663" s="5" t="s">
        <v>5355</v>
      </c>
      <c r="I663" s="6" t="str">
        <f>HYPERLINK("http://maps.yandex.ru/?ll=89.24654,56.11641&amp;spn=0.011598,0.004531&amp;z=17&amp;l=map&amp;pt=89.24654,56.11641", "56.116413//89.24654")</f>
        <v>56.116413//89.24654</v>
      </c>
      <c r="J663" s="5" t="s">
        <v>162</v>
      </c>
      <c r="K663" s="6" t="str">
        <f>HYPERLINK("http://maps.yandex.ru/?ll=92.80848,56.03063&amp;spn=0.011598,0.004531&amp;z=17&amp;l=map&amp;pt=92.80848,56.03063", "56.030636//92.80848")</f>
        <v>56.030636//92.80848</v>
      </c>
      <c r="L663" s="5" t="s">
        <v>162</v>
      </c>
      <c r="M663" s="5" t="s">
        <v>940</v>
      </c>
      <c r="N663" s="5" t="s">
        <v>5356</v>
      </c>
      <c r="O663" s="5" t="s">
        <v>13</v>
      </c>
      <c r="P663" s="5">
        <v>19</v>
      </c>
      <c r="Q663" s="5">
        <v>81</v>
      </c>
      <c r="R663" s="5">
        <v>0</v>
      </c>
      <c r="S663" s="5">
        <v>257.8</v>
      </c>
      <c r="T663" s="5" t="s">
        <v>1611</v>
      </c>
      <c r="U663" s="5" t="s">
        <v>5357</v>
      </c>
      <c r="V663" s="5" t="s">
        <v>5358</v>
      </c>
      <c r="W663" s="5">
        <v>10.74</v>
      </c>
      <c r="X663" s="5">
        <v>57.57</v>
      </c>
      <c r="Y663" s="5">
        <v>99</v>
      </c>
      <c r="Z663" s="5" t="s">
        <v>2005</v>
      </c>
      <c r="AA663" s="5" t="s">
        <v>3084</v>
      </c>
      <c r="AB663" s="5" t="s">
        <v>19</v>
      </c>
      <c r="AC663" s="5" t="s">
        <v>19</v>
      </c>
      <c r="AD663" s="5" t="s">
        <v>19</v>
      </c>
      <c r="AE663" s="5" t="s">
        <v>1959</v>
      </c>
      <c r="AF663" s="5" t="s">
        <v>5359</v>
      </c>
      <c r="AG663" s="5"/>
      <c r="AH663" s="5">
        <v>0</v>
      </c>
      <c r="AI663" s="5"/>
      <c r="AJ663" s="5">
        <v>0</v>
      </c>
      <c r="AK663" s="5">
        <v>0</v>
      </c>
      <c r="AL663" s="5" t="s">
        <v>12</v>
      </c>
      <c r="AM663" s="5" t="s">
        <v>12</v>
      </c>
      <c r="AN663" s="5" t="s">
        <v>12</v>
      </c>
      <c r="AO663" s="5" t="s">
        <v>11</v>
      </c>
      <c r="AP663" s="5" t="s">
        <v>11</v>
      </c>
      <c r="AQ663" s="5" t="s">
        <v>92</v>
      </c>
      <c r="AR663" s="5" t="s">
        <v>91</v>
      </c>
    </row>
    <row r="664" spans="1:44" ht="15.75" x14ac:dyDescent="0.25">
      <c r="A664" s="10">
        <v>46096</v>
      </c>
      <c r="B664" s="5" t="s">
        <v>816</v>
      </c>
      <c r="C664" s="5" t="s">
        <v>3016</v>
      </c>
      <c r="D664" s="5" t="s">
        <v>11</v>
      </c>
      <c r="E664" s="5" t="s">
        <v>6</v>
      </c>
      <c r="F664" s="5" t="s">
        <v>6</v>
      </c>
      <c r="G664" s="5" t="s">
        <v>5360</v>
      </c>
      <c r="H664" s="5" t="s">
        <v>5361</v>
      </c>
      <c r="I664" s="6" t="str">
        <f>HYPERLINK("http://maps.yandex.ru/?ll=51.00273,55.644&amp;spn=0.011598,0.004531&amp;z=17&amp;l=map&amp;pt=51.00273,55.644", "55.6441//51.00273")</f>
        <v>55.6441//51.00273</v>
      </c>
      <c r="J664" s="5" t="s">
        <v>28</v>
      </c>
      <c r="K664" s="6" t="str">
        <f>HYPERLINK("http://maps.yandex.ru/?ll=39.89008,55.9968&amp;spn=0.011598,0.004531&amp;z=17&amp;l=map&amp;pt=39.89008,55.9968", "55.99681//39.89008")</f>
        <v>55.99681//39.89008</v>
      </c>
      <c r="L664" s="5" t="s">
        <v>49</v>
      </c>
      <c r="M664" s="5" t="s">
        <v>1470</v>
      </c>
      <c r="N664" s="5" t="s">
        <v>3933</v>
      </c>
      <c r="O664" s="5" t="s">
        <v>449</v>
      </c>
      <c r="P664" s="5">
        <v>45</v>
      </c>
      <c r="Q664" s="5">
        <v>53</v>
      </c>
      <c r="R664" s="5">
        <v>2</v>
      </c>
      <c r="S664" s="5">
        <v>797.21400000000006</v>
      </c>
      <c r="T664" s="5" t="s">
        <v>2143</v>
      </c>
      <c r="U664" s="5" t="s">
        <v>5362</v>
      </c>
      <c r="V664" s="5" t="s">
        <v>5363</v>
      </c>
      <c r="W664" s="5">
        <v>33.22</v>
      </c>
      <c r="X664" s="5">
        <v>73.98</v>
      </c>
      <c r="Y664" s="5">
        <v>109</v>
      </c>
      <c r="Z664" s="5" t="s">
        <v>3017</v>
      </c>
      <c r="AA664" s="5" t="s">
        <v>5364</v>
      </c>
      <c r="AB664" s="5" t="s">
        <v>1515</v>
      </c>
      <c r="AC664" s="5" t="s">
        <v>1673</v>
      </c>
      <c r="AD664" s="5" t="s">
        <v>19</v>
      </c>
      <c r="AE664" s="5" t="s">
        <v>2149</v>
      </c>
      <c r="AF664" s="5" t="s">
        <v>5365</v>
      </c>
      <c r="AG664" s="5"/>
      <c r="AH664" s="5">
        <v>0</v>
      </c>
      <c r="AI664" s="5"/>
      <c r="AJ664" s="5">
        <v>0</v>
      </c>
      <c r="AK664" s="5">
        <v>0</v>
      </c>
      <c r="AL664" s="5" t="s">
        <v>12</v>
      </c>
      <c r="AM664" s="5" t="s">
        <v>12</v>
      </c>
      <c r="AN664" s="5" t="s">
        <v>12</v>
      </c>
      <c r="AO664" s="5" t="s">
        <v>11</v>
      </c>
      <c r="AP664" s="5" t="s">
        <v>11</v>
      </c>
      <c r="AQ664" s="5" t="s">
        <v>92</v>
      </c>
      <c r="AR664" s="5" t="s">
        <v>91</v>
      </c>
    </row>
    <row r="665" spans="1:44" ht="31.5" x14ac:dyDescent="0.25">
      <c r="A665" s="10">
        <v>46096</v>
      </c>
      <c r="B665" s="5" t="s">
        <v>815</v>
      </c>
      <c r="C665" s="5" t="s">
        <v>3020</v>
      </c>
      <c r="D665" s="5" t="s">
        <v>11</v>
      </c>
      <c r="E665" s="5" t="s">
        <v>7</v>
      </c>
      <c r="F665" s="5" t="s">
        <v>7</v>
      </c>
      <c r="G665" s="5" t="s">
        <v>3796</v>
      </c>
      <c r="H665" s="5" t="s">
        <v>5366</v>
      </c>
      <c r="I665" s="6" t="str">
        <f>HYPERLINK("http://maps.yandex.ru/?ll=44.821247,48.7776&amp;spn=0.011598,0.004531&amp;z=17&amp;l=map&amp;pt=44.821247,48.7776", "48.77766//44.821247")</f>
        <v>48.77766//44.821247</v>
      </c>
      <c r="J665" s="5" t="s">
        <v>95</v>
      </c>
      <c r="K665" s="6" t="str">
        <f>HYPERLINK("http://maps.yandex.ru/?ll=41.76129,51.4058&amp;spn=0.011598,0.004531&amp;z=17&amp;l=map&amp;pt=41.76129,51.4058", "51.40586//41.76129")</f>
        <v>51.40586//41.76129</v>
      </c>
      <c r="L665" s="5" t="s">
        <v>101</v>
      </c>
      <c r="M665" s="5" t="s">
        <v>4534</v>
      </c>
      <c r="N665" s="5" t="s">
        <v>955</v>
      </c>
      <c r="O665" s="5" t="s">
        <v>1420</v>
      </c>
      <c r="P665" s="5">
        <v>24</v>
      </c>
      <c r="Q665" s="5">
        <v>39</v>
      </c>
      <c r="R665" s="5">
        <v>37</v>
      </c>
      <c r="S665" s="5">
        <v>412.45</v>
      </c>
      <c r="T665" s="5" t="s">
        <v>3650</v>
      </c>
      <c r="U665" s="5" t="s">
        <v>5367</v>
      </c>
      <c r="V665" s="5" t="s">
        <v>5368</v>
      </c>
      <c r="W665" s="5">
        <v>17.190000000000001</v>
      </c>
      <c r="X665" s="5">
        <v>73.06</v>
      </c>
      <c r="Y665" s="5">
        <v>107</v>
      </c>
      <c r="Z665" s="5" t="s">
        <v>2862</v>
      </c>
      <c r="AA665" s="5" t="s">
        <v>882</v>
      </c>
      <c r="AB665" s="5" t="s">
        <v>19</v>
      </c>
      <c r="AC665" s="5" t="s">
        <v>19</v>
      </c>
      <c r="AD665" s="5" t="s">
        <v>19</v>
      </c>
      <c r="AE665" s="5" t="s">
        <v>1540</v>
      </c>
      <c r="AF665" s="5" t="s">
        <v>5369</v>
      </c>
      <c r="AG665" s="5"/>
      <c r="AH665" s="5">
        <v>0</v>
      </c>
      <c r="AI665" s="5"/>
      <c r="AJ665" s="5">
        <v>0</v>
      </c>
      <c r="AK665" s="5">
        <v>0</v>
      </c>
      <c r="AL665" s="5" t="s">
        <v>12</v>
      </c>
      <c r="AM665" s="5" t="s">
        <v>12</v>
      </c>
      <c r="AN665" s="5" t="s">
        <v>12</v>
      </c>
      <c r="AO665" s="5" t="s">
        <v>11</v>
      </c>
      <c r="AP665" s="5" t="s">
        <v>11</v>
      </c>
      <c r="AQ665" s="5" t="s">
        <v>92</v>
      </c>
      <c r="AR665" s="5" t="s">
        <v>91</v>
      </c>
    </row>
    <row r="666" spans="1:44" ht="31.5" x14ac:dyDescent="0.25">
      <c r="A666" s="10">
        <v>46096</v>
      </c>
      <c r="B666" s="5" t="s">
        <v>813</v>
      </c>
      <c r="C666" s="5" t="s">
        <v>3021</v>
      </c>
      <c r="D666" s="5" t="s">
        <v>11</v>
      </c>
      <c r="E666" s="5" t="s">
        <v>4</v>
      </c>
      <c r="F666" s="5" t="s">
        <v>4</v>
      </c>
      <c r="G666" s="5" t="s">
        <v>5370</v>
      </c>
      <c r="H666" s="5" t="s">
        <v>5371</v>
      </c>
      <c r="I666" s="6" t="str">
        <f>HYPERLINK("http://maps.yandex.ru/?ll=46.571445,53.08817&amp;spn=0.011598,0.004531&amp;z=17&amp;l=map&amp;pt=46.571445,53.08817", "53.088177//46.571445")</f>
        <v>53.088177//46.571445</v>
      </c>
      <c r="J666" s="5" t="s">
        <v>94</v>
      </c>
      <c r="K666" s="6" t="str">
        <f>HYPERLINK("http://maps.yandex.ru/?ll=54.178574,51.8611&amp;spn=0.011598,0.004531&amp;z=17&amp;l=map&amp;pt=54.178574,51.8611", "51.86116//54.178574")</f>
        <v>51.86116//54.178574</v>
      </c>
      <c r="L666" s="5" t="s">
        <v>300</v>
      </c>
      <c r="M666" s="5" t="s">
        <v>5275</v>
      </c>
      <c r="N666" s="5" t="s">
        <v>983</v>
      </c>
      <c r="O666" s="5" t="s">
        <v>1153</v>
      </c>
      <c r="P666" s="5">
        <v>31</v>
      </c>
      <c r="Q666" s="5">
        <v>53</v>
      </c>
      <c r="R666" s="5">
        <v>16</v>
      </c>
      <c r="S666" s="5">
        <v>505.97500000000002</v>
      </c>
      <c r="T666" s="5" t="s">
        <v>5372</v>
      </c>
      <c r="U666" s="5" t="s">
        <v>5373</v>
      </c>
      <c r="V666" s="5" t="s">
        <v>5374</v>
      </c>
      <c r="W666" s="5">
        <v>21.08</v>
      </c>
      <c r="X666" s="5">
        <v>68.13</v>
      </c>
      <c r="Y666" s="5">
        <v>138</v>
      </c>
      <c r="Z666" s="5" t="s">
        <v>1466</v>
      </c>
      <c r="AA666" s="5" t="s">
        <v>1984</v>
      </c>
      <c r="AB666" s="5" t="s">
        <v>2408</v>
      </c>
      <c r="AC666" s="5" t="s">
        <v>1673</v>
      </c>
      <c r="AD666" s="5" t="s">
        <v>19</v>
      </c>
      <c r="AE666" s="5" t="s">
        <v>4094</v>
      </c>
      <c r="AF666" s="5" t="s">
        <v>5375</v>
      </c>
      <c r="AG666" s="5">
        <v>239</v>
      </c>
      <c r="AH666" s="5">
        <v>2</v>
      </c>
      <c r="AI666" s="5">
        <v>237</v>
      </c>
      <c r="AJ666" s="5">
        <v>35.83</v>
      </c>
      <c r="AK666" s="5">
        <v>35.53</v>
      </c>
      <c r="AL666" s="5" t="s">
        <v>12</v>
      </c>
      <c r="AM666" s="5" t="s">
        <v>12</v>
      </c>
      <c r="AN666" s="5" t="s">
        <v>12</v>
      </c>
      <c r="AO666" s="5" t="s">
        <v>11</v>
      </c>
      <c r="AP666" s="5" t="s">
        <v>11</v>
      </c>
      <c r="AQ666" s="5" t="s">
        <v>18</v>
      </c>
      <c r="AR666" s="5" t="s">
        <v>17</v>
      </c>
    </row>
    <row r="667" spans="1:44" ht="31.5" x14ac:dyDescent="0.25">
      <c r="A667" s="10">
        <v>46096</v>
      </c>
      <c r="B667" s="5" t="s">
        <v>812</v>
      </c>
      <c r="C667" s="5" t="s">
        <v>3022</v>
      </c>
      <c r="D667" s="5" t="s">
        <v>11</v>
      </c>
      <c r="E667" s="5" t="s">
        <v>5</v>
      </c>
      <c r="F667" s="5" t="s">
        <v>5</v>
      </c>
      <c r="G667" s="5" t="s">
        <v>5376</v>
      </c>
      <c r="H667" s="5" t="s">
        <v>5377</v>
      </c>
      <c r="I667" s="6" t="str">
        <f>HYPERLINK("http://maps.yandex.ru/?ll=91.400635,56.1849&amp;spn=0.011598,0.004531&amp;z=17&amp;l=map&amp;pt=91.400635,56.1849", "56.18491//91.400635")</f>
        <v>56.18491//91.400635</v>
      </c>
      <c r="J667" s="5" t="s">
        <v>162</v>
      </c>
      <c r="K667" s="6" t="str">
        <f>HYPERLINK("http://maps.yandex.ru/?ll=92.97713,56.19920&amp;spn=0.011598,0.004531&amp;z=17&amp;l=map&amp;pt=92.97713,56.19920", "56.199207//92.97713")</f>
        <v>56.199207//92.97713</v>
      </c>
      <c r="L667" s="5" t="s">
        <v>162</v>
      </c>
      <c r="M667" s="5" t="s">
        <v>182</v>
      </c>
      <c r="N667" s="5" t="s">
        <v>1068</v>
      </c>
      <c r="O667" s="5" t="s">
        <v>13</v>
      </c>
      <c r="P667" s="5">
        <v>10</v>
      </c>
      <c r="Q667" s="5">
        <v>90</v>
      </c>
      <c r="R667" s="5">
        <v>0</v>
      </c>
      <c r="S667" s="5">
        <v>115.95099999999999</v>
      </c>
      <c r="T667" s="5" t="s">
        <v>12</v>
      </c>
      <c r="U667" s="5" t="s">
        <v>12</v>
      </c>
      <c r="V667" s="5" t="s">
        <v>12</v>
      </c>
      <c r="W667" s="5">
        <v>4.83</v>
      </c>
      <c r="X667" s="5">
        <v>49.88</v>
      </c>
      <c r="Y667" s="5">
        <v>87</v>
      </c>
      <c r="Z667" s="5" t="s">
        <v>1764</v>
      </c>
      <c r="AA667" s="5" t="s">
        <v>2029</v>
      </c>
      <c r="AB667" s="5" t="s">
        <v>2487</v>
      </c>
      <c r="AC667" s="5" t="s">
        <v>1673</v>
      </c>
      <c r="AD667" s="5" t="s">
        <v>19</v>
      </c>
      <c r="AE667" s="5" t="s">
        <v>2361</v>
      </c>
      <c r="AF667" s="5" t="s">
        <v>12</v>
      </c>
      <c r="AG667" s="5"/>
      <c r="AH667" s="5"/>
      <c r="AI667" s="5"/>
      <c r="AJ667" s="5"/>
      <c r="AK667" s="5"/>
      <c r="AL667" s="5" t="s">
        <v>3023</v>
      </c>
      <c r="AM667" s="5" t="s">
        <v>5378</v>
      </c>
      <c r="AN667" s="5" t="s">
        <v>2303</v>
      </c>
      <c r="AO667" s="5" t="s">
        <v>69</v>
      </c>
      <c r="AP667" s="5" t="s">
        <v>68</v>
      </c>
      <c r="AQ667" s="5" t="s">
        <v>67</v>
      </c>
      <c r="AR667" s="5" t="s">
        <v>66</v>
      </c>
    </row>
    <row r="668" spans="1:44" ht="31.5" x14ac:dyDescent="0.25">
      <c r="A668" s="10">
        <v>46096</v>
      </c>
      <c r="B668" s="5" t="s">
        <v>811</v>
      </c>
      <c r="C668" s="5" t="s">
        <v>3024</v>
      </c>
      <c r="D668" s="5" t="s">
        <v>11</v>
      </c>
      <c r="E668" s="5" t="s">
        <v>1</v>
      </c>
      <c r="F668" s="5" t="s">
        <v>1</v>
      </c>
      <c r="G668" s="5" t="s">
        <v>5379</v>
      </c>
      <c r="H668" s="5" t="s">
        <v>5380</v>
      </c>
      <c r="I668" s="6" t="str">
        <f>HYPERLINK("http://maps.yandex.ru/?ll=39.996376,47.6156&amp;spn=0.011598,0.004531&amp;z=17&amp;l=map&amp;pt=39.996376,47.6156", "47.61567//39.996376")</f>
        <v>47.61567//39.996376</v>
      </c>
      <c r="J668" s="5" t="s">
        <v>64</v>
      </c>
      <c r="K668" s="6" t="str">
        <f>HYPERLINK("http://maps.yandex.ru/?ll=38.180264,53.30647&amp;spn=0.011598,0.004531&amp;z=17&amp;l=map&amp;pt=38.180264,53.30647", "53.306477//38.180264")</f>
        <v>53.306477//38.180264</v>
      </c>
      <c r="L668" s="5" t="s">
        <v>168</v>
      </c>
      <c r="M668" s="5" t="s">
        <v>599</v>
      </c>
      <c r="N668" s="5" t="s">
        <v>3839</v>
      </c>
      <c r="O668" s="5" t="s">
        <v>182</v>
      </c>
      <c r="P668" s="5">
        <v>30</v>
      </c>
      <c r="Q668" s="5">
        <v>60</v>
      </c>
      <c r="R668" s="5">
        <v>10</v>
      </c>
      <c r="S668" s="5">
        <v>566.03499999999997</v>
      </c>
      <c r="T668" s="5" t="s">
        <v>2596</v>
      </c>
      <c r="U668" s="5" t="s">
        <v>5381</v>
      </c>
      <c r="V668" s="5" t="s">
        <v>5382</v>
      </c>
      <c r="W668" s="5">
        <v>23.59</v>
      </c>
      <c r="X668" s="5">
        <v>77.34</v>
      </c>
      <c r="Y668" s="5">
        <v>108</v>
      </c>
      <c r="Z668" s="5" t="s">
        <v>2824</v>
      </c>
      <c r="AA668" s="5" t="s">
        <v>2921</v>
      </c>
      <c r="AB668" s="5" t="s">
        <v>19</v>
      </c>
      <c r="AC668" s="5" t="s">
        <v>19</v>
      </c>
      <c r="AD668" s="5" t="s">
        <v>19</v>
      </c>
      <c r="AE668" s="5" t="s">
        <v>3560</v>
      </c>
      <c r="AF668" s="5" t="s">
        <v>5383</v>
      </c>
      <c r="AG668" s="5">
        <v>237</v>
      </c>
      <c r="AH668" s="5">
        <v>3</v>
      </c>
      <c r="AI668" s="5">
        <v>234</v>
      </c>
      <c r="AJ668" s="5">
        <v>34.9</v>
      </c>
      <c r="AK668" s="5">
        <v>34.46</v>
      </c>
      <c r="AL668" s="5" t="s">
        <v>12</v>
      </c>
      <c r="AM668" s="5" t="s">
        <v>12</v>
      </c>
      <c r="AN668" s="5" t="s">
        <v>12</v>
      </c>
      <c r="AO668" s="5" t="s">
        <v>11</v>
      </c>
      <c r="AP668" s="5" t="s">
        <v>11</v>
      </c>
      <c r="AQ668" s="5" t="s">
        <v>53</v>
      </c>
      <c r="AR668" s="5" t="s">
        <v>52</v>
      </c>
    </row>
    <row r="669" spans="1:44" ht="31.5" x14ac:dyDescent="0.25">
      <c r="A669" s="10">
        <v>46096</v>
      </c>
      <c r="B669" s="5" t="s">
        <v>809</v>
      </c>
      <c r="C669" s="5" t="s">
        <v>3025</v>
      </c>
      <c r="D669" s="5" t="s">
        <v>11</v>
      </c>
      <c r="E669" s="5" t="s">
        <v>7</v>
      </c>
      <c r="F669" s="5" t="s">
        <v>7</v>
      </c>
      <c r="G669" s="5" t="s">
        <v>5384</v>
      </c>
      <c r="H669" s="5" t="s">
        <v>5385</v>
      </c>
      <c r="I669" s="6" t="str">
        <f>HYPERLINK("http://maps.yandex.ru/?ll=67.36951,55.29905&amp;spn=0.011598,0.004531&amp;z=17&amp;l=map&amp;pt=67.36951,55.29905", "55.299057//67.36951")</f>
        <v>55.299057//67.36951</v>
      </c>
      <c r="J669" s="5" t="s">
        <v>361</v>
      </c>
      <c r="K669" s="6" t="str">
        <f>HYPERLINK("http://maps.yandex.ru/?ll=73.47149,54.994&amp;spn=0.011598,0.004531&amp;z=17&amp;l=map&amp;pt=73.47149,54.994", "54.9949//73.47149")</f>
        <v>54.9949//73.47149</v>
      </c>
      <c r="L669" s="5" t="s">
        <v>190</v>
      </c>
      <c r="M669" s="5" t="s">
        <v>299</v>
      </c>
      <c r="N669" s="5" t="s">
        <v>298</v>
      </c>
      <c r="O669" s="5" t="s">
        <v>13</v>
      </c>
      <c r="P669" s="5">
        <v>32</v>
      </c>
      <c r="Q669" s="5">
        <v>68</v>
      </c>
      <c r="R669" s="5">
        <v>0</v>
      </c>
      <c r="S669" s="5">
        <v>526.17200000000003</v>
      </c>
      <c r="T669" s="5" t="s">
        <v>276</v>
      </c>
      <c r="U669" s="5" t="s">
        <v>5386</v>
      </c>
      <c r="V669" s="5" t="s">
        <v>5387</v>
      </c>
      <c r="W669" s="5">
        <v>21.92</v>
      </c>
      <c r="X669" s="5">
        <v>69.08</v>
      </c>
      <c r="Y669" s="5">
        <v>95</v>
      </c>
      <c r="Z669" s="5" t="s">
        <v>12</v>
      </c>
      <c r="AA669" s="5" t="s">
        <v>12</v>
      </c>
      <c r="AB669" s="5" t="s">
        <v>19</v>
      </c>
      <c r="AC669" s="5" t="s">
        <v>19</v>
      </c>
      <c r="AD669" s="5" t="s">
        <v>19</v>
      </c>
      <c r="AE669" s="5" t="s">
        <v>12</v>
      </c>
      <c r="AF669" s="5" t="s">
        <v>12</v>
      </c>
      <c r="AG669" s="5">
        <v>163</v>
      </c>
      <c r="AH669" s="5">
        <v>4</v>
      </c>
      <c r="AI669" s="5">
        <v>159</v>
      </c>
      <c r="AJ669" s="5">
        <v>30.99</v>
      </c>
      <c r="AK669" s="5">
        <v>30.23</v>
      </c>
      <c r="AL669" s="5" t="s">
        <v>12</v>
      </c>
      <c r="AM669" s="5" t="s">
        <v>12</v>
      </c>
      <c r="AN669" s="5" t="s">
        <v>12</v>
      </c>
      <c r="AO669" s="5" t="s">
        <v>11</v>
      </c>
      <c r="AP669" s="5" t="s">
        <v>11</v>
      </c>
      <c r="AQ669" s="5" t="s">
        <v>37</v>
      </c>
      <c r="AR669" s="5" t="s">
        <v>36</v>
      </c>
    </row>
    <row r="670" spans="1:44" ht="31.5" x14ac:dyDescent="0.25">
      <c r="A670" s="10">
        <v>46096</v>
      </c>
      <c r="B670" s="5" t="s">
        <v>808</v>
      </c>
      <c r="C670" s="5" t="s">
        <v>3026</v>
      </c>
      <c r="D670" s="5" t="s">
        <v>11</v>
      </c>
      <c r="E670" s="5" t="s">
        <v>5</v>
      </c>
      <c r="F670" s="5" t="s">
        <v>5</v>
      </c>
      <c r="G670" s="5" t="s">
        <v>5388</v>
      </c>
      <c r="H670" s="5" t="s">
        <v>5389</v>
      </c>
      <c r="I670" s="6" t="str">
        <f>HYPERLINK("http://maps.yandex.ru/?ll=43.35155,53.76810&amp;spn=0.011598,0.004531&amp;z=17&amp;l=map&amp;pt=43.35155,53.76810", "53.768105//43.35155")</f>
        <v>53.768105//43.35155</v>
      </c>
      <c r="J670" s="5" t="s">
        <v>94</v>
      </c>
      <c r="K670" s="6" t="str">
        <f>HYPERLINK("http://maps.yandex.ru/?ll=37.974575,56.1248&amp;spn=0.011598,0.004531&amp;z=17&amp;l=map&amp;pt=37.974575,56.1248", "56.12484//37.974575")</f>
        <v>56.12484//37.974575</v>
      </c>
      <c r="L670" s="5" t="s">
        <v>56</v>
      </c>
      <c r="M670" s="5" t="s">
        <v>415</v>
      </c>
      <c r="N670" s="5" t="s">
        <v>1391</v>
      </c>
      <c r="O670" s="5" t="s">
        <v>254</v>
      </c>
      <c r="P670" s="5">
        <v>38</v>
      </c>
      <c r="Q670" s="5">
        <v>30</v>
      </c>
      <c r="R670" s="5">
        <v>31</v>
      </c>
      <c r="S670" s="5">
        <v>625.73599999999999</v>
      </c>
      <c r="T670" s="5" t="s">
        <v>5390</v>
      </c>
      <c r="U670" s="5" t="s">
        <v>5391</v>
      </c>
      <c r="V670" s="5" t="s">
        <v>5392</v>
      </c>
      <c r="W670" s="5">
        <v>26.07</v>
      </c>
      <c r="X670" s="5">
        <v>68.11</v>
      </c>
      <c r="Y670" s="5">
        <v>137</v>
      </c>
      <c r="Z670" s="5" t="s">
        <v>157</v>
      </c>
      <c r="AA670" s="5" t="s">
        <v>1823</v>
      </c>
      <c r="AB670" s="5" t="s">
        <v>19</v>
      </c>
      <c r="AC670" s="5" t="s">
        <v>19</v>
      </c>
      <c r="AD670" s="5" t="s">
        <v>19</v>
      </c>
      <c r="AE670" s="5" t="s">
        <v>1530</v>
      </c>
      <c r="AF670" s="5" t="s">
        <v>5393</v>
      </c>
      <c r="AG670" s="5">
        <v>178</v>
      </c>
      <c r="AH670" s="5">
        <v>1</v>
      </c>
      <c r="AI670" s="5">
        <v>177</v>
      </c>
      <c r="AJ670" s="5">
        <v>6.3</v>
      </c>
      <c r="AK670" s="5">
        <v>6.27</v>
      </c>
      <c r="AL670" s="5" t="s">
        <v>12</v>
      </c>
      <c r="AM670" s="5" t="s">
        <v>12</v>
      </c>
      <c r="AN670" s="5" t="s">
        <v>12</v>
      </c>
      <c r="AO670" s="5" t="s">
        <v>11</v>
      </c>
      <c r="AP670" s="5" t="s">
        <v>11</v>
      </c>
      <c r="AQ670" s="5" t="s">
        <v>53</v>
      </c>
      <c r="AR670" s="5" t="s">
        <v>52</v>
      </c>
    </row>
    <row r="671" spans="1:44" ht="31.5" x14ac:dyDescent="0.25">
      <c r="A671" s="10">
        <v>46096</v>
      </c>
      <c r="B671" s="5" t="s">
        <v>806</v>
      </c>
      <c r="C671" s="5" t="s">
        <v>3027</v>
      </c>
      <c r="D671" s="5" t="s">
        <v>11</v>
      </c>
      <c r="E671" s="5" t="s">
        <v>1</v>
      </c>
      <c r="F671" s="5" t="s">
        <v>1</v>
      </c>
      <c r="G671" s="5" t="s">
        <v>3103</v>
      </c>
      <c r="H671" s="5" t="s">
        <v>3121</v>
      </c>
      <c r="I671" s="6" t="str">
        <f>HYPERLINK("http://maps.yandex.ru/?ll=37.22591,55.77589&amp;spn=0.011598,0.004531&amp;z=17&amp;l=map&amp;pt=37.22591,55.77589", "55.775894//37.22591")</f>
        <v>55.775894//37.22591</v>
      </c>
      <c r="J671" s="5" t="s">
        <v>56</v>
      </c>
      <c r="K671" s="6" t="str">
        <f>HYPERLINK("http://maps.yandex.ru/?ll=37.47932,55.9586&amp;spn=0.011598,0.004531&amp;z=17&amp;l=map&amp;pt=37.47932,55.9586", "55.95867//37.47932")</f>
        <v>55.95867//37.47932</v>
      </c>
      <c r="L671" s="5" t="s">
        <v>56</v>
      </c>
      <c r="M671" s="5" t="s">
        <v>4179</v>
      </c>
      <c r="N671" s="5" t="s">
        <v>420</v>
      </c>
      <c r="O671" s="5" t="s">
        <v>13</v>
      </c>
      <c r="P671" s="5">
        <v>8</v>
      </c>
      <c r="Q671" s="5">
        <v>92</v>
      </c>
      <c r="R671" s="5">
        <v>0</v>
      </c>
      <c r="S671" s="5">
        <v>47.526000000000003</v>
      </c>
      <c r="T671" s="5" t="s">
        <v>1720</v>
      </c>
      <c r="U671" s="5" t="s">
        <v>3028</v>
      </c>
      <c r="V671" s="5" t="s">
        <v>5394</v>
      </c>
      <c r="W671" s="5">
        <v>1.98</v>
      </c>
      <c r="X671" s="5">
        <v>24.51</v>
      </c>
      <c r="Y671" s="5">
        <v>112</v>
      </c>
      <c r="Z671" s="5" t="s">
        <v>5395</v>
      </c>
      <c r="AA671" s="5" t="s">
        <v>4862</v>
      </c>
      <c r="AB671" s="5" t="s">
        <v>19</v>
      </c>
      <c r="AC671" s="5" t="s">
        <v>19</v>
      </c>
      <c r="AD671" s="5" t="s">
        <v>19</v>
      </c>
      <c r="AE671" s="5" t="s">
        <v>1718</v>
      </c>
      <c r="AF671" s="5" t="s">
        <v>5396</v>
      </c>
      <c r="AG671" s="5">
        <v>22</v>
      </c>
      <c r="AH671" s="5">
        <v>13</v>
      </c>
      <c r="AI671" s="5">
        <v>9</v>
      </c>
      <c r="AJ671" s="5">
        <v>366.67</v>
      </c>
      <c r="AK671" s="5">
        <v>150</v>
      </c>
      <c r="AL671" s="5" t="s">
        <v>12</v>
      </c>
      <c r="AM671" s="5" t="s">
        <v>12</v>
      </c>
      <c r="AN671" s="5" t="s">
        <v>12</v>
      </c>
      <c r="AO671" s="5" t="s">
        <v>11</v>
      </c>
      <c r="AP671" s="5" t="s">
        <v>11</v>
      </c>
      <c r="AQ671" s="5" t="s">
        <v>53</v>
      </c>
      <c r="AR671" s="5" t="s">
        <v>52</v>
      </c>
    </row>
    <row r="672" spans="1:44" ht="31.5" x14ac:dyDescent="0.25">
      <c r="A672" s="10">
        <v>46096</v>
      </c>
      <c r="B672" s="5" t="s">
        <v>805</v>
      </c>
      <c r="C672" s="5" t="s">
        <v>3029</v>
      </c>
      <c r="D672" s="5" t="s">
        <v>11</v>
      </c>
      <c r="E672" s="5" t="s">
        <v>3</v>
      </c>
      <c r="F672" s="5" t="s">
        <v>3</v>
      </c>
      <c r="G672" s="5" t="s">
        <v>3103</v>
      </c>
      <c r="H672" s="5" t="s">
        <v>5397</v>
      </c>
      <c r="I672" s="6" t="str">
        <f>HYPERLINK("http://maps.yandex.ru/?ll=42.144573,56.42807&amp;spn=0.011598,0.004531&amp;z=17&amp;l=map&amp;pt=42.144573,56.42807", "56.428078//42.144573")</f>
        <v>56.428078//42.144573</v>
      </c>
      <c r="J672" s="5" t="s">
        <v>582</v>
      </c>
      <c r="K672" s="6" t="str">
        <f>HYPERLINK("http://maps.yandex.ru/?ll=30.47231,60.01302&amp;spn=0.011598,0.004531&amp;z=17&amp;l=map&amp;pt=30.47231,60.01302", "60.013027//30.47231")</f>
        <v>60.013027//30.47231</v>
      </c>
      <c r="L672" s="5" t="s">
        <v>23</v>
      </c>
      <c r="M672" s="5" t="s">
        <v>3420</v>
      </c>
      <c r="N672" s="5" t="s">
        <v>1440</v>
      </c>
      <c r="O672" s="5" t="s">
        <v>5398</v>
      </c>
      <c r="P672" s="5">
        <v>16</v>
      </c>
      <c r="Q672" s="5">
        <v>10</v>
      </c>
      <c r="R672" s="5">
        <v>74</v>
      </c>
      <c r="S672" s="5">
        <v>293.34800000000001</v>
      </c>
      <c r="T672" s="5" t="s">
        <v>5399</v>
      </c>
      <c r="U672" s="5" t="s">
        <v>5400</v>
      </c>
      <c r="V672" s="5" t="s">
        <v>5401</v>
      </c>
      <c r="W672" s="5">
        <v>12.22</v>
      </c>
      <c r="X672" s="5">
        <v>76.37</v>
      </c>
      <c r="Y672" s="5">
        <v>106</v>
      </c>
      <c r="Z672" s="5" t="s">
        <v>1795</v>
      </c>
      <c r="AA672" s="5" t="s">
        <v>3263</v>
      </c>
      <c r="AB672" s="5" t="s">
        <v>19</v>
      </c>
      <c r="AC672" s="5" t="s">
        <v>19</v>
      </c>
      <c r="AD672" s="5" t="s">
        <v>19</v>
      </c>
      <c r="AE672" s="5" t="s">
        <v>2860</v>
      </c>
      <c r="AF672" s="5" t="s">
        <v>5402</v>
      </c>
      <c r="AG672" s="5"/>
      <c r="AH672" s="5">
        <v>0</v>
      </c>
      <c r="AI672" s="5"/>
      <c r="AJ672" s="5">
        <v>0</v>
      </c>
      <c r="AK672" s="5">
        <v>0</v>
      </c>
      <c r="AL672" s="5" t="s">
        <v>12</v>
      </c>
      <c r="AM672" s="5" t="s">
        <v>12</v>
      </c>
      <c r="AN672" s="5" t="s">
        <v>12</v>
      </c>
      <c r="AO672" s="5" t="s">
        <v>11</v>
      </c>
      <c r="AP672" s="5" t="s">
        <v>11</v>
      </c>
      <c r="AQ672" s="5" t="s">
        <v>31</v>
      </c>
      <c r="AR672" s="5" t="s">
        <v>30</v>
      </c>
    </row>
    <row r="673" spans="1:44" ht="31.5" x14ac:dyDescent="0.25">
      <c r="A673" s="10">
        <v>46096</v>
      </c>
      <c r="B673" s="5" t="s">
        <v>802</v>
      </c>
      <c r="C673" s="5" t="s">
        <v>3030</v>
      </c>
      <c r="D673" s="5" t="s">
        <v>11</v>
      </c>
      <c r="E673" s="5" t="s">
        <v>5</v>
      </c>
      <c r="F673" s="5" t="s">
        <v>5</v>
      </c>
      <c r="G673" s="5" t="s">
        <v>5403</v>
      </c>
      <c r="H673" s="5" t="s">
        <v>5404</v>
      </c>
      <c r="I673" s="6" t="str">
        <f>HYPERLINK("http://maps.yandex.ru/?ll=40.960213,56.93013&amp;spn=0.011598,0.004531&amp;z=17&amp;l=map&amp;pt=40.960213,56.93013", "56.930138//40.960213")</f>
        <v>56.930138//40.960213</v>
      </c>
      <c r="J673" s="5" t="s">
        <v>582</v>
      </c>
      <c r="K673" s="6" t="str">
        <f>HYPERLINK("http://maps.yandex.ru/?ll=40.960094,56.9300&amp;spn=0.011598,0.004531&amp;z=17&amp;l=map&amp;pt=40.960094,56.9300", "56.93002//40.960094")</f>
        <v>56.93002//40.960094</v>
      </c>
      <c r="L673" s="5" t="s">
        <v>582</v>
      </c>
      <c r="M673" s="5" t="s">
        <v>5405</v>
      </c>
      <c r="N673" s="5" t="s">
        <v>584</v>
      </c>
      <c r="O673" s="5" t="s">
        <v>229</v>
      </c>
      <c r="P673" s="5">
        <v>7</v>
      </c>
      <c r="Q673" s="5">
        <v>61</v>
      </c>
      <c r="R673" s="5">
        <v>31</v>
      </c>
      <c r="S673" s="5">
        <v>1.93</v>
      </c>
      <c r="T673" s="5" t="s">
        <v>12</v>
      </c>
      <c r="U673" s="5" t="s">
        <v>12</v>
      </c>
      <c r="V673" s="5" t="s">
        <v>12</v>
      </c>
      <c r="W673" s="5">
        <v>0.08</v>
      </c>
      <c r="X673" s="5">
        <v>1.1200000000000001</v>
      </c>
      <c r="Y673" s="5">
        <v>20</v>
      </c>
      <c r="Z673" s="5" t="s">
        <v>12</v>
      </c>
      <c r="AA673" s="5" t="s">
        <v>12</v>
      </c>
      <c r="AB673" s="5" t="s">
        <v>12</v>
      </c>
      <c r="AC673" s="5" t="s">
        <v>12</v>
      </c>
      <c r="AD673" s="5" t="s">
        <v>12</v>
      </c>
      <c r="AE673" s="5" t="s">
        <v>12</v>
      </c>
      <c r="AF673" s="5" t="s">
        <v>12</v>
      </c>
      <c r="AG673" s="5"/>
      <c r="AH673" s="5"/>
      <c r="AI673" s="5"/>
      <c r="AJ673" s="5"/>
      <c r="AK673" s="5"/>
      <c r="AL673" s="5" t="s">
        <v>12</v>
      </c>
      <c r="AM673" s="5" t="s">
        <v>12</v>
      </c>
      <c r="AN673" s="5" t="s">
        <v>12</v>
      </c>
      <c r="AO673" s="5" t="s">
        <v>69</v>
      </c>
      <c r="AP673" s="5" t="s">
        <v>68</v>
      </c>
      <c r="AQ673" s="5" t="s">
        <v>99</v>
      </c>
      <c r="AR673" s="5" t="s">
        <v>98</v>
      </c>
    </row>
    <row r="674" spans="1:44" ht="31.5" x14ac:dyDescent="0.25">
      <c r="A674" s="10">
        <v>46096</v>
      </c>
      <c r="B674" s="5" t="s">
        <v>801</v>
      </c>
      <c r="C674" s="5" t="s">
        <v>3031</v>
      </c>
      <c r="D674" s="5" t="s">
        <v>11</v>
      </c>
      <c r="E674" s="5" t="s">
        <v>11</v>
      </c>
      <c r="F674" s="5" t="s">
        <v>11</v>
      </c>
      <c r="G674" s="5" t="s">
        <v>5406</v>
      </c>
      <c r="H674" s="5" t="s">
        <v>5407</v>
      </c>
      <c r="I674" s="6" t="str">
        <f>HYPERLINK("http://maps.yandex.ru/?ll=50.415237,53.52626&amp;spn=0.011598,0.004531&amp;z=17&amp;l=map&amp;pt=50.415237,53.52626", "53.526268//50.415237")</f>
        <v>53.526268//50.415237</v>
      </c>
      <c r="J674" s="5" t="s">
        <v>76</v>
      </c>
      <c r="K674" s="6" t="str">
        <f>HYPERLINK("http://maps.yandex.ru/?ll=50.400917,53.51574&amp;spn=0.011598,0.004531&amp;z=17&amp;l=map&amp;pt=50.400917,53.51574", "53.515747//50.400917")</f>
        <v>53.515747//50.400917</v>
      </c>
      <c r="L674" s="5" t="s">
        <v>76</v>
      </c>
      <c r="M674" s="5" t="s">
        <v>86</v>
      </c>
      <c r="N674" s="5" t="s">
        <v>5408</v>
      </c>
      <c r="O674" s="5" t="s">
        <v>206</v>
      </c>
      <c r="P674" s="5">
        <v>1</v>
      </c>
      <c r="Q674" s="5">
        <v>71</v>
      </c>
      <c r="R674" s="5">
        <v>27</v>
      </c>
      <c r="S674" s="5">
        <v>2.8319999999999999</v>
      </c>
      <c r="T674" s="5" t="s">
        <v>12</v>
      </c>
      <c r="U674" s="5" t="s">
        <v>12</v>
      </c>
      <c r="V674" s="5" t="s">
        <v>12</v>
      </c>
      <c r="W674" s="5">
        <v>0.12</v>
      </c>
      <c r="X674" s="5">
        <v>9.56</v>
      </c>
      <c r="Y674" s="5">
        <v>203</v>
      </c>
      <c r="Z674" s="5" t="s">
        <v>3032</v>
      </c>
      <c r="AA674" s="5" t="s">
        <v>5409</v>
      </c>
      <c r="AB674" s="5" t="s">
        <v>19</v>
      </c>
      <c r="AC674" s="5" t="s">
        <v>19</v>
      </c>
      <c r="AD674" s="5" t="s">
        <v>19</v>
      </c>
      <c r="AE674" s="5" t="s">
        <v>1615</v>
      </c>
      <c r="AF674" s="5" t="s">
        <v>5410</v>
      </c>
      <c r="AG674" s="5">
        <v>2</v>
      </c>
      <c r="AH674" s="5">
        <v>2</v>
      </c>
      <c r="AI674" s="5">
        <v>0</v>
      </c>
      <c r="AJ674" s="5"/>
      <c r="AK674" s="5"/>
      <c r="AL674" s="5" t="s">
        <v>12</v>
      </c>
      <c r="AM674" s="5" t="s">
        <v>12</v>
      </c>
      <c r="AN674" s="5" t="s">
        <v>12</v>
      </c>
      <c r="AO674" s="5" t="s">
        <v>11</v>
      </c>
      <c r="AP674" s="5" t="s">
        <v>11</v>
      </c>
      <c r="AQ674" s="5" t="s">
        <v>43</v>
      </c>
      <c r="AR674" s="5" t="s">
        <v>42</v>
      </c>
    </row>
    <row r="675" spans="1:44" ht="15.75" x14ac:dyDescent="0.25">
      <c r="A675" s="10">
        <v>46096</v>
      </c>
      <c r="B675" s="5" t="s">
        <v>799</v>
      </c>
      <c r="C675" s="5" t="s">
        <v>3033</v>
      </c>
      <c r="D675" s="5" t="s">
        <v>11</v>
      </c>
      <c r="E675" s="5" t="s">
        <v>4</v>
      </c>
      <c r="F675" s="5" t="s">
        <v>4</v>
      </c>
      <c r="G675" s="5" t="s">
        <v>11</v>
      </c>
      <c r="H675" s="5" t="s">
        <v>11</v>
      </c>
      <c r="I675" s="6" t="str">
        <f>HYPERLINK("http://maps.yandex.ru/?ll=,&amp;spn=0.011598,0.004531&amp;z=17&amp;l=map&amp;pt=,", "")</f>
        <v/>
      </c>
      <c r="J675" s="5" t="s">
        <v>84</v>
      </c>
      <c r="K675" s="6" t="str">
        <f>HYPERLINK("http://maps.yandex.ru/?ll=,&amp;spn=0.011598,0.004531&amp;z=17&amp;l=map&amp;pt=,", "")</f>
        <v/>
      </c>
      <c r="L675" s="5" t="s">
        <v>84</v>
      </c>
      <c r="M675" s="5" t="s">
        <v>13</v>
      </c>
      <c r="N675" s="5" t="s">
        <v>58</v>
      </c>
      <c r="O675" s="5" t="s">
        <v>13</v>
      </c>
      <c r="P675" s="5">
        <v>0</v>
      </c>
      <c r="Q675" s="5">
        <v>100</v>
      </c>
      <c r="R675" s="5">
        <v>0</v>
      </c>
      <c r="S675" s="5">
        <v>0</v>
      </c>
      <c r="T675" s="5" t="s">
        <v>12</v>
      </c>
      <c r="U675" s="5" t="s">
        <v>12</v>
      </c>
      <c r="V675" s="5" t="s">
        <v>12</v>
      </c>
      <c r="W675" s="5">
        <v>0</v>
      </c>
      <c r="X675" s="5">
        <v>0</v>
      </c>
      <c r="Y675" s="5">
        <v>0</v>
      </c>
      <c r="Z675" s="5" t="s">
        <v>12</v>
      </c>
      <c r="AA675" s="5" t="s">
        <v>12</v>
      </c>
      <c r="AB675" s="5" t="s">
        <v>12</v>
      </c>
      <c r="AC675" s="5" t="s">
        <v>12</v>
      </c>
      <c r="AD675" s="5" t="s">
        <v>12</v>
      </c>
      <c r="AE675" s="5" t="s">
        <v>12</v>
      </c>
      <c r="AF675" s="5" t="s">
        <v>12</v>
      </c>
      <c r="AG675" s="5"/>
      <c r="AH675" s="5"/>
      <c r="AI675" s="5"/>
      <c r="AJ675" s="5"/>
      <c r="AK675" s="5"/>
      <c r="AL675" s="5" t="s">
        <v>12</v>
      </c>
      <c r="AM675" s="5" t="s">
        <v>12</v>
      </c>
      <c r="AN675" s="5" t="s">
        <v>12</v>
      </c>
      <c r="AO675" s="5" t="s">
        <v>69</v>
      </c>
      <c r="AP675" s="5" t="s">
        <v>68</v>
      </c>
      <c r="AQ675" s="5" t="s">
        <v>67</v>
      </c>
      <c r="AR675" s="5" t="s">
        <v>66</v>
      </c>
    </row>
    <row r="676" spans="1:44" ht="15.75" x14ac:dyDescent="0.25">
      <c r="A676" s="10">
        <v>46096</v>
      </c>
      <c r="B676" s="5" t="s">
        <v>798</v>
      </c>
      <c r="C676" s="5" t="s">
        <v>3034</v>
      </c>
      <c r="D676" s="5" t="s">
        <v>11</v>
      </c>
      <c r="E676" s="5" t="s">
        <v>11</v>
      </c>
      <c r="F676" s="5" t="s">
        <v>11</v>
      </c>
      <c r="G676" s="5" t="s">
        <v>11</v>
      </c>
      <c r="H676" s="5" t="s">
        <v>11</v>
      </c>
      <c r="I676" s="6" t="str">
        <f>HYPERLINK("http://maps.yandex.ru/?ll=,&amp;spn=0.011598,0.004531&amp;z=17&amp;l=map&amp;pt=,", "")</f>
        <v/>
      </c>
      <c r="J676" s="5" t="s">
        <v>84</v>
      </c>
      <c r="K676" s="6" t="str">
        <f>HYPERLINK("http://maps.yandex.ru/?ll=,&amp;spn=0.011598,0.004531&amp;z=17&amp;l=map&amp;pt=,", "")</f>
        <v/>
      </c>
      <c r="L676" s="5" t="s">
        <v>84</v>
      </c>
      <c r="M676" s="5" t="s">
        <v>13</v>
      </c>
      <c r="N676" s="5" t="s">
        <v>58</v>
      </c>
      <c r="O676" s="5" t="s">
        <v>13</v>
      </c>
      <c r="P676" s="5">
        <v>0</v>
      </c>
      <c r="Q676" s="5">
        <v>100</v>
      </c>
      <c r="R676" s="5">
        <v>0</v>
      </c>
      <c r="S676" s="5">
        <v>0</v>
      </c>
      <c r="T676" s="5" t="s">
        <v>1673</v>
      </c>
      <c r="U676" s="5" t="s">
        <v>3035</v>
      </c>
      <c r="V676" s="5" t="s">
        <v>3036</v>
      </c>
      <c r="W676" s="5">
        <v>0</v>
      </c>
      <c r="X676" s="5">
        <v>0</v>
      </c>
      <c r="Y676" s="5">
        <v>0</v>
      </c>
      <c r="Z676" s="5" t="s">
        <v>1618</v>
      </c>
      <c r="AA676" s="5" t="s">
        <v>2101</v>
      </c>
      <c r="AB676" s="5" t="s">
        <v>19</v>
      </c>
      <c r="AC676" s="5" t="s">
        <v>19</v>
      </c>
      <c r="AD676" s="5" t="s">
        <v>19</v>
      </c>
      <c r="AE676" s="5" t="s">
        <v>2303</v>
      </c>
      <c r="AF676" s="5" t="s">
        <v>12</v>
      </c>
      <c r="AG676" s="5">
        <v>14</v>
      </c>
      <c r="AH676" s="5">
        <v>14</v>
      </c>
      <c r="AI676" s="5">
        <v>0</v>
      </c>
      <c r="AJ676" s="5">
        <v>1400</v>
      </c>
      <c r="AK676" s="5">
        <v>0</v>
      </c>
      <c r="AL676" s="5" t="s">
        <v>12</v>
      </c>
      <c r="AM676" s="5" t="s">
        <v>12</v>
      </c>
      <c r="AN676" s="5" t="s">
        <v>12</v>
      </c>
      <c r="AO676" s="5" t="s">
        <v>11</v>
      </c>
      <c r="AP676" s="5" t="s">
        <v>11</v>
      </c>
      <c r="AQ676" s="5" t="s">
        <v>53</v>
      </c>
      <c r="AR676" s="5" t="s">
        <v>52</v>
      </c>
    </row>
    <row r="677" spans="1:44" ht="31.5" x14ac:dyDescent="0.25">
      <c r="A677" s="10">
        <v>46096</v>
      </c>
      <c r="B677" s="5" t="s">
        <v>796</v>
      </c>
      <c r="C677" s="5" t="s">
        <v>3037</v>
      </c>
      <c r="D677" s="5" t="s">
        <v>11</v>
      </c>
      <c r="E677" s="5" t="s">
        <v>1</v>
      </c>
      <c r="F677" s="5" t="s">
        <v>1</v>
      </c>
      <c r="G677" s="5" t="s">
        <v>5411</v>
      </c>
      <c r="H677" s="5" t="s">
        <v>5412</v>
      </c>
      <c r="I677" s="6" t="str">
        <f>HYPERLINK("http://maps.yandex.ru/?ll=46.656803,53.0860&amp;spn=0.011598,0.004531&amp;z=17&amp;l=map&amp;pt=46.656803,53.0860", "53.08604//46.656803")</f>
        <v>53.08604//46.656803</v>
      </c>
      <c r="J677" s="5" t="s">
        <v>94</v>
      </c>
      <c r="K677" s="6" t="str">
        <f>HYPERLINK("http://maps.yandex.ru/?ll=56.250896,54.7595&amp;spn=0.011598,0.004531&amp;z=17&amp;l=map&amp;pt=56.250896,54.7595", "54.75959//56.250896")</f>
        <v>54.75959//56.250896</v>
      </c>
      <c r="L677" s="5" t="s">
        <v>34</v>
      </c>
      <c r="M677" s="5" t="s">
        <v>3144</v>
      </c>
      <c r="N677" s="5" t="s">
        <v>524</v>
      </c>
      <c r="O677" s="5" t="s">
        <v>777</v>
      </c>
      <c r="P677" s="5">
        <v>41</v>
      </c>
      <c r="Q677" s="5">
        <v>51</v>
      </c>
      <c r="R677" s="5">
        <v>9</v>
      </c>
      <c r="S677" s="5">
        <v>608.09799999999996</v>
      </c>
      <c r="T677" s="5" t="s">
        <v>12</v>
      </c>
      <c r="U677" s="5" t="s">
        <v>12</v>
      </c>
      <c r="V677" s="5" t="s">
        <v>12</v>
      </c>
      <c r="W677" s="5">
        <v>25.34</v>
      </c>
      <c r="X677" s="5">
        <v>62.51</v>
      </c>
      <c r="Y677" s="5">
        <v>150</v>
      </c>
      <c r="Z677" s="5" t="s">
        <v>825</v>
      </c>
      <c r="AA677" s="5" t="s">
        <v>5413</v>
      </c>
      <c r="AB677" s="5" t="s">
        <v>2176</v>
      </c>
      <c r="AC677" s="5" t="s">
        <v>1673</v>
      </c>
      <c r="AD677" s="5" t="s">
        <v>19</v>
      </c>
      <c r="AE677" s="5" t="s">
        <v>5414</v>
      </c>
      <c r="AF677" s="5" t="s">
        <v>5415</v>
      </c>
      <c r="AG677" s="5"/>
      <c r="AH677" s="5">
        <v>0</v>
      </c>
      <c r="AI677" s="5"/>
      <c r="AJ677" s="5"/>
      <c r="AK677" s="5"/>
      <c r="AL677" s="5" t="s">
        <v>12</v>
      </c>
      <c r="AM677" s="5" t="s">
        <v>12</v>
      </c>
      <c r="AN677" s="5" t="s">
        <v>12</v>
      </c>
      <c r="AO677" s="5" t="s">
        <v>11</v>
      </c>
      <c r="AP677" s="5" t="s">
        <v>11</v>
      </c>
      <c r="AQ677" s="5" t="s">
        <v>43</v>
      </c>
      <c r="AR677" s="5" t="s">
        <v>42</v>
      </c>
    </row>
    <row r="678" spans="1:44" ht="31.5" x14ac:dyDescent="0.25">
      <c r="A678" s="10">
        <v>46096</v>
      </c>
      <c r="B678" s="5" t="s">
        <v>795</v>
      </c>
      <c r="C678" s="5" t="s">
        <v>3038</v>
      </c>
      <c r="D678" s="5" t="s">
        <v>11</v>
      </c>
      <c r="E678" s="5" t="s">
        <v>3</v>
      </c>
      <c r="F678" s="5" t="s">
        <v>3</v>
      </c>
      <c r="G678" s="5" t="s">
        <v>5416</v>
      </c>
      <c r="H678" s="5" t="s">
        <v>5417</v>
      </c>
      <c r="I678" s="6" t="str">
        <f>HYPERLINK("http://maps.yandex.ru/?ll=30.402826,59.79714&amp;spn=0.011598,0.004531&amp;z=17&amp;l=map&amp;pt=30.402826,59.79714", "59.797146//30.402826")</f>
        <v>59.797146//30.402826</v>
      </c>
      <c r="J678" s="5" t="s">
        <v>23</v>
      </c>
      <c r="K678" s="6" t="str">
        <f>HYPERLINK("http://maps.yandex.ru/?ll=33.28827,58.34635&amp;spn=0.011598,0.004531&amp;z=17&amp;l=map&amp;pt=33.28827,58.34635", "58.346355//33.28827")</f>
        <v>58.346355//33.28827</v>
      </c>
      <c r="L678" s="5" t="s">
        <v>148</v>
      </c>
      <c r="M678" s="5" t="s">
        <v>3252</v>
      </c>
      <c r="N678" s="5" t="s">
        <v>1390</v>
      </c>
      <c r="O678" s="5" t="s">
        <v>957</v>
      </c>
      <c r="P678" s="5">
        <v>21</v>
      </c>
      <c r="Q678" s="5">
        <v>65</v>
      </c>
      <c r="R678" s="5">
        <v>14</v>
      </c>
      <c r="S678" s="5">
        <v>332.61500000000001</v>
      </c>
      <c r="T678" s="5" t="s">
        <v>5418</v>
      </c>
      <c r="U678" s="5" t="s">
        <v>3039</v>
      </c>
      <c r="V678" s="5" t="s">
        <v>5419</v>
      </c>
      <c r="W678" s="5">
        <v>13.86</v>
      </c>
      <c r="X678" s="5">
        <v>66.73</v>
      </c>
      <c r="Y678" s="5">
        <v>95</v>
      </c>
      <c r="Z678" s="5" t="s">
        <v>1976</v>
      </c>
      <c r="AA678" s="5" t="s">
        <v>1996</v>
      </c>
      <c r="AB678" s="5" t="s">
        <v>1532</v>
      </c>
      <c r="AC678" s="5" t="s">
        <v>1673</v>
      </c>
      <c r="AD678" s="5" t="s">
        <v>19</v>
      </c>
      <c r="AE678" s="5" t="s">
        <v>1964</v>
      </c>
      <c r="AF678" s="5" t="s">
        <v>5420</v>
      </c>
      <c r="AG678" s="5">
        <v>113</v>
      </c>
      <c r="AH678" s="5">
        <v>1</v>
      </c>
      <c r="AI678" s="5">
        <v>112</v>
      </c>
      <c r="AJ678" s="5">
        <v>33.24</v>
      </c>
      <c r="AK678" s="5">
        <v>32.94</v>
      </c>
      <c r="AL678" s="5" t="s">
        <v>12</v>
      </c>
      <c r="AM678" s="5" t="s">
        <v>12</v>
      </c>
      <c r="AN678" s="5" t="s">
        <v>12</v>
      </c>
      <c r="AO678" s="5" t="s">
        <v>11</v>
      </c>
      <c r="AP678" s="5" t="s">
        <v>11</v>
      </c>
      <c r="AQ678" s="5" t="s">
        <v>37</v>
      </c>
      <c r="AR678" s="5" t="s">
        <v>794</v>
      </c>
    </row>
    <row r="679" spans="1:44" ht="31.5" x14ac:dyDescent="0.25">
      <c r="A679" s="10">
        <v>46096</v>
      </c>
      <c r="B679" s="5" t="s">
        <v>793</v>
      </c>
      <c r="C679" s="5" t="s">
        <v>3040</v>
      </c>
      <c r="D679" s="5" t="s">
        <v>11</v>
      </c>
      <c r="E679" s="5" t="s">
        <v>11</v>
      </c>
      <c r="F679" s="5" t="s">
        <v>11</v>
      </c>
      <c r="G679" s="5" t="s">
        <v>5421</v>
      </c>
      <c r="H679" s="5" t="s">
        <v>5422</v>
      </c>
      <c r="I679" s="6" t="str">
        <f>HYPERLINK("http://maps.yandex.ru/?ll=43.78885,56.30447&amp;spn=0.011598,0.004531&amp;z=17&amp;l=map&amp;pt=43.78885,56.30447", "56.304478//43.78885")</f>
        <v>56.304478//43.78885</v>
      </c>
      <c r="J679" s="5" t="s">
        <v>15</v>
      </c>
      <c r="K679" s="6" t="str">
        <f>HYPERLINK("http://maps.yandex.ru/?ll=43.969666,53.1668&amp;spn=0.011598,0.004531&amp;z=17&amp;l=map&amp;pt=43.969666,53.1668", "53.16684//43.969666")</f>
        <v>53.16684//43.969666</v>
      </c>
      <c r="L679" s="5" t="s">
        <v>94</v>
      </c>
      <c r="M679" s="5" t="s">
        <v>1272</v>
      </c>
      <c r="N679" s="5" t="s">
        <v>5423</v>
      </c>
      <c r="O679" s="5" t="s">
        <v>1192</v>
      </c>
      <c r="P679" s="5">
        <v>29</v>
      </c>
      <c r="Q679" s="5">
        <v>66</v>
      </c>
      <c r="R679" s="5">
        <v>5</v>
      </c>
      <c r="S679" s="5">
        <v>471.62400000000002</v>
      </c>
      <c r="T679" s="5" t="s">
        <v>2606</v>
      </c>
      <c r="U679" s="5" t="s">
        <v>3041</v>
      </c>
      <c r="V679" s="5" t="s">
        <v>5424</v>
      </c>
      <c r="W679" s="5">
        <v>19.649999999999999</v>
      </c>
      <c r="X679" s="5">
        <v>67.760000000000005</v>
      </c>
      <c r="Y679" s="5">
        <v>114</v>
      </c>
      <c r="Z679" s="5" t="s">
        <v>2107</v>
      </c>
      <c r="AA679" s="5" t="s">
        <v>2965</v>
      </c>
      <c r="AB679" s="5" t="s">
        <v>5425</v>
      </c>
      <c r="AC679" s="5" t="s">
        <v>1673</v>
      </c>
      <c r="AD679" s="5" t="s">
        <v>19</v>
      </c>
      <c r="AE679" s="5" t="s">
        <v>1986</v>
      </c>
      <c r="AF679" s="5" t="s">
        <v>5426</v>
      </c>
      <c r="AG679" s="5">
        <v>172</v>
      </c>
      <c r="AH679" s="5">
        <v>3</v>
      </c>
      <c r="AI679" s="5">
        <v>169</v>
      </c>
      <c r="AJ679" s="5">
        <v>31.1</v>
      </c>
      <c r="AK679" s="5">
        <v>30.56</v>
      </c>
      <c r="AL679" s="5" t="s">
        <v>12</v>
      </c>
      <c r="AM679" s="5" t="s">
        <v>12</v>
      </c>
      <c r="AN679" s="5" t="s">
        <v>12</v>
      </c>
      <c r="AO679" s="5" t="s">
        <v>11</v>
      </c>
      <c r="AP679" s="5" t="s">
        <v>11</v>
      </c>
      <c r="AQ679" s="5" t="s">
        <v>18</v>
      </c>
      <c r="AR679" s="5" t="s">
        <v>641</v>
      </c>
    </row>
    <row r="680" spans="1:44" ht="31.5" x14ac:dyDescent="0.25">
      <c r="A680" s="10">
        <v>46096</v>
      </c>
      <c r="B680" s="5" t="s">
        <v>791</v>
      </c>
      <c r="C680" s="5" t="s">
        <v>3043</v>
      </c>
      <c r="D680" s="5" t="s">
        <v>11</v>
      </c>
      <c r="E680" s="5" t="s">
        <v>6</v>
      </c>
      <c r="F680" s="5" t="s">
        <v>6</v>
      </c>
      <c r="G680" s="5" t="s">
        <v>3103</v>
      </c>
      <c r="H680" s="5" t="s">
        <v>5427</v>
      </c>
      <c r="I680" s="6" t="str">
        <f>HYPERLINK("http://maps.yandex.ru/?ll=36.503044,45.3091&amp;spn=0.011598,0.004531&amp;z=17&amp;l=map&amp;pt=36.503044,45.3091", "45.30914//36.503044")</f>
        <v>45.30914//36.503044</v>
      </c>
      <c r="J680" s="5" t="s">
        <v>1360</v>
      </c>
      <c r="K680" s="6" t="str">
        <f>HYPERLINK("http://maps.yandex.ru/?ll=38.99311,45.086&amp;spn=0.011598,0.004531&amp;z=17&amp;l=map&amp;pt=38.99311,45.086", "45.0865//38.99311")</f>
        <v>45.0865//38.99311</v>
      </c>
      <c r="L680" s="5" t="s">
        <v>88</v>
      </c>
      <c r="M680" s="5" t="s">
        <v>1446</v>
      </c>
      <c r="N680" s="5" t="s">
        <v>4010</v>
      </c>
      <c r="O680" s="5" t="s">
        <v>126</v>
      </c>
      <c r="P680" s="5">
        <v>27</v>
      </c>
      <c r="Q680" s="5">
        <v>61</v>
      </c>
      <c r="R680" s="5">
        <v>12</v>
      </c>
      <c r="S680" s="5">
        <v>474.904</v>
      </c>
      <c r="T680" s="5" t="s">
        <v>12</v>
      </c>
      <c r="U680" s="5" t="s">
        <v>12</v>
      </c>
      <c r="V680" s="5" t="s">
        <v>12</v>
      </c>
      <c r="W680" s="5">
        <v>19.79</v>
      </c>
      <c r="X680" s="5">
        <v>72.62</v>
      </c>
      <c r="Y680" s="5">
        <v>186</v>
      </c>
      <c r="Z680" s="5" t="s">
        <v>1612</v>
      </c>
      <c r="AA680" s="5" t="s">
        <v>1955</v>
      </c>
      <c r="AB680" s="5" t="s">
        <v>19</v>
      </c>
      <c r="AC680" s="5" t="s">
        <v>19</v>
      </c>
      <c r="AD680" s="5" t="s">
        <v>19</v>
      </c>
      <c r="AE680" s="5" t="s">
        <v>1671</v>
      </c>
      <c r="AF680" s="5" t="s">
        <v>12</v>
      </c>
      <c r="AG680" s="5"/>
      <c r="AH680" s="5"/>
      <c r="AI680" s="5"/>
      <c r="AJ680" s="5"/>
      <c r="AK680" s="5"/>
      <c r="AL680" s="5" t="s">
        <v>12</v>
      </c>
      <c r="AM680" s="5" t="s">
        <v>12</v>
      </c>
      <c r="AN680" s="5" t="s">
        <v>12</v>
      </c>
      <c r="AO680" s="5" t="s">
        <v>69</v>
      </c>
      <c r="AP680" s="5" t="s">
        <v>68</v>
      </c>
      <c r="AQ680" s="5" t="s">
        <v>67</v>
      </c>
      <c r="AR680" s="5" t="s">
        <v>66</v>
      </c>
    </row>
    <row r="681" spans="1:44" ht="15.75" x14ac:dyDescent="0.25">
      <c r="A681" s="10">
        <v>46096</v>
      </c>
      <c r="B681" s="5" t="s">
        <v>790</v>
      </c>
      <c r="C681" s="5" t="s">
        <v>3044</v>
      </c>
      <c r="D681" s="5" t="s">
        <v>11</v>
      </c>
      <c r="E681" s="5" t="s">
        <v>3</v>
      </c>
      <c r="F681" s="5" t="s">
        <v>3</v>
      </c>
      <c r="G681" s="5" t="s">
        <v>11</v>
      </c>
      <c r="H681" s="5" t="s">
        <v>11</v>
      </c>
      <c r="I681" s="6" t="str">
        <f>HYPERLINK("http://maps.yandex.ru/?ll=,&amp;spn=0.011598,0.004531&amp;z=17&amp;l=map&amp;pt=,", "")</f>
        <v/>
      </c>
      <c r="J681" s="5" t="s">
        <v>84</v>
      </c>
      <c r="K681" s="6" t="str">
        <f>HYPERLINK("http://maps.yandex.ru/?ll=,&amp;spn=0.011598,0.004531&amp;z=17&amp;l=map&amp;pt=,", "")</f>
        <v/>
      </c>
      <c r="L681" s="5" t="s">
        <v>84</v>
      </c>
      <c r="M681" s="5" t="s">
        <v>13</v>
      </c>
      <c r="N681" s="5" t="s">
        <v>13</v>
      </c>
      <c r="O681" s="5" t="s">
        <v>58</v>
      </c>
      <c r="P681" s="5">
        <v>0</v>
      </c>
      <c r="Q681" s="5">
        <v>0</v>
      </c>
      <c r="R681" s="5">
        <v>100</v>
      </c>
      <c r="S681" s="5">
        <v>0</v>
      </c>
      <c r="T681" s="5" t="s">
        <v>12</v>
      </c>
      <c r="U681" s="5" t="s">
        <v>12</v>
      </c>
      <c r="V681" s="5" t="s">
        <v>12</v>
      </c>
      <c r="W681" s="5">
        <v>0</v>
      </c>
      <c r="X681" s="5">
        <v>0</v>
      </c>
      <c r="Y681" s="5">
        <v>0</v>
      </c>
      <c r="Z681" s="5" t="s">
        <v>12</v>
      </c>
      <c r="AA681" s="5" t="s">
        <v>12</v>
      </c>
      <c r="AB681" s="5" t="s">
        <v>12</v>
      </c>
      <c r="AC681" s="5" t="s">
        <v>12</v>
      </c>
      <c r="AD681" s="5" t="s">
        <v>12</v>
      </c>
      <c r="AE681" s="5" t="s">
        <v>12</v>
      </c>
      <c r="AF681" s="5" t="s">
        <v>12</v>
      </c>
      <c r="AG681" s="5"/>
      <c r="AH681" s="5"/>
      <c r="AI681" s="5"/>
      <c r="AJ681" s="5"/>
      <c r="AK681" s="5"/>
      <c r="AL681" s="5" t="s">
        <v>12</v>
      </c>
      <c r="AM681" s="5" t="s">
        <v>12</v>
      </c>
      <c r="AN681" s="5" t="s">
        <v>12</v>
      </c>
      <c r="AO681" s="5" t="s">
        <v>11</v>
      </c>
      <c r="AP681" s="5" t="s">
        <v>11</v>
      </c>
      <c r="AQ681" s="5" t="s">
        <v>106</v>
      </c>
      <c r="AR681" s="5" t="s">
        <v>105</v>
      </c>
    </row>
    <row r="682" spans="1:44" ht="31.5" x14ac:dyDescent="0.25">
      <c r="A682" s="10">
        <v>46096</v>
      </c>
      <c r="B682" s="5" t="s">
        <v>849</v>
      </c>
      <c r="C682" s="5" t="s">
        <v>3045</v>
      </c>
      <c r="D682" s="5" t="s">
        <v>11</v>
      </c>
      <c r="E682" s="5" t="s">
        <v>3</v>
      </c>
      <c r="F682" s="5" t="s">
        <v>3</v>
      </c>
      <c r="G682" s="5" t="s">
        <v>3103</v>
      </c>
      <c r="H682" s="5" t="s">
        <v>5428</v>
      </c>
      <c r="I682" s="6" t="str">
        <f>HYPERLINK("http://maps.yandex.ru/?ll=39.93904,47.29754&amp;spn=0.011598,0.004531&amp;z=17&amp;l=map&amp;pt=39.93904,47.29754", "47.297543//39.93904")</f>
        <v>47.297543//39.93904</v>
      </c>
      <c r="J682" s="5" t="s">
        <v>64</v>
      </c>
      <c r="K682" s="6" t="str">
        <f>HYPERLINK("http://maps.yandex.ru/?ll=41.905308,44.6611&amp;spn=0.011598,0.004531&amp;z=17&amp;l=map&amp;pt=41.905308,44.6611", "44.66114//41.905308")</f>
        <v>44.66114//41.905308</v>
      </c>
      <c r="L682" s="5" t="s">
        <v>208</v>
      </c>
      <c r="M682" s="5" t="s">
        <v>1379</v>
      </c>
      <c r="N682" s="5" t="s">
        <v>313</v>
      </c>
      <c r="O682" s="5" t="s">
        <v>527</v>
      </c>
      <c r="P682" s="5">
        <v>18</v>
      </c>
      <c r="Q682" s="5">
        <v>60</v>
      </c>
      <c r="R682" s="5">
        <v>22</v>
      </c>
      <c r="S682" s="5">
        <v>338.72300000000001</v>
      </c>
      <c r="T682" s="5" t="s">
        <v>12</v>
      </c>
      <c r="U682" s="5" t="s">
        <v>12</v>
      </c>
      <c r="V682" s="5" t="s">
        <v>12</v>
      </c>
      <c r="W682" s="5">
        <v>14.11</v>
      </c>
      <c r="X682" s="5">
        <v>76.739999999999995</v>
      </c>
      <c r="Y682" s="5">
        <v>171</v>
      </c>
      <c r="Z682" s="5" t="s">
        <v>12</v>
      </c>
      <c r="AA682" s="5" t="s">
        <v>12</v>
      </c>
      <c r="AB682" s="5" t="s">
        <v>12</v>
      </c>
      <c r="AC682" s="5" t="s">
        <v>12</v>
      </c>
      <c r="AD682" s="5" t="s">
        <v>12</v>
      </c>
      <c r="AE682" s="5" t="s">
        <v>12</v>
      </c>
      <c r="AF682" s="5" t="s">
        <v>12</v>
      </c>
      <c r="AG682" s="5"/>
      <c r="AH682" s="5"/>
      <c r="AI682" s="5"/>
      <c r="AJ682" s="5"/>
      <c r="AK682" s="5"/>
      <c r="AL682" s="5" t="s">
        <v>12</v>
      </c>
      <c r="AM682" s="5" t="s">
        <v>12</v>
      </c>
      <c r="AN682" s="5" t="s">
        <v>12</v>
      </c>
      <c r="AO682" s="5" t="s">
        <v>11</v>
      </c>
      <c r="AP682" s="5" t="s">
        <v>11</v>
      </c>
      <c r="AQ682" s="5" t="s">
        <v>67</v>
      </c>
      <c r="AR682" s="5" t="s">
        <v>66</v>
      </c>
    </row>
    <row r="683" spans="1:44" ht="31.5" x14ac:dyDescent="0.25">
      <c r="A683" s="10">
        <v>46096</v>
      </c>
      <c r="B683" s="5" t="s">
        <v>789</v>
      </c>
      <c r="C683" s="5" t="s">
        <v>3046</v>
      </c>
      <c r="D683" s="5" t="s">
        <v>11</v>
      </c>
      <c r="E683" s="5" t="s">
        <v>3</v>
      </c>
      <c r="F683" s="5" t="s">
        <v>3</v>
      </c>
      <c r="G683" s="5" t="s">
        <v>3103</v>
      </c>
      <c r="H683" s="5" t="s">
        <v>5429</v>
      </c>
      <c r="I683" s="6" t="str">
        <f>HYPERLINK("http://maps.yandex.ru/?ll=37.95738,54.27134&amp;spn=0.011598,0.004531&amp;z=17&amp;l=map&amp;pt=37.95738,54.27134", "54.271343//37.95738")</f>
        <v>54.271343//37.95738</v>
      </c>
      <c r="J683" s="5" t="s">
        <v>168</v>
      </c>
      <c r="K683" s="6" t="str">
        <f>HYPERLINK("http://maps.yandex.ru/?ll=39.97292,47.42521&amp;spn=0.011598,0.004531&amp;z=17&amp;l=map&amp;pt=39.97292,47.42521", "47.425217//39.97292")</f>
        <v>47.425217//39.97292</v>
      </c>
      <c r="L683" s="5" t="s">
        <v>64</v>
      </c>
      <c r="M683" s="5" t="s">
        <v>1455</v>
      </c>
      <c r="N683" s="5" t="s">
        <v>1150</v>
      </c>
      <c r="O683" s="5" t="s">
        <v>1244</v>
      </c>
      <c r="P683" s="5">
        <v>40</v>
      </c>
      <c r="Q683" s="5">
        <v>30</v>
      </c>
      <c r="R683" s="5">
        <v>31</v>
      </c>
      <c r="S683" s="5">
        <v>679.69799999999998</v>
      </c>
      <c r="T683" s="5" t="s">
        <v>12</v>
      </c>
      <c r="U683" s="5" t="s">
        <v>12</v>
      </c>
      <c r="V683" s="5" t="s">
        <v>12</v>
      </c>
      <c r="W683" s="5">
        <v>28.32</v>
      </c>
      <c r="X683" s="5">
        <v>71.45</v>
      </c>
      <c r="Y683" s="5">
        <v>98</v>
      </c>
      <c r="Z683" s="5" t="s">
        <v>12</v>
      </c>
      <c r="AA683" s="5" t="s">
        <v>12</v>
      </c>
      <c r="AB683" s="5" t="s">
        <v>12</v>
      </c>
      <c r="AC683" s="5" t="s">
        <v>12</v>
      </c>
      <c r="AD683" s="5" t="s">
        <v>12</v>
      </c>
      <c r="AE683" s="5" t="s">
        <v>12</v>
      </c>
      <c r="AF683" s="5" t="s">
        <v>12</v>
      </c>
      <c r="AG683" s="5"/>
      <c r="AH683" s="5"/>
      <c r="AI683" s="5"/>
      <c r="AJ683" s="5"/>
      <c r="AK683" s="5"/>
      <c r="AL683" s="5" t="s">
        <v>12</v>
      </c>
      <c r="AM683" s="5" t="s">
        <v>12</v>
      </c>
      <c r="AN683" s="5" t="s">
        <v>12</v>
      </c>
      <c r="AO683" s="5" t="s">
        <v>11</v>
      </c>
      <c r="AP683" s="5" t="s">
        <v>11</v>
      </c>
      <c r="AQ683" s="5" t="s">
        <v>106</v>
      </c>
      <c r="AR683" s="5" t="s">
        <v>105</v>
      </c>
    </row>
    <row r="684" spans="1:44" ht="31.5" x14ac:dyDescent="0.25">
      <c r="A684" s="10">
        <v>46096</v>
      </c>
      <c r="B684" s="5" t="s">
        <v>788</v>
      </c>
      <c r="C684" s="5" t="s">
        <v>3047</v>
      </c>
      <c r="D684" s="5" t="s">
        <v>11</v>
      </c>
      <c r="E684" s="5" t="s">
        <v>0</v>
      </c>
      <c r="F684" s="5" t="s">
        <v>0</v>
      </c>
      <c r="G684" s="5" t="s">
        <v>3858</v>
      </c>
      <c r="H684" s="5" t="s">
        <v>5430</v>
      </c>
      <c r="I684" s="6" t="str">
        <f>HYPERLINK("http://maps.yandex.ru/?ll=30.22344,59.9071&amp;spn=0.011598,0.004531&amp;z=17&amp;l=map&amp;pt=30.22344,59.9071", "59.90713//30.22344")</f>
        <v>59.90713//30.22344</v>
      </c>
      <c r="J684" s="5" t="s">
        <v>23</v>
      </c>
      <c r="K684" s="6" t="str">
        <f>HYPERLINK("http://maps.yandex.ru/?ll=38.213596,54.64959&amp;spn=0.011598,0.004531&amp;z=17&amp;l=map&amp;pt=38.213596,54.64959", "54.649597//38.213596")</f>
        <v>54.649597//38.213596</v>
      </c>
      <c r="L684" s="5" t="s">
        <v>168</v>
      </c>
      <c r="M684" s="5" t="s">
        <v>657</v>
      </c>
      <c r="N684" s="5" t="s">
        <v>1150</v>
      </c>
      <c r="O684" s="5" t="s">
        <v>1505</v>
      </c>
      <c r="P684" s="5">
        <v>14</v>
      </c>
      <c r="Q684" s="5">
        <v>30</v>
      </c>
      <c r="R684" s="5">
        <v>56</v>
      </c>
      <c r="S684" s="5">
        <v>179.572</v>
      </c>
      <c r="T684" s="5" t="s">
        <v>12</v>
      </c>
      <c r="U684" s="5" t="s">
        <v>12</v>
      </c>
      <c r="V684" s="5" t="s">
        <v>12</v>
      </c>
      <c r="W684" s="5">
        <v>7.48</v>
      </c>
      <c r="X684" s="5">
        <v>53.63</v>
      </c>
      <c r="Y684" s="5">
        <v>91</v>
      </c>
      <c r="Z684" s="5" t="s">
        <v>12</v>
      </c>
      <c r="AA684" s="5" t="s">
        <v>12</v>
      </c>
      <c r="AB684" s="5" t="s">
        <v>12</v>
      </c>
      <c r="AC684" s="5" t="s">
        <v>12</v>
      </c>
      <c r="AD684" s="5" t="s">
        <v>12</v>
      </c>
      <c r="AE684" s="5" t="s">
        <v>12</v>
      </c>
      <c r="AF684" s="5" t="s">
        <v>12</v>
      </c>
      <c r="AG684" s="5"/>
      <c r="AH684" s="5"/>
      <c r="AI684" s="5"/>
      <c r="AJ684" s="5"/>
      <c r="AK684" s="5"/>
      <c r="AL684" s="5" t="s">
        <v>12</v>
      </c>
      <c r="AM684" s="5" t="s">
        <v>12</v>
      </c>
      <c r="AN684" s="5" t="s">
        <v>12</v>
      </c>
      <c r="AO684" s="5" t="s">
        <v>11</v>
      </c>
      <c r="AP684" s="5" t="s">
        <v>11</v>
      </c>
      <c r="AQ684" s="5" t="s">
        <v>67</v>
      </c>
      <c r="AR684" s="5" t="s">
        <v>66</v>
      </c>
    </row>
    <row r="685" spans="1:44" ht="31.5" x14ac:dyDescent="0.25">
      <c r="A685" s="10">
        <v>46096</v>
      </c>
      <c r="B685" s="5" t="s">
        <v>787</v>
      </c>
      <c r="C685" s="5" t="s">
        <v>3088</v>
      </c>
      <c r="D685" s="5" t="s">
        <v>11</v>
      </c>
      <c r="E685" s="5" t="s">
        <v>1</v>
      </c>
      <c r="F685" s="5" t="s">
        <v>1</v>
      </c>
      <c r="G685" s="5" t="s">
        <v>5431</v>
      </c>
      <c r="H685" s="5" t="s">
        <v>5335</v>
      </c>
      <c r="I685" s="6" t="str">
        <f>HYPERLINK("http://maps.yandex.ru/?ll=44.03962,49.05904&amp;spn=0.011598,0.004531&amp;z=17&amp;l=map&amp;pt=44.03962,49.05904", "49.059044//44.03962")</f>
        <v>49.059044//44.03962</v>
      </c>
      <c r="J685" s="5" t="s">
        <v>95</v>
      </c>
      <c r="K685" s="6" t="str">
        <f>HYPERLINK("http://maps.yandex.ru/?ll=39.8695,47.1780&amp;spn=0.011598,0.004531&amp;z=17&amp;l=map&amp;pt=39.8695,47.1780", "47.17805//39.8695")</f>
        <v>47.17805//39.8695</v>
      </c>
      <c r="L685" s="5" t="s">
        <v>64</v>
      </c>
      <c r="M685" s="5" t="s">
        <v>628</v>
      </c>
      <c r="N685" s="5" t="s">
        <v>1358</v>
      </c>
      <c r="O685" s="5" t="s">
        <v>579</v>
      </c>
      <c r="P685" s="5">
        <v>22</v>
      </c>
      <c r="Q685" s="5">
        <v>42</v>
      </c>
      <c r="R685" s="5">
        <v>35</v>
      </c>
      <c r="S685" s="5">
        <v>307.88</v>
      </c>
      <c r="T685" s="5" t="s">
        <v>12</v>
      </c>
      <c r="U685" s="5" t="s">
        <v>12</v>
      </c>
      <c r="V685" s="5" t="s">
        <v>12</v>
      </c>
      <c r="W685" s="5">
        <v>12.83</v>
      </c>
      <c r="X685" s="5">
        <v>57.06</v>
      </c>
      <c r="Y685" s="5">
        <v>145</v>
      </c>
      <c r="Z685" s="5" t="s">
        <v>12</v>
      </c>
      <c r="AA685" s="5" t="s">
        <v>12</v>
      </c>
      <c r="AB685" s="5" t="s">
        <v>12</v>
      </c>
      <c r="AC685" s="5" t="s">
        <v>12</v>
      </c>
      <c r="AD685" s="5" t="s">
        <v>12</v>
      </c>
      <c r="AE685" s="5" t="s">
        <v>12</v>
      </c>
      <c r="AF685" s="5" t="s">
        <v>12</v>
      </c>
      <c r="AG685" s="5"/>
      <c r="AH685" s="5"/>
      <c r="AI685" s="5"/>
      <c r="AJ685" s="5"/>
      <c r="AK685" s="5"/>
      <c r="AL685" s="5" t="s">
        <v>12</v>
      </c>
      <c r="AM685" s="5" t="s">
        <v>12</v>
      </c>
      <c r="AN685" s="5" t="s">
        <v>12</v>
      </c>
      <c r="AO685" s="5" t="s">
        <v>11</v>
      </c>
      <c r="AP685" s="5" t="s">
        <v>11</v>
      </c>
      <c r="AQ685" s="5" t="s">
        <v>67</v>
      </c>
      <c r="AR685" s="5" t="s">
        <v>66</v>
      </c>
    </row>
    <row r="686" spans="1:44" ht="15.75" x14ac:dyDescent="0.25">
      <c r="A686" s="10">
        <v>46096</v>
      </c>
      <c r="B686" s="5" t="s">
        <v>786</v>
      </c>
      <c r="C686" s="5" t="s">
        <v>3089</v>
      </c>
      <c r="D686" s="5" t="s">
        <v>11</v>
      </c>
      <c r="E686" s="5" t="s">
        <v>7</v>
      </c>
      <c r="F686" s="5" t="s">
        <v>7</v>
      </c>
      <c r="G686" s="5" t="s">
        <v>5432</v>
      </c>
      <c r="H686" s="5" t="s">
        <v>5433</v>
      </c>
      <c r="I686" s="6" t="str">
        <f>HYPERLINK("http://maps.yandex.ru/?ll=79.596756,55.321&amp;spn=0.011598,0.004531&amp;z=17&amp;l=map&amp;pt=79.596756,55.321", "55.3215//79.596756")</f>
        <v>55.3215//79.596756</v>
      </c>
      <c r="J686" s="5" t="s">
        <v>39</v>
      </c>
      <c r="K686" s="6" t="str">
        <f>HYPERLINK("http://maps.yandex.ru/?ll=72.90214,55.2295&amp;spn=0.011598,0.004531&amp;z=17&amp;l=map&amp;pt=72.90214,55.2295", "55.22957//72.90214")</f>
        <v>55.22957//72.90214</v>
      </c>
      <c r="L686" s="5" t="s">
        <v>190</v>
      </c>
      <c r="M686" s="5" t="s">
        <v>327</v>
      </c>
      <c r="N686" s="5" t="s">
        <v>3798</v>
      </c>
      <c r="O686" s="5" t="s">
        <v>804</v>
      </c>
      <c r="P686" s="5">
        <v>18</v>
      </c>
      <c r="Q686" s="5">
        <v>46</v>
      </c>
      <c r="R686" s="5">
        <v>35</v>
      </c>
      <c r="S686" s="5">
        <v>278.28800000000001</v>
      </c>
      <c r="T686" s="5" t="s">
        <v>12</v>
      </c>
      <c r="U686" s="5" t="s">
        <v>12</v>
      </c>
      <c r="V686" s="5" t="s">
        <v>12</v>
      </c>
      <c r="W686" s="5">
        <v>11.6</v>
      </c>
      <c r="X686" s="5">
        <v>64.09</v>
      </c>
      <c r="Y686" s="5">
        <v>98</v>
      </c>
      <c r="Z686" s="5" t="s">
        <v>12</v>
      </c>
      <c r="AA686" s="5" t="s">
        <v>12</v>
      </c>
      <c r="AB686" s="5" t="s">
        <v>12</v>
      </c>
      <c r="AC686" s="5" t="s">
        <v>12</v>
      </c>
      <c r="AD686" s="5" t="s">
        <v>12</v>
      </c>
      <c r="AE686" s="5" t="s">
        <v>12</v>
      </c>
      <c r="AF686" s="5" t="s">
        <v>12</v>
      </c>
      <c r="AG686" s="5"/>
      <c r="AH686" s="5"/>
      <c r="AI686" s="5"/>
      <c r="AJ686" s="5"/>
      <c r="AK686" s="5"/>
      <c r="AL686" s="5" t="s">
        <v>12</v>
      </c>
      <c r="AM686" s="5" t="s">
        <v>12</v>
      </c>
      <c r="AN686" s="5" t="s">
        <v>12</v>
      </c>
      <c r="AO686" s="5" t="s">
        <v>11</v>
      </c>
      <c r="AP686" s="5" t="s">
        <v>11</v>
      </c>
      <c r="AQ686" s="5" t="s">
        <v>106</v>
      </c>
      <c r="AR686" s="5" t="s">
        <v>105</v>
      </c>
    </row>
    <row r="687" spans="1:44" ht="31.5" x14ac:dyDescent="0.25">
      <c r="A687" s="10">
        <v>46096</v>
      </c>
      <c r="B687" s="5" t="s">
        <v>784</v>
      </c>
      <c r="C687" s="5" t="s">
        <v>3090</v>
      </c>
      <c r="D687" s="5" t="s">
        <v>11</v>
      </c>
      <c r="E687" s="5" t="s">
        <v>7</v>
      </c>
      <c r="F687" s="5" t="s">
        <v>7</v>
      </c>
      <c r="G687" s="5" t="s">
        <v>5434</v>
      </c>
      <c r="H687" s="5" t="s">
        <v>5435</v>
      </c>
      <c r="I687" s="6" t="str">
        <f>HYPERLINK("http://maps.yandex.ru/?ll=30.258179,60.10221&amp;spn=0.011598,0.004531&amp;z=17&amp;l=map&amp;pt=30.258179,60.10221", "60.102215//30.258179")</f>
        <v>60.102215//30.258179</v>
      </c>
      <c r="J687" s="5" t="s">
        <v>23</v>
      </c>
      <c r="K687" s="6" t="str">
        <f>HYPERLINK("http://maps.yandex.ru/?ll=30.246058,60.09974&amp;spn=0.011598,0.004531&amp;z=17&amp;l=map&amp;pt=30.246058,60.09974", "60.099743//30.246058")</f>
        <v>60.099743//30.246058</v>
      </c>
      <c r="L687" s="5" t="s">
        <v>23</v>
      </c>
      <c r="M687" s="5" t="s">
        <v>14</v>
      </c>
      <c r="N687" s="5" t="s">
        <v>5436</v>
      </c>
      <c r="O687" s="5" t="s">
        <v>13</v>
      </c>
      <c r="P687" s="5">
        <v>1</v>
      </c>
      <c r="Q687" s="5">
        <v>99</v>
      </c>
      <c r="R687" s="5">
        <v>0</v>
      </c>
      <c r="S687" s="5">
        <v>4.0430000000000001</v>
      </c>
      <c r="T687" s="5" t="s">
        <v>12</v>
      </c>
      <c r="U687" s="5" t="s">
        <v>12</v>
      </c>
      <c r="V687" s="5" t="s">
        <v>12</v>
      </c>
      <c r="W687" s="5">
        <v>0.17</v>
      </c>
      <c r="X687" s="5">
        <v>20.22</v>
      </c>
      <c r="Y687" s="5">
        <v>68</v>
      </c>
      <c r="Z687" s="5" t="s">
        <v>12</v>
      </c>
      <c r="AA687" s="5" t="s">
        <v>12</v>
      </c>
      <c r="AB687" s="5" t="s">
        <v>12</v>
      </c>
      <c r="AC687" s="5" t="s">
        <v>12</v>
      </c>
      <c r="AD687" s="5" t="s">
        <v>12</v>
      </c>
      <c r="AE687" s="5" t="s">
        <v>12</v>
      </c>
      <c r="AF687" s="5" t="s">
        <v>12</v>
      </c>
      <c r="AG687" s="5"/>
      <c r="AH687" s="5"/>
      <c r="AI687" s="5"/>
      <c r="AJ687" s="5"/>
      <c r="AK687" s="5"/>
      <c r="AL687" s="5" t="s">
        <v>12</v>
      </c>
      <c r="AM687" s="5" t="s">
        <v>12</v>
      </c>
      <c r="AN687" s="5" t="s">
        <v>12</v>
      </c>
      <c r="AO687" s="5" t="s">
        <v>11</v>
      </c>
      <c r="AP687" s="5" t="s">
        <v>11</v>
      </c>
      <c r="AQ687" s="5" t="s">
        <v>67</v>
      </c>
      <c r="AR687" s="5" t="s">
        <v>66</v>
      </c>
    </row>
    <row r="688" spans="1:44" ht="31.5" x14ac:dyDescent="0.25">
      <c r="A688" s="10">
        <v>46096</v>
      </c>
      <c r="B688" s="5" t="s">
        <v>781</v>
      </c>
      <c r="C688" s="5" t="s">
        <v>3091</v>
      </c>
      <c r="D688" s="5" t="s">
        <v>11</v>
      </c>
      <c r="E688" s="5" t="s">
        <v>1</v>
      </c>
      <c r="F688" s="5" t="s">
        <v>1</v>
      </c>
      <c r="G688" s="5" t="s">
        <v>3103</v>
      </c>
      <c r="H688" s="5" t="s">
        <v>5437</v>
      </c>
      <c r="I688" s="6" t="str">
        <f>HYPERLINK("http://maps.yandex.ru/?ll=39.854782,51.0347&amp;spn=0.011598,0.004531&amp;z=17&amp;l=map&amp;pt=39.854782,51.0347", "51.03476//39.854782")</f>
        <v>51.03476//39.854782</v>
      </c>
      <c r="J688" s="5" t="s">
        <v>101</v>
      </c>
      <c r="K688" s="6" t="str">
        <f>HYPERLINK("http://maps.yandex.ru/?ll=39.902195,47.12959&amp;spn=0.011598,0.004531&amp;z=17&amp;l=map&amp;pt=39.902195,47.12959", "47.129593//39.902195")</f>
        <v>47.129593//39.902195</v>
      </c>
      <c r="L688" s="5" t="s">
        <v>64</v>
      </c>
      <c r="M688" s="5" t="s">
        <v>103</v>
      </c>
      <c r="N688" s="5" t="s">
        <v>5438</v>
      </c>
      <c r="O688" s="5" t="s">
        <v>290</v>
      </c>
      <c r="P688" s="5">
        <v>38</v>
      </c>
      <c r="Q688" s="5">
        <v>60</v>
      </c>
      <c r="R688" s="5">
        <v>3</v>
      </c>
      <c r="S688" s="5">
        <v>692.46299999999997</v>
      </c>
      <c r="T688" s="5" t="s">
        <v>12</v>
      </c>
      <c r="U688" s="5" t="s">
        <v>12</v>
      </c>
      <c r="V688" s="5" t="s">
        <v>12</v>
      </c>
      <c r="W688" s="5">
        <v>28.85</v>
      </c>
      <c r="X688" s="5">
        <v>76.73</v>
      </c>
      <c r="Y688" s="5">
        <v>158</v>
      </c>
      <c r="Z688" s="5" t="s">
        <v>12</v>
      </c>
      <c r="AA688" s="5" t="s">
        <v>12</v>
      </c>
      <c r="AB688" s="5" t="s">
        <v>12</v>
      </c>
      <c r="AC688" s="5" t="s">
        <v>12</v>
      </c>
      <c r="AD688" s="5" t="s">
        <v>12</v>
      </c>
      <c r="AE688" s="5" t="s">
        <v>12</v>
      </c>
      <c r="AF688" s="5" t="s">
        <v>12</v>
      </c>
      <c r="AG688" s="5"/>
      <c r="AH688" s="5"/>
      <c r="AI688" s="5"/>
      <c r="AJ688" s="5"/>
      <c r="AK688" s="5"/>
      <c r="AL688" s="5" t="s">
        <v>3092</v>
      </c>
      <c r="AM688" s="5" t="s">
        <v>5439</v>
      </c>
      <c r="AN688" s="5" t="s">
        <v>1720</v>
      </c>
      <c r="AO688" s="5" t="s">
        <v>69</v>
      </c>
      <c r="AP688" s="5" t="s">
        <v>68</v>
      </c>
      <c r="AQ688" s="5" t="s">
        <v>67</v>
      </c>
      <c r="AR688" s="5" t="s">
        <v>66</v>
      </c>
    </row>
    <row r="689" spans="1:44" ht="31.5" x14ac:dyDescent="0.25">
      <c r="A689" s="10">
        <v>46096</v>
      </c>
      <c r="B689" s="5" t="s">
        <v>780</v>
      </c>
      <c r="C689" s="5" t="s">
        <v>3093</v>
      </c>
      <c r="D689" s="5" t="s">
        <v>11</v>
      </c>
      <c r="E689" s="5" t="s">
        <v>6</v>
      </c>
      <c r="F689" s="5" t="s">
        <v>6</v>
      </c>
      <c r="G689" s="5" t="s">
        <v>5440</v>
      </c>
      <c r="H689" s="5" t="s">
        <v>5441</v>
      </c>
      <c r="I689" s="6" t="str">
        <f>HYPERLINK("http://maps.yandex.ru/?ll=88.15227,56.20098&amp;spn=0.011598,0.004531&amp;z=17&amp;l=map&amp;pt=88.15227,56.20098", "56.200985//88.15227")</f>
        <v>56.200985//88.15227</v>
      </c>
      <c r="J689" s="5" t="s">
        <v>497</v>
      </c>
      <c r="K689" s="6" t="str">
        <f>HYPERLINK("http://maps.yandex.ru/?ll=92.97958,56.1988&amp;spn=0.011598,0.004531&amp;z=17&amp;l=map&amp;pt=92.97958,56.1988", "56.19882//92.97958")</f>
        <v>56.19882//92.97958</v>
      </c>
      <c r="L689" s="5" t="s">
        <v>162</v>
      </c>
      <c r="M689" s="5" t="s">
        <v>1009</v>
      </c>
      <c r="N689" s="5" t="s">
        <v>1504</v>
      </c>
      <c r="O689" s="5" t="s">
        <v>13</v>
      </c>
      <c r="P689" s="5">
        <v>29</v>
      </c>
      <c r="Q689" s="5">
        <v>71</v>
      </c>
      <c r="R689" s="5">
        <v>0</v>
      </c>
      <c r="S689" s="5">
        <v>367.31799999999998</v>
      </c>
      <c r="T689" s="5" t="s">
        <v>12</v>
      </c>
      <c r="U689" s="5" t="s">
        <v>12</v>
      </c>
      <c r="V689" s="5" t="s">
        <v>12</v>
      </c>
      <c r="W689" s="5">
        <v>15.31</v>
      </c>
      <c r="X689" s="5">
        <v>53.01</v>
      </c>
      <c r="Y689" s="5">
        <v>80</v>
      </c>
      <c r="Z689" s="5" t="s">
        <v>12</v>
      </c>
      <c r="AA689" s="5" t="s">
        <v>12</v>
      </c>
      <c r="AB689" s="5" t="s">
        <v>12</v>
      </c>
      <c r="AC689" s="5" t="s">
        <v>12</v>
      </c>
      <c r="AD689" s="5" t="s">
        <v>12</v>
      </c>
      <c r="AE689" s="5" t="s">
        <v>12</v>
      </c>
      <c r="AF689" s="5" t="s">
        <v>12</v>
      </c>
      <c r="AG689" s="5"/>
      <c r="AH689" s="5"/>
      <c r="AI689" s="5"/>
      <c r="AJ689" s="5"/>
      <c r="AK689" s="5"/>
      <c r="AL689" s="5" t="s">
        <v>12</v>
      </c>
      <c r="AM689" s="5" t="s">
        <v>12</v>
      </c>
      <c r="AN689" s="5" t="s">
        <v>12</v>
      </c>
      <c r="AO689" s="5" t="s">
        <v>11</v>
      </c>
      <c r="AP689" s="5" t="s">
        <v>11</v>
      </c>
      <c r="AQ689" s="5" t="s">
        <v>67</v>
      </c>
      <c r="AR689" s="5" t="s">
        <v>66</v>
      </c>
    </row>
    <row r="690" spans="1:44" ht="31.5" x14ac:dyDescent="0.25">
      <c r="A690" s="10">
        <v>46096</v>
      </c>
      <c r="B690" s="5" t="s">
        <v>778</v>
      </c>
      <c r="C690" s="5" t="s">
        <v>3048</v>
      </c>
      <c r="D690" s="5" t="s">
        <v>11</v>
      </c>
      <c r="E690" s="5" t="s">
        <v>6</v>
      </c>
      <c r="F690" s="5" t="s">
        <v>6</v>
      </c>
      <c r="G690" s="5" t="s">
        <v>5442</v>
      </c>
      <c r="H690" s="5" t="s">
        <v>5443</v>
      </c>
      <c r="I690" s="6" t="str">
        <f>HYPERLINK("http://maps.yandex.ru/?ll=132.8579,48.89277&amp;spn=0.011598,0.004531&amp;z=17&amp;l=map&amp;pt=132.8579,48.89277", "48.892776//132.8579")</f>
        <v>48.892776//132.8579</v>
      </c>
      <c r="J690" s="5" t="s">
        <v>142</v>
      </c>
      <c r="K690" s="6" t="str">
        <f>HYPERLINK("http://maps.yandex.ru/?ll=128.35657,51.50025&amp;spn=0.011598,0.004531&amp;z=17&amp;l=map&amp;pt=128.35657,51.50025", "51.500256//128.35657")</f>
        <v>51.500256//128.35657</v>
      </c>
      <c r="L690" s="5" t="s">
        <v>143</v>
      </c>
      <c r="M690" s="5" t="s">
        <v>3335</v>
      </c>
      <c r="N690" s="5" t="s">
        <v>4538</v>
      </c>
      <c r="O690" s="5" t="s">
        <v>827</v>
      </c>
      <c r="P690" s="5">
        <v>24</v>
      </c>
      <c r="Q690" s="5">
        <v>72</v>
      </c>
      <c r="R690" s="5">
        <v>4</v>
      </c>
      <c r="S690" s="5">
        <v>455.86599999999999</v>
      </c>
      <c r="T690" s="5" t="s">
        <v>12</v>
      </c>
      <c r="U690" s="5" t="s">
        <v>12</v>
      </c>
      <c r="V690" s="5" t="s">
        <v>12</v>
      </c>
      <c r="W690" s="5">
        <v>18.989999999999998</v>
      </c>
      <c r="X690" s="5">
        <v>78.75</v>
      </c>
      <c r="Y690" s="5">
        <v>144</v>
      </c>
      <c r="Z690" s="5" t="s">
        <v>12</v>
      </c>
      <c r="AA690" s="5" t="s">
        <v>12</v>
      </c>
      <c r="AB690" s="5" t="s">
        <v>12</v>
      </c>
      <c r="AC690" s="5" t="s">
        <v>12</v>
      </c>
      <c r="AD690" s="5" t="s">
        <v>12</v>
      </c>
      <c r="AE690" s="5" t="s">
        <v>12</v>
      </c>
      <c r="AF690" s="5" t="s">
        <v>12</v>
      </c>
      <c r="AG690" s="5"/>
      <c r="AH690" s="5"/>
      <c r="AI690" s="5"/>
      <c r="AJ690" s="5"/>
      <c r="AK690" s="5"/>
      <c r="AL690" s="5" t="s">
        <v>12</v>
      </c>
      <c r="AM690" s="5" t="s">
        <v>12</v>
      </c>
      <c r="AN690" s="5" t="s">
        <v>12</v>
      </c>
      <c r="AO690" s="5" t="s">
        <v>11</v>
      </c>
      <c r="AP690" s="5" t="s">
        <v>11</v>
      </c>
      <c r="AQ690" s="5" t="s">
        <v>106</v>
      </c>
      <c r="AR690" s="5" t="s">
        <v>105</v>
      </c>
    </row>
    <row r="691" spans="1:44" ht="31.5" x14ac:dyDescent="0.25">
      <c r="A691" s="10">
        <v>46096</v>
      </c>
      <c r="B691" s="5" t="s">
        <v>776</v>
      </c>
      <c r="C691" s="5" t="s">
        <v>3049</v>
      </c>
      <c r="D691" s="5" t="s">
        <v>11</v>
      </c>
      <c r="E691" s="5" t="s">
        <v>3</v>
      </c>
      <c r="F691" s="5" t="s">
        <v>3</v>
      </c>
      <c r="G691" s="5" t="s">
        <v>5444</v>
      </c>
      <c r="H691" s="5" t="s">
        <v>5445</v>
      </c>
      <c r="I691" s="6" t="str">
        <f>HYPERLINK("http://maps.yandex.ru/?ll=42.868538,54.06095&amp;spn=0.011598,0.004531&amp;z=17&amp;l=map&amp;pt=42.868538,54.06095", "54.060955//42.868538")</f>
        <v>54.060955//42.868538</v>
      </c>
      <c r="J691" s="5" t="s">
        <v>467</v>
      </c>
      <c r="K691" s="6" t="str">
        <f>HYPERLINK("http://maps.yandex.ru/?ll=50.400585,53.51640&amp;spn=0.011598,0.004531&amp;z=17&amp;l=map&amp;pt=50.400585,53.51640", "53.516407//50.400585")</f>
        <v>53.516407//50.400585</v>
      </c>
      <c r="L691" s="5" t="s">
        <v>76</v>
      </c>
      <c r="M691" s="5" t="s">
        <v>599</v>
      </c>
      <c r="N691" s="5" t="s">
        <v>3633</v>
      </c>
      <c r="O691" s="5" t="s">
        <v>33</v>
      </c>
      <c r="P691" s="5">
        <v>31</v>
      </c>
      <c r="Q691" s="5">
        <v>65</v>
      </c>
      <c r="R691" s="5">
        <v>4</v>
      </c>
      <c r="S691" s="5">
        <v>519.41</v>
      </c>
      <c r="T691" s="5" t="s">
        <v>12</v>
      </c>
      <c r="U691" s="5" t="s">
        <v>12</v>
      </c>
      <c r="V691" s="5" t="s">
        <v>12</v>
      </c>
      <c r="W691" s="5">
        <v>21.64</v>
      </c>
      <c r="X691" s="5">
        <v>70.86</v>
      </c>
      <c r="Y691" s="5">
        <v>109</v>
      </c>
      <c r="Z691" s="5" t="s">
        <v>12</v>
      </c>
      <c r="AA691" s="5" t="s">
        <v>12</v>
      </c>
      <c r="AB691" s="5" t="s">
        <v>12</v>
      </c>
      <c r="AC691" s="5" t="s">
        <v>12</v>
      </c>
      <c r="AD691" s="5" t="s">
        <v>12</v>
      </c>
      <c r="AE691" s="5" t="s">
        <v>12</v>
      </c>
      <c r="AF691" s="5" t="s">
        <v>12</v>
      </c>
      <c r="AG691" s="5"/>
      <c r="AH691" s="5"/>
      <c r="AI691" s="5"/>
      <c r="AJ691" s="5"/>
      <c r="AK691" s="5"/>
      <c r="AL691" s="5" t="s">
        <v>12</v>
      </c>
      <c r="AM691" s="5" t="s">
        <v>12</v>
      </c>
      <c r="AN691" s="5" t="s">
        <v>12</v>
      </c>
      <c r="AO691" s="5" t="s">
        <v>11</v>
      </c>
      <c r="AP691" s="5" t="s">
        <v>11</v>
      </c>
      <c r="AQ691" s="5" t="s">
        <v>106</v>
      </c>
      <c r="AR691" s="5" t="s">
        <v>105</v>
      </c>
    </row>
    <row r="692" spans="1:44" ht="31.5" x14ac:dyDescent="0.25">
      <c r="A692" s="10">
        <v>46096</v>
      </c>
      <c r="B692" s="5" t="s">
        <v>774</v>
      </c>
      <c r="C692" s="5" t="s">
        <v>3050</v>
      </c>
      <c r="D692" s="5" t="s">
        <v>11</v>
      </c>
      <c r="E692" s="5" t="s">
        <v>5</v>
      </c>
      <c r="F692" s="5" t="s">
        <v>5</v>
      </c>
      <c r="G692" s="5" t="s">
        <v>5446</v>
      </c>
      <c r="H692" s="5" t="s">
        <v>5447</v>
      </c>
      <c r="I692" s="6" t="str">
        <f>HYPERLINK("http://maps.yandex.ru/?ll=30.402897,59.7971&amp;spn=0.011598,0.004531&amp;z=17&amp;l=map&amp;pt=30.402897,59.7971", "59.79717//30.402897")</f>
        <v>59.79717//30.402897</v>
      </c>
      <c r="J692" s="5" t="s">
        <v>23</v>
      </c>
      <c r="K692" s="6" t="str">
        <f>HYPERLINK("http://maps.yandex.ru/?ll=34.43918,61.7365&amp;spn=0.011598,0.004531&amp;z=17&amp;l=map&amp;pt=34.43918,61.7365", "61.73651//34.43918")</f>
        <v>61.73651//34.43918</v>
      </c>
      <c r="L692" s="5" t="s">
        <v>263</v>
      </c>
      <c r="M692" s="5" t="s">
        <v>133</v>
      </c>
      <c r="N692" s="5" t="s">
        <v>5448</v>
      </c>
      <c r="O692" s="5" t="s">
        <v>13</v>
      </c>
      <c r="P692" s="5">
        <v>29</v>
      </c>
      <c r="Q692" s="5">
        <v>71</v>
      </c>
      <c r="R692" s="5">
        <v>0</v>
      </c>
      <c r="S692" s="5">
        <v>436.38799999999998</v>
      </c>
      <c r="T692" s="5" t="s">
        <v>12</v>
      </c>
      <c r="U692" s="5" t="s">
        <v>12</v>
      </c>
      <c r="V692" s="5" t="s">
        <v>12</v>
      </c>
      <c r="W692" s="5">
        <v>18.18</v>
      </c>
      <c r="X692" s="5">
        <v>62.57</v>
      </c>
      <c r="Y692" s="5">
        <v>99</v>
      </c>
      <c r="Z692" s="5" t="s">
        <v>2038</v>
      </c>
      <c r="AA692" s="5" t="s">
        <v>1919</v>
      </c>
      <c r="AB692" s="5" t="s">
        <v>2153</v>
      </c>
      <c r="AC692" s="5" t="s">
        <v>1673</v>
      </c>
      <c r="AD692" s="5" t="s">
        <v>19</v>
      </c>
      <c r="AE692" s="5" t="s">
        <v>2802</v>
      </c>
      <c r="AF692" s="5" t="s">
        <v>12</v>
      </c>
      <c r="AG692" s="5"/>
      <c r="AH692" s="5"/>
      <c r="AI692" s="5"/>
      <c r="AJ692" s="5"/>
      <c r="AK692" s="5"/>
      <c r="AL692" s="5" t="s">
        <v>3051</v>
      </c>
      <c r="AM692" s="5" t="s">
        <v>5449</v>
      </c>
      <c r="AN692" s="5" t="s">
        <v>2253</v>
      </c>
      <c r="AO692" s="5" t="s">
        <v>69</v>
      </c>
      <c r="AP692" s="5" t="s">
        <v>442</v>
      </c>
      <c r="AQ692" s="5" t="s">
        <v>106</v>
      </c>
      <c r="AR692" s="5" t="s">
        <v>105</v>
      </c>
    </row>
    <row r="693" spans="1:44" ht="15.75" x14ac:dyDescent="0.25">
      <c r="A693" s="10">
        <v>46096</v>
      </c>
      <c r="B693" s="5" t="s">
        <v>773</v>
      </c>
      <c r="C693" s="5" t="s">
        <v>3052</v>
      </c>
      <c r="D693" s="5" t="s">
        <v>11</v>
      </c>
      <c r="E693" s="5" t="s">
        <v>5</v>
      </c>
      <c r="F693" s="5" t="s">
        <v>5</v>
      </c>
      <c r="G693" s="5" t="s">
        <v>5450</v>
      </c>
      <c r="H693" s="5" t="s">
        <v>5451</v>
      </c>
      <c r="I693" s="6" t="str">
        <f>HYPERLINK("http://maps.yandex.ru/?ll=67.4274,55.39073&amp;spn=0.011598,0.004531&amp;z=17&amp;l=map&amp;pt=67.4274,55.39073", "55.390736//67.4274")</f>
        <v>55.390736//67.4274</v>
      </c>
      <c r="J693" s="5" t="s">
        <v>361</v>
      </c>
      <c r="K693" s="6" t="str">
        <f>HYPERLINK("http://maps.yandex.ru/?ll=74.60709,55.001&amp;spn=0.011598,0.004531&amp;z=17&amp;l=map&amp;pt=74.60709,55.001", "55.0012//74.60709")</f>
        <v>55.0012//74.60709</v>
      </c>
      <c r="L693" s="5" t="s">
        <v>190</v>
      </c>
      <c r="M693" s="5" t="s">
        <v>219</v>
      </c>
      <c r="N693" s="5" t="s">
        <v>5452</v>
      </c>
      <c r="O693" s="5" t="s">
        <v>13</v>
      </c>
      <c r="P693" s="5">
        <v>36</v>
      </c>
      <c r="Q693" s="5">
        <v>64</v>
      </c>
      <c r="R693" s="5">
        <v>0</v>
      </c>
      <c r="S693" s="5">
        <v>609.07000000000005</v>
      </c>
      <c r="T693" s="5" t="s">
        <v>12</v>
      </c>
      <c r="U693" s="5" t="s">
        <v>12</v>
      </c>
      <c r="V693" s="5" t="s">
        <v>12</v>
      </c>
      <c r="W693" s="5">
        <v>25.38</v>
      </c>
      <c r="X693" s="5">
        <v>71.45</v>
      </c>
      <c r="Y693" s="5">
        <v>92</v>
      </c>
      <c r="Z693" s="5" t="s">
        <v>1988</v>
      </c>
      <c r="AA693" s="5" t="s">
        <v>1988</v>
      </c>
      <c r="AB693" s="5" t="s">
        <v>19</v>
      </c>
      <c r="AC693" s="5" t="s">
        <v>19</v>
      </c>
      <c r="AD693" s="5" t="s">
        <v>19</v>
      </c>
      <c r="AE693" s="5" t="s">
        <v>19</v>
      </c>
      <c r="AF693" s="5" t="s">
        <v>12</v>
      </c>
      <c r="AG693" s="5"/>
      <c r="AH693" s="5"/>
      <c r="AI693" s="5"/>
      <c r="AJ693" s="5"/>
      <c r="AK693" s="5"/>
      <c r="AL693" s="5" t="s">
        <v>12</v>
      </c>
      <c r="AM693" s="5" t="s">
        <v>12</v>
      </c>
      <c r="AN693" s="5" t="s">
        <v>12</v>
      </c>
      <c r="AO693" s="5" t="s">
        <v>69</v>
      </c>
      <c r="AP693" s="5" t="s">
        <v>442</v>
      </c>
      <c r="AQ693" s="5" t="s">
        <v>106</v>
      </c>
      <c r="AR693" s="5" t="s">
        <v>105</v>
      </c>
    </row>
    <row r="694" spans="1:44" ht="31.5" x14ac:dyDescent="0.25">
      <c r="A694" s="10">
        <v>46096</v>
      </c>
      <c r="B694" s="5" t="s">
        <v>772</v>
      </c>
      <c r="C694" s="5" t="s">
        <v>3053</v>
      </c>
      <c r="D694" s="5" t="s">
        <v>11</v>
      </c>
      <c r="E694" s="5" t="s">
        <v>6</v>
      </c>
      <c r="F694" s="5" t="s">
        <v>6</v>
      </c>
      <c r="G694" s="5" t="s">
        <v>3103</v>
      </c>
      <c r="H694" s="5" t="s">
        <v>5453</v>
      </c>
      <c r="I694" s="6" t="str">
        <f>HYPERLINK("http://maps.yandex.ru/?ll=43.880314,44.4382&amp;spn=0.011598,0.004531&amp;z=17&amp;l=map&amp;pt=43.880314,44.4382", "44.43824//43.880314")</f>
        <v>44.43824//43.880314</v>
      </c>
      <c r="J694" s="5" t="s">
        <v>208</v>
      </c>
      <c r="K694" s="6" t="str">
        <f>HYPERLINK("http://maps.yandex.ru/?ll=40.3419,48.52476&amp;spn=0.011598,0.004531&amp;z=17&amp;l=map&amp;pt=40.3419,48.52476", "48.524765//40.3419")</f>
        <v>48.524765//40.3419</v>
      </c>
      <c r="L694" s="5" t="s">
        <v>64</v>
      </c>
      <c r="M694" s="5" t="s">
        <v>1455</v>
      </c>
      <c r="N694" s="5" t="s">
        <v>529</v>
      </c>
      <c r="O694" s="5" t="s">
        <v>5342</v>
      </c>
      <c r="P694" s="5">
        <v>40</v>
      </c>
      <c r="Q694" s="5">
        <v>22</v>
      </c>
      <c r="R694" s="5">
        <v>38</v>
      </c>
      <c r="S694" s="5">
        <v>617.84</v>
      </c>
      <c r="T694" s="5" t="s">
        <v>12</v>
      </c>
      <c r="U694" s="5" t="s">
        <v>12</v>
      </c>
      <c r="V694" s="5" t="s">
        <v>12</v>
      </c>
      <c r="W694" s="5">
        <v>25.74</v>
      </c>
      <c r="X694" s="5">
        <v>65.010000000000005</v>
      </c>
      <c r="Y694" s="5">
        <v>92</v>
      </c>
      <c r="Z694" s="5" t="s">
        <v>12</v>
      </c>
      <c r="AA694" s="5" t="s">
        <v>12</v>
      </c>
      <c r="AB694" s="5" t="s">
        <v>12</v>
      </c>
      <c r="AC694" s="5" t="s">
        <v>12</v>
      </c>
      <c r="AD694" s="5" t="s">
        <v>12</v>
      </c>
      <c r="AE694" s="5" t="s">
        <v>12</v>
      </c>
      <c r="AF694" s="5" t="s">
        <v>12</v>
      </c>
      <c r="AG694" s="5"/>
      <c r="AH694" s="5"/>
      <c r="AI694" s="5"/>
      <c r="AJ694" s="5"/>
      <c r="AK694" s="5"/>
      <c r="AL694" s="5" t="s">
        <v>12</v>
      </c>
      <c r="AM694" s="5" t="s">
        <v>12</v>
      </c>
      <c r="AN694" s="5" t="s">
        <v>12</v>
      </c>
      <c r="AO694" s="5" t="s">
        <v>11</v>
      </c>
      <c r="AP694" s="5" t="s">
        <v>11</v>
      </c>
      <c r="AQ694" s="5" t="s">
        <v>67</v>
      </c>
      <c r="AR694" s="5" t="s">
        <v>66</v>
      </c>
    </row>
    <row r="695" spans="1:44" ht="31.5" x14ac:dyDescent="0.25">
      <c r="A695" s="10">
        <v>46096</v>
      </c>
      <c r="B695" s="5" t="s">
        <v>770</v>
      </c>
      <c r="C695" s="5" t="s">
        <v>3054</v>
      </c>
      <c r="D695" s="5" t="s">
        <v>11</v>
      </c>
      <c r="E695" s="5" t="s">
        <v>8</v>
      </c>
      <c r="F695" s="5" t="s">
        <v>8</v>
      </c>
      <c r="G695" s="5" t="s">
        <v>3103</v>
      </c>
      <c r="H695" s="5" t="s">
        <v>5454</v>
      </c>
      <c r="I695" s="6" t="str">
        <f>HYPERLINK("http://maps.yandex.ru/?ll=37.592056,54.13332&amp;spn=0.011598,0.004531&amp;z=17&amp;l=map&amp;pt=37.592056,54.13332", "54.133324//37.592056")</f>
        <v>54.133324//37.592056</v>
      </c>
      <c r="J695" s="5" t="s">
        <v>168</v>
      </c>
      <c r="K695" s="6" t="str">
        <f>HYPERLINK("http://maps.yandex.ru/?ll=37.592205,54.1333&amp;spn=0.011598,0.004531&amp;z=17&amp;l=map&amp;pt=37.592205,54.1333", "54.13337//37.592205")</f>
        <v>54.13337//37.592205</v>
      </c>
      <c r="L695" s="5" t="s">
        <v>168</v>
      </c>
      <c r="M695" s="5" t="s">
        <v>270</v>
      </c>
      <c r="N695" s="5" t="s">
        <v>269</v>
      </c>
      <c r="O695" s="5" t="s">
        <v>13</v>
      </c>
      <c r="P695" s="5">
        <v>0</v>
      </c>
      <c r="Q695" s="5">
        <v>100</v>
      </c>
      <c r="R695" s="5">
        <v>0</v>
      </c>
      <c r="S695" s="5">
        <v>0</v>
      </c>
      <c r="T695" s="5" t="s">
        <v>12</v>
      </c>
      <c r="U695" s="5" t="s">
        <v>12</v>
      </c>
      <c r="V695" s="5" t="s">
        <v>12</v>
      </c>
      <c r="W695" s="5">
        <v>0</v>
      </c>
      <c r="X695" s="5">
        <v>0</v>
      </c>
      <c r="Y695" s="5">
        <v>5</v>
      </c>
      <c r="Z695" s="5" t="s">
        <v>12</v>
      </c>
      <c r="AA695" s="5" t="s">
        <v>12</v>
      </c>
      <c r="AB695" s="5" t="s">
        <v>12</v>
      </c>
      <c r="AC695" s="5" t="s">
        <v>12</v>
      </c>
      <c r="AD695" s="5" t="s">
        <v>12</v>
      </c>
      <c r="AE695" s="5" t="s">
        <v>12</v>
      </c>
      <c r="AF695" s="5" t="s">
        <v>12</v>
      </c>
      <c r="AG695" s="5"/>
      <c r="AH695" s="5"/>
      <c r="AI695" s="5"/>
      <c r="AJ695" s="5"/>
      <c r="AK695" s="5"/>
      <c r="AL695" s="5" t="s">
        <v>12</v>
      </c>
      <c r="AM695" s="5" t="s">
        <v>12</v>
      </c>
      <c r="AN695" s="5" t="s">
        <v>12</v>
      </c>
      <c r="AO695" s="5" t="s">
        <v>69</v>
      </c>
      <c r="AP695" s="5" t="s">
        <v>68</v>
      </c>
      <c r="AQ695" s="5" t="s">
        <v>99</v>
      </c>
      <c r="AR695" s="5" t="s">
        <v>275</v>
      </c>
    </row>
    <row r="696" spans="1:44" ht="31.5" x14ac:dyDescent="0.25">
      <c r="A696" s="10">
        <v>46096</v>
      </c>
      <c r="B696" s="5" t="s">
        <v>769</v>
      </c>
      <c r="C696" s="5" t="s">
        <v>3055</v>
      </c>
      <c r="D696" s="5" t="s">
        <v>11</v>
      </c>
      <c r="E696" s="5" t="s">
        <v>7</v>
      </c>
      <c r="F696" s="5" t="s">
        <v>7</v>
      </c>
      <c r="G696" s="5" t="s">
        <v>3103</v>
      </c>
      <c r="H696" s="5" t="s">
        <v>5455</v>
      </c>
      <c r="I696" s="6" t="str">
        <f>HYPERLINK("http://maps.yandex.ru/?ll=39.856026,46.13376&amp;spn=0.011598,0.004531&amp;z=17&amp;l=map&amp;pt=39.856026,46.13376", "46.133766//39.856026")</f>
        <v>46.133766//39.856026</v>
      </c>
      <c r="J696" s="5" t="s">
        <v>88</v>
      </c>
      <c r="K696" s="6" t="str">
        <f>HYPERLINK("http://maps.yandex.ru/?ll=38.651546,45.1128&amp;spn=0.011598,0.004531&amp;z=17&amp;l=map&amp;pt=38.651546,45.1128", "45.11289//38.651546")</f>
        <v>45.11289//38.651546</v>
      </c>
      <c r="L696" s="5" t="s">
        <v>88</v>
      </c>
      <c r="M696" s="5" t="s">
        <v>850</v>
      </c>
      <c r="N696" s="5" t="s">
        <v>1482</v>
      </c>
      <c r="O696" s="5" t="s">
        <v>87</v>
      </c>
      <c r="P696" s="5">
        <v>9</v>
      </c>
      <c r="Q696" s="5">
        <v>90</v>
      </c>
      <c r="R696" s="5">
        <v>1</v>
      </c>
      <c r="S696" s="5">
        <v>151.178</v>
      </c>
      <c r="T696" s="5" t="s">
        <v>12</v>
      </c>
      <c r="U696" s="5" t="s">
        <v>12</v>
      </c>
      <c r="V696" s="5" t="s">
        <v>12</v>
      </c>
      <c r="W696" s="5">
        <v>6.3</v>
      </c>
      <c r="X696" s="5">
        <v>71.510000000000005</v>
      </c>
      <c r="Y696" s="5">
        <v>139</v>
      </c>
      <c r="Z696" s="5" t="s">
        <v>12</v>
      </c>
      <c r="AA696" s="5" t="s">
        <v>12</v>
      </c>
      <c r="AB696" s="5" t="s">
        <v>12</v>
      </c>
      <c r="AC696" s="5" t="s">
        <v>12</v>
      </c>
      <c r="AD696" s="5" t="s">
        <v>12</v>
      </c>
      <c r="AE696" s="5" t="s">
        <v>12</v>
      </c>
      <c r="AF696" s="5" t="s">
        <v>12</v>
      </c>
      <c r="AG696" s="5"/>
      <c r="AH696" s="5"/>
      <c r="AI696" s="5"/>
      <c r="AJ696" s="5"/>
      <c r="AK696" s="5"/>
      <c r="AL696" s="5" t="s">
        <v>5456</v>
      </c>
      <c r="AM696" s="5" t="s">
        <v>5457</v>
      </c>
      <c r="AN696" s="5" t="s">
        <v>1695</v>
      </c>
      <c r="AO696" s="5" t="s">
        <v>69</v>
      </c>
      <c r="AP696" s="5" t="s">
        <v>68</v>
      </c>
      <c r="AQ696" s="5" t="s">
        <v>99</v>
      </c>
      <c r="AR696" s="5" t="s">
        <v>275</v>
      </c>
    </row>
    <row r="697" spans="1:44" ht="31.5" x14ac:dyDescent="0.25">
      <c r="A697" s="10">
        <v>46096</v>
      </c>
      <c r="B697" s="5" t="s">
        <v>767</v>
      </c>
      <c r="C697" s="5" t="s">
        <v>3056</v>
      </c>
      <c r="D697" s="5" t="s">
        <v>11</v>
      </c>
      <c r="E697" s="5" t="s">
        <v>11</v>
      </c>
      <c r="F697" s="5" t="s">
        <v>11</v>
      </c>
      <c r="G697" s="5" t="s">
        <v>3100</v>
      </c>
      <c r="H697" s="5" t="s">
        <v>5458</v>
      </c>
      <c r="I697" s="6" t="str">
        <f>HYPERLINK("http://maps.yandex.ru/?ll=30.48659,59.7893&amp;spn=0.011598,0.004531&amp;z=17&amp;l=map&amp;pt=30.48659,59.7893", "59.78932//30.48659")</f>
        <v>59.78932//30.48659</v>
      </c>
      <c r="J697" s="5" t="s">
        <v>23</v>
      </c>
      <c r="K697" s="6" t="str">
        <f>HYPERLINK("http://maps.yandex.ru/?ll=30.488117,59.78860&amp;spn=0.011598,0.004531&amp;z=17&amp;l=map&amp;pt=30.488117,59.78860", "59.788605//30.488117")</f>
        <v>59.788605//30.488117</v>
      </c>
      <c r="L697" s="5" t="s">
        <v>23</v>
      </c>
      <c r="M697" s="5" t="s">
        <v>917</v>
      </c>
      <c r="N697" s="5" t="s">
        <v>5459</v>
      </c>
      <c r="O697" s="5" t="s">
        <v>193</v>
      </c>
      <c r="P697" s="5">
        <v>0</v>
      </c>
      <c r="Q697" s="5">
        <v>98</v>
      </c>
      <c r="R697" s="5">
        <v>2</v>
      </c>
      <c r="S697" s="5">
        <v>0.11600000000000001</v>
      </c>
      <c r="T697" s="5" t="s">
        <v>12</v>
      </c>
      <c r="U697" s="5" t="s">
        <v>12</v>
      </c>
      <c r="V697" s="5" t="s">
        <v>12</v>
      </c>
      <c r="W697" s="5">
        <v>0</v>
      </c>
      <c r="X697" s="5">
        <v>4.91</v>
      </c>
      <c r="Y697" s="5">
        <v>7</v>
      </c>
      <c r="Z697" s="5" t="s">
        <v>12</v>
      </c>
      <c r="AA697" s="5" t="s">
        <v>12</v>
      </c>
      <c r="AB697" s="5" t="s">
        <v>12</v>
      </c>
      <c r="AC697" s="5" t="s">
        <v>12</v>
      </c>
      <c r="AD697" s="5" t="s">
        <v>12</v>
      </c>
      <c r="AE697" s="5" t="s">
        <v>12</v>
      </c>
      <c r="AF697" s="5" t="s">
        <v>12</v>
      </c>
      <c r="AG697" s="5"/>
      <c r="AH697" s="5"/>
      <c r="AI697" s="5"/>
      <c r="AJ697" s="5"/>
      <c r="AK697" s="5"/>
      <c r="AL697" s="5" t="s">
        <v>12</v>
      </c>
      <c r="AM697" s="5" t="s">
        <v>12</v>
      </c>
      <c r="AN697" s="5" t="s">
        <v>12</v>
      </c>
      <c r="AO697" s="5" t="s">
        <v>11</v>
      </c>
      <c r="AP697" s="5" t="s">
        <v>11</v>
      </c>
      <c r="AQ697" s="5" t="s">
        <v>106</v>
      </c>
      <c r="AR697" s="5" t="s">
        <v>105</v>
      </c>
    </row>
    <row r="698" spans="1:44" ht="31.5" x14ac:dyDescent="0.25">
      <c r="A698" s="10">
        <v>46096</v>
      </c>
      <c r="B698" s="5" t="s">
        <v>766</v>
      </c>
      <c r="C698" s="5" t="s">
        <v>3057</v>
      </c>
      <c r="D698" s="5" t="s">
        <v>11</v>
      </c>
      <c r="E698" s="5" t="s">
        <v>8</v>
      </c>
      <c r="F698" s="5" t="s">
        <v>8</v>
      </c>
      <c r="G698" s="5" t="s">
        <v>5460</v>
      </c>
      <c r="H698" s="5" t="s">
        <v>5461</v>
      </c>
      <c r="I698" s="6" t="str">
        <f>HYPERLINK("http://maps.yandex.ru/?ll=55.75729,58.075&amp;spn=0.011598,0.004531&amp;z=17&amp;l=map&amp;pt=55.75729,58.075", "58.0754//55.75729")</f>
        <v>58.0754//55.75729</v>
      </c>
      <c r="J698" s="5" t="s">
        <v>509</v>
      </c>
      <c r="K698" s="6" t="str">
        <f>HYPERLINK("http://maps.yandex.ru/?ll=49.148766,55.91798&amp;spn=0.011598,0.004531&amp;z=17&amp;l=map&amp;pt=49.148766,55.91798", "55.917984//49.148766")</f>
        <v>55.917984//49.148766</v>
      </c>
      <c r="L698" s="5" t="s">
        <v>28</v>
      </c>
      <c r="M698" s="5" t="s">
        <v>764</v>
      </c>
      <c r="N698" s="5" t="s">
        <v>1560</v>
      </c>
      <c r="O698" s="5" t="s">
        <v>13</v>
      </c>
      <c r="P698" s="5">
        <v>44</v>
      </c>
      <c r="Q698" s="5">
        <v>56</v>
      </c>
      <c r="R698" s="5">
        <v>0</v>
      </c>
      <c r="S698" s="5">
        <v>691.2</v>
      </c>
      <c r="T698" s="5" t="s">
        <v>12</v>
      </c>
      <c r="U698" s="5" t="s">
        <v>12</v>
      </c>
      <c r="V698" s="5" t="s">
        <v>12</v>
      </c>
      <c r="W698" s="5">
        <v>28.8</v>
      </c>
      <c r="X698" s="5">
        <v>65.52</v>
      </c>
      <c r="Y698" s="5">
        <v>95</v>
      </c>
      <c r="Z698" s="5" t="s">
        <v>1710</v>
      </c>
      <c r="AA698" s="5" t="s">
        <v>1877</v>
      </c>
      <c r="AB698" s="5" t="s">
        <v>19</v>
      </c>
      <c r="AC698" s="5" t="s">
        <v>19</v>
      </c>
      <c r="AD698" s="5" t="s">
        <v>19</v>
      </c>
      <c r="AE698" s="5" t="s">
        <v>1689</v>
      </c>
      <c r="AF698" s="5" t="s">
        <v>12</v>
      </c>
      <c r="AG698" s="5"/>
      <c r="AH698" s="5"/>
      <c r="AI698" s="5"/>
      <c r="AJ698" s="5"/>
      <c r="AK698" s="5"/>
      <c r="AL698" s="5" t="s">
        <v>12</v>
      </c>
      <c r="AM698" s="5" t="s">
        <v>12</v>
      </c>
      <c r="AN698" s="5" t="s">
        <v>12</v>
      </c>
      <c r="AO698" s="5" t="s">
        <v>69</v>
      </c>
      <c r="AP698" s="5" t="s">
        <v>68</v>
      </c>
      <c r="AQ698" s="5" t="s">
        <v>67</v>
      </c>
      <c r="AR698" s="5" t="s">
        <v>66</v>
      </c>
    </row>
    <row r="699" spans="1:44" ht="31.5" x14ac:dyDescent="0.25">
      <c r="A699" s="10">
        <v>46096</v>
      </c>
      <c r="B699" s="5" t="s">
        <v>762</v>
      </c>
      <c r="C699" s="5" t="s">
        <v>3058</v>
      </c>
      <c r="D699" s="5" t="s">
        <v>11</v>
      </c>
      <c r="E699" s="5" t="s">
        <v>11</v>
      </c>
      <c r="F699" s="5" t="s">
        <v>11</v>
      </c>
      <c r="G699" s="5" t="s">
        <v>3103</v>
      </c>
      <c r="H699" s="5" t="s">
        <v>5462</v>
      </c>
      <c r="I699" s="6" t="str">
        <f>HYPERLINK("http://maps.yandex.ru/?ll=43.456535,56.2976&amp;spn=0.011598,0.004531&amp;z=17&amp;l=map&amp;pt=43.456535,56.2976", "56.29768//43.456535")</f>
        <v>56.29768//43.456535</v>
      </c>
      <c r="J699" s="5" t="s">
        <v>15</v>
      </c>
      <c r="K699" s="6" t="str">
        <f>HYPERLINK("http://maps.yandex.ru/?ll=34.708725,57.4653&amp;spn=0.011598,0.004531&amp;z=17&amp;l=map&amp;pt=34.708725,57.4653", "57.46533//34.708725")</f>
        <v>57.46533//34.708725</v>
      </c>
      <c r="L699" s="5" t="s">
        <v>50</v>
      </c>
      <c r="M699" s="5" t="s">
        <v>4350</v>
      </c>
      <c r="N699" s="5" t="s">
        <v>13</v>
      </c>
      <c r="O699" s="5" t="s">
        <v>1444</v>
      </c>
      <c r="P699" s="5">
        <v>12</v>
      </c>
      <c r="Q699" s="5">
        <v>0</v>
      </c>
      <c r="R699" s="5">
        <v>88</v>
      </c>
      <c r="S699" s="5">
        <v>628.99800000000005</v>
      </c>
      <c r="T699" s="5" t="s">
        <v>1726</v>
      </c>
      <c r="U699" s="5" t="s">
        <v>5463</v>
      </c>
      <c r="V699" s="5" t="s">
        <v>5464</v>
      </c>
      <c r="W699" s="5">
        <v>26.21</v>
      </c>
      <c r="X699" s="5">
        <v>213.1</v>
      </c>
      <c r="Y699" s="5">
        <v>105</v>
      </c>
      <c r="Z699" s="5" t="s">
        <v>2538</v>
      </c>
      <c r="AA699" s="5" t="s">
        <v>4437</v>
      </c>
      <c r="AB699" s="5" t="s">
        <v>2138</v>
      </c>
      <c r="AC699" s="5" t="s">
        <v>1673</v>
      </c>
      <c r="AD699" s="5" t="s">
        <v>19</v>
      </c>
      <c r="AE699" s="5" t="s">
        <v>2607</v>
      </c>
      <c r="AF699" s="5" t="s">
        <v>5465</v>
      </c>
      <c r="AG699" s="5">
        <v>190</v>
      </c>
      <c r="AH699" s="5">
        <v>0</v>
      </c>
      <c r="AI699" s="5">
        <v>190</v>
      </c>
      <c r="AJ699" s="5">
        <v>28.15</v>
      </c>
      <c r="AK699" s="5">
        <v>28.15</v>
      </c>
      <c r="AL699" s="5" t="s">
        <v>12</v>
      </c>
      <c r="AM699" s="5" t="s">
        <v>12</v>
      </c>
      <c r="AN699" s="5" t="s">
        <v>12</v>
      </c>
      <c r="AO699" s="5" t="s">
        <v>11</v>
      </c>
      <c r="AP699" s="5" t="s">
        <v>11</v>
      </c>
      <c r="AQ699" s="5" t="s">
        <v>53</v>
      </c>
      <c r="AR699" s="5" t="s">
        <v>52</v>
      </c>
    </row>
    <row r="700" spans="1:44" ht="31.5" x14ac:dyDescent="0.25">
      <c r="A700" s="10">
        <v>46096</v>
      </c>
      <c r="B700" s="5" t="s">
        <v>760</v>
      </c>
      <c r="C700" s="5" t="s">
        <v>3059</v>
      </c>
      <c r="D700" s="5" t="s">
        <v>11</v>
      </c>
      <c r="E700" s="5" t="s">
        <v>40</v>
      </c>
      <c r="F700" s="5" t="s">
        <v>11</v>
      </c>
      <c r="G700" s="5" t="s">
        <v>5466</v>
      </c>
      <c r="H700" s="5" t="s">
        <v>5467</v>
      </c>
      <c r="I700" s="6" t="str">
        <f>HYPERLINK("http://maps.yandex.ru/?ll=30.208979,60.11649&amp;spn=0.011598,0.004531&amp;z=17&amp;l=map&amp;pt=30.208979,60.11649", "60.116493//30.208979")</f>
        <v>60.116493//30.208979</v>
      </c>
      <c r="J700" s="5" t="s">
        <v>23</v>
      </c>
      <c r="K700" s="6" t="str">
        <f>HYPERLINK("http://maps.yandex.ru/?ll=30.657822,59.66615&amp;spn=0.011598,0.004531&amp;z=17&amp;l=map&amp;pt=30.657822,59.66615", "59.666157//30.657822")</f>
        <v>59.666157//30.657822</v>
      </c>
      <c r="L700" s="5" t="s">
        <v>22</v>
      </c>
      <c r="M700" s="5" t="s">
        <v>139</v>
      </c>
      <c r="N700" s="5" t="s">
        <v>1462</v>
      </c>
      <c r="O700" s="5" t="s">
        <v>13</v>
      </c>
      <c r="P700" s="5">
        <v>17</v>
      </c>
      <c r="Q700" s="5">
        <v>83</v>
      </c>
      <c r="R700" s="5">
        <v>0</v>
      </c>
      <c r="S700" s="5">
        <v>227.477</v>
      </c>
      <c r="T700" s="5" t="s">
        <v>1767</v>
      </c>
      <c r="U700" s="5" t="s">
        <v>5468</v>
      </c>
      <c r="V700" s="5" t="s">
        <v>5469</v>
      </c>
      <c r="W700" s="5">
        <v>9.48</v>
      </c>
      <c r="X700" s="5">
        <v>56.87</v>
      </c>
      <c r="Y700" s="5">
        <v>104</v>
      </c>
      <c r="Z700" s="5" t="s">
        <v>1985</v>
      </c>
      <c r="AA700" s="5" t="s">
        <v>2565</v>
      </c>
      <c r="AB700" s="5" t="s">
        <v>19</v>
      </c>
      <c r="AC700" s="5" t="s">
        <v>19</v>
      </c>
      <c r="AD700" s="5" t="s">
        <v>19</v>
      </c>
      <c r="AE700" s="5" t="s">
        <v>2054</v>
      </c>
      <c r="AF700" s="5" t="s">
        <v>5470</v>
      </c>
      <c r="AG700" s="5">
        <v>48</v>
      </c>
      <c r="AH700" s="5">
        <v>1</v>
      </c>
      <c r="AI700" s="5">
        <v>47</v>
      </c>
      <c r="AJ700" s="5">
        <v>20.96</v>
      </c>
      <c r="AK700" s="5">
        <v>20.52</v>
      </c>
      <c r="AL700" s="5" t="s">
        <v>12</v>
      </c>
      <c r="AM700" s="5" t="s">
        <v>12</v>
      </c>
      <c r="AN700" s="5" t="s">
        <v>12</v>
      </c>
      <c r="AO700" s="5" t="s">
        <v>11</v>
      </c>
      <c r="AP700" s="5" t="s">
        <v>11</v>
      </c>
      <c r="AQ700" s="5" t="s">
        <v>11</v>
      </c>
      <c r="AR700" s="5" t="s">
        <v>11</v>
      </c>
    </row>
    <row r="701" spans="1:44" ht="15.75" x14ac:dyDescent="0.25">
      <c r="A701" s="10">
        <v>46096</v>
      </c>
      <c r="B701" s="5" t="s">
        <v>759</v>
      </c>
      <c r="C701" s="5" t="s">
        <v>3060</v>
      </c>
      <c r="D701" s="5" t="s">
        <v>11</v>
      </c>
      <c r="E701" s="5" t="s">
        <v>1</v>
      </c>
      <c r="F701" s="5" t="s">
        <v>1</v>
      </c>
      <c r="G701" s="5" t="s">
        <v>11</v>
      </c>
      <c r="H701" s="5" t="s">
        <v>11</v>
      </c>
      <c r="I701" s="6" t="str">
        <f>HYPERLINK("http://maps.yandex.ru/?ll=,&amp;spn=0.011598,0.004531&amp;z=17&amp;l=map&amp;pt=,", "")</f>
        <v/>
      </c>
      <c r="J701" s="5" t="s">
        <v>84</v>
      </c>
      <c r="K701" s="6" t="str">
        <f>HYPERLINK("http://maps.yandex.ru/?ll=,&amp;spn=0.011598,0.004531&amp;z=17&amp;l=map&amp;pt=,", "")</f>
        <v/>
      </c>
      <c r="L701" s="5" t="s">
        <v>84</v>
      </c>
      <c r="M701" s="5" t="s">
        <v>13</v>
      </c>
      <c r="N701" s="5" t="s">
        <v>58</v>
      </c>
      <c r="O701" s="5" t="s">
        <v>13</v>
      </c>
      <c r="P701" s="5">
        <v>0</v>
      </c>
      <c r="Q701" s="5">
        <v>100</v>
      </c>
      <c r="R701" s="5">
        <v>0</v>
      </c>
      <c r="S701" s="5">
        <v>0</v>
      </c>
      <c r="T701" s="5" t="s">
        <v>12</v>
      </c>
      <c r="U701" s="5" t="s">
        <v>12</v>
      </c>
      <c r="V701" s="5" t="s">
        <v>12</v>
      </c>
      <c r="W701" s="5">
        <v>0</v>
      </c>
      <c r="X701" s="5">
        <v>0</v>
      </c>
      <c r="Y701" s="5">
        <v>0</v>
      </c>
      <c r="Z701" s="5" t="s">
        <v>12</v>
      </c>
      <c r="AA701" s="5" t="s">
        <v>12</v>
      </c>
      <c r="AB701" s="5" t="s">
        <v>12</v>
      </c>
      <c r="AC701" s="5" t="s">
        <v>12</v>
      </c>
      <c r="AD701" s="5" t="s">
        <v>12</v>
      </c>
      <c r="AE701" s="5" t="s">
        <v>12</v>
      </c>
      <c r="AF701" s="5" t="s">
        <v>12</v>
      </c>
      <c r="AG701" s="5"/>
      <c r="AH701" s="5"/>
      <c r="AI701" s="5"/>
      <c r="AJ701" s="5"/>
      <c r="AK701" s="5"/>
      <c r="AL701" s="5" t="s">
        <v>12</v>
      </c>
      <c r="AM701" s="5" t="s">
        <v>12</v>
      </c>
      <c r="AN701" s="5" t="s">
        <v>12</v>
      </c>
      <c r="AO701" s="5" t="s">
        <v>11</v>
      </c>
      <c r="AP701" s="5" t="s">
        <v>11</v>
      </c>
      <c r="AQ701" s="5" t="s">
        <v>106</v>
      </c>
      <c r="AR701" s="5" t="s">
        <v>105</v>
      </c>
    </row>
    <row r="702" spans="1:44" ht="15.75" x14ac:dyDescent="0.25">
      <c r="A702" s="10">
        <v>46096</v>
      </c>
      <c r="B702" s="5" t="s">
        <v>758</v>
      </c>
      <c r="C702" s="5" t="s">
        <v>3061</v>
      </c>
      <c r="D702" s="5" t="s">
        <v>11</v>
      </c>
      <c r="E702" s="5" t="s">
        <v>11</v>
      </c>
      <c r="F702" s="5" t="s">
        <v>11</v>
      </c>
      <c r="G702" s="5" t="s">
        <v>11</v>
      </c>
      <c r="H702" s="5" t="s">
        <v>11</v>
      </c>
      <c r="I702" s="6" t="str">
        <f>HYPERLINK("http://maps.yandex.ru/?ll=,&amp;spn=0.011598,0.004531&amp;z=17&amp;l=map&amp;pt=,", "")</f>
        <v/>
      </c>
      <c r="J702" s="5" t="s">
        <v>84</v>
      </c>
      <c r="K702" s="6" t="str">
        <f>HYPERLINK("http://maps.yandex.ru/?ll=,&amp;spn=0.011598,0.004531&amp;z=17&amp;l=map&amp;pt=,", "")</f>
        <v/>
      </c>
      <c r="L702" s="5" t="s">
        <v>84</v>
      </c>
      <c r="M702" s="5" t="s">
        <v>13</v>
      </c>
      <c r="N702" s="5" t="s">
        <v>13</v>
      </c>
      <c r="O702" s="5" t="s">
        <v>58</v>
      </c>
      <c r="P702" s="5">
        <v>0</v>
      </c>
      <c r="Q702" s="5">
        <v>0</v>
      </c>
      <c r="R702" s="5">
        <v>100</v>
      </c>
      <c r="S702" s="5">
        <v>0</v>
      </c>
      <c r="T702" s="5" t="s">
        <v>12</v>
      </c>
      <c r="U702" s="5" t="s">
        <v>12</v>
      </c>
      <c r="V702" s="5" t="s">
        <v>12</v>
      </c>
      <c r="W702" s="5">
        <v>0</v>
      </c>
      <c r="X702" s="5">
        <v>0</v>
      </c>
      <c r="Y702" s="5">
        <v>0</v>
      </c>
      <c r="Z702" s="5" t="s">
        <v>12</v>
      </c>
      <c r="AA702" s="5" t="s">
        <v>12</v>
      </c>
      <c r="AB702" s="5" t="s">
        <v>12</v>
      </c>
      <c r="AC702" s="5" t="s">
        <v>12</v>
      </c>
      <c r="AD702" s="5" t="s">
        <v>12</v>
      </c>
      <c r="AE702" s="5" t="s">
        <v>12</v>
      </c>
      <c r="AF702" s="5" t="s">
        <v>12</v>
      </c>
      <c r="AG702" s="5"/>
      <c r="AH702" s="5"/>
      <c r="AI702" s="5"/>
      <c r="AJ702" s="5"/>
      <c r="AK702" s="5"/>
      <c r="AL702" s="5" t="s">
        <v>12</v>
      </c>
      <c r="AM702" s="5" t="s">
        <v>12</v>
      </c>
      <c r="AN702" s="5" t="s">
        <v>12</v>
      </c>
      <c r="AO702" s="5" t="s">
        <v>11</v>
      </c>
      <c r="AP702" s="5" t="s">
        <v>11</v>
      </c>
      <c r="AQ702" s="5" t="s">
        <v>106</v>
      </c>
      <c r="AR702" s="5" t="s">
        <v>105</v>
      </c>
    </row>
    <row r="703" spans="1:44" ht="31.5" x14ac:dyDescent="0.25">
      <c r="A703" s="10">
        <v>46096</v>
      </c>
      <c r="B703" s="5" t="s">
        <v>757</v>
      </c>
      <c r="C703" s="5" t="s">
        <v>3062</v>
      </c>
      <c r="D703" s="5" t="s">
        <v>11</v>
      </c>
      <c r="E703" s="5" t="s">
        <v>5</v>
      </c>
      <c r="F703" s="5" t="s">
        <v>11</v>
      </c>
      <c r="G703" s="5" t="s">
        <v>3103</v>
      </c>
      <c r="H703" s="5" t="s">
        <v>5471</v>
      </c>
      <c r="I703" s="6" t="str">
        <f>HYPERLINK("http://maps.yandex.ru/?ll=36.983234,56.27459&amp;spn=0.011598,0.004531&amp;z=17&amp;l=map&amp;pt=36.983234,56.27459", "56.274597//36.983234")</f>
        <v>56.274597//36.983234</v>
      </c>
      <c r="J703" s="5" t="s">
        <v>56</v>
      </c>
      <c r="K703" s="6" t="str">
        <f>HYPERLINK("http://maps.yandex.ru/?ll=38.50844,55.84910&amp;spn=0.011598,0.004531&amp;z=17&amp;l=map&amp;pt=38.50844,55.84910", "55.849106//38.50844")</f>
        <v>55.849106//38.50844</v>
      </c>
      <c r="L703" s="5" t="s">
        <v>56</v>
      </c>
      <c r="M703" s="5" t="s">
        <v>337</v>
      </c>
      <c r="N703" s="5" t="s">
        <v>1372</v>
      </c>
      <c r="O703" s="5" t="s">
        <v>4304</v>
      </c>
      <c r="P703" s="5">
        <v>21</v>
      </c>
      <c r="Q703" s="5">
        <v>47</v>
      </c>
      <c r="R703" s="5">
        <v>32</v>
      </c>
      <c r="S703" s="5">
        <v>196.81800000000001</v>
      </c>
      <c r="T703" s="5" t="s">
        <v>12</v>
      </c>
      <c r="U703" s="5" t="s">
        <v>12</v>
      </c>
      <c r="V703" s="5" t="s">
        <v>12</v>
      </c>
      <c r="W703" s="5">
        <v>8.1999999999999993</v>
      </c>
      <c r="X703" s="5">
        <v>38.979999999999997</v>
      </c>
      <c r="Y703" s="5">
        <v>145</v>
      </c>
      <c r="Z703" s="5" t="s">
        <v>12</v>
      </c>
      <c r="AA703" s="5" t="s">
        <v>12</v>
      </c>
      <c r="AB703" s="5" t="s">
        <v>12</v>
      </c>
      <c r="AC703" s="5" t="s">
        <v>12</v>
      </c>
      <c r="AD703" s="5" t="s">
        <v>12</v>
      </c>
      <c r="AE703" s="5" t="s">
        <v>12</v>
      </c>
      <c r="AF703" s="5" t="s">
        <v>12</v>
      </c>
      <c r="AG703" s="5"/>
      <c r="AH703" s="5">
        <v>0</v>
      </c>
      <c r="AI703" s="5"/>
      <c r="AJ703" s="5"/>
      <c r="AK703" s="5"/>
      <c r="AL703" s="5" t="s">
        <v>12</v>
      </c>
      <c r="AM703" s="5" t="s">
        <v>12</v>
      </c>
      <c r="AN703" s="5" t="s">
        <v>12</v>
      </c>
      <c r="AO703" s="5" t="s">
        <v>11</v>
      </c>
      <c r="AP703" s="5" t="s">
        <v>11</v>
      </c>
      <c r="AQ703" s="5" t="s">
        <v>43</v>
      </c>
      <c r="AR703" s="5" t="s">
        <v>42</v>
      </c>
    </row>
    <row r="704" spans="1:44" ht="15.75" x14ac:dyDescent="0.25">
      <c r="A704" s="10">
        <v>46096</v>
      </c>
      <c r="B704" s="5" t="s">
        <v>755</v>
      </c>
      <c r="C704" s="5" t="s">
        <v>3063</v>
      </c>
      <c r="D704" s="5" t="s">
        <v>11</v>
      </c>
      <c r="E704" s="5" t="s">
        <v>11</v>
      </c>
      <c r="F704" s="5" t="s">
        <v>11</v>
      </c>
      <c r="G704" s="5" t="s">
        <v>11</v>
      </c>
      <c r="H704" s="5" t="s">
        <v>11</v>
      </c>
      <c r="I704" s="6" t="str">
        <f>HYPERLINK("http://maps.yandex.ru/?ll=,&amp;spn=0.011598,0.004531&amp;z=17&amp;l=map&amp;pt=,", "")</f>
        <v/>
      </c>
      <c r="J704" s="5" t="s">
        <v>84</v>
      </c>
      <c r="K704" s="6" t="str">
        <f>HYPERLINK("http://maps.yandex.ru/?ll=,&amp;spn=0.011598,0.004531&amp;z=17&amp;l=map&amp;pt=,", "")</f>
        <v/>
      </c>
      <c r="L704" s="5" t="s">
        <v>84</v>
      </c>
      <c r="M704" s="5" t="s">
        <v>13</v>
      </c>
      <c r="N704" s="5" t="s">
        <v>4741</v>
      </c>
      <c r="O704" s="5" t="s">
        <v>5472</v>
      </c>
      <c r="P704" s="5">
        <v>0</v>
      </c>
      <c r="Q704" s="5">
        <v>18</v>
      </c>
      <c r="R704" s="5">
        <v>82</v>
      </c>
      <c r="S704" s="5">
        <v>0</v>
      </c>
      <c r="T704" s="5" t="s">
        <v>1673</v>
      </c>
      <c r="U704" s="5" t="s">
        <v>3064</v>
      </c>
      <c r="V704" s="5" t="s">
        <v>3065</v>
      </c>
      <c r="W704" s="5">
        <v>0</v>
      </c>
      <c r="X704" s="5">
        <v>0</v>
      </c>
      <c r="Y704" s="5">
        <v>0</v>
      </c>
      <c r="Z704" s="5" t="s">
        <v>12</v>
      </c>
      <c r="AA704" s="5" t="s">
        <v>12</v>
      </c>
      <c r="AB704" s="5" t="s">
        <v>12</v>
      </c>
      <c r="AC704" s="5" t="s">
        <v>12</v>
      </c>
      <c r="AD704" s="5" t="s">
        <v>12</v>
      </c>
      <c r="AE704" s="5" t="s">
        <v>12</v>
      </c>
      <c r="AF704" s="5" t="s">
        <v>12</v>
      </c>
      <c r="AG704" s="5">
        <v>5</v>
      </c>
      <c r="AH704" s="5">
        <v>1</v>
      </c>
      <c r="AI704" s="5">
        <v>4</v>
      </c>
      <c r="AJ704" s="5">
        <v>500</v>
      </c>
      <c r="AK704" s="5">
        <v>400</v>
      </c>
      <c r="AL704" s="5" t="s">
        <v>12</v>
      </c>
      <c r="AM704" s="5" t="s">
        <v>12</v>
      </c>
      <c r="AN704" s="5" t="s">
        <v>12</v>
      </c>
      <c r="AO704" s="5" t="s">
        <v>11</v>
      </c>
      <c r="AP704" s="5" t="s">
        <v>11</v>
      </c>
      <c r="AQ704" s="5" t="s">
        <v>43</v>
      </c>
      <c r="AR704" s="5" t="s">
        <v>42</v>
      </c>
    </row>
    <row r="705" spans="1:44" ht="31.5" x14ac:dyDescent="0.25">
      <c r="A705" s="10">
        <v>46096</v>
      </c>
      <c r="B705" s="5" t="s">
        <v>754</v>
      </c>
      <c r="C705" s="5" t="s">
        <v>3066</v>
      </c>
      <c r="D705" s="5" t="s">
        <v>11</v>
      </c>
      <c r="E705" s="5" t="s">
        <v>11</v>
      </c>
      <c r="F705" s="5" t="s">
        <v>11</v>
      </c>
      <c r="G705" s="5" t="s">
        <v>5473</v>
      </c>
      <c r="H705" s="5" t="s">
        <v>5474</v>
      </c>
      <c r="I705" s="6" t="str">
        <f>HYPERLINK("http://maps.yandex.ru/?ll=49.698307,52.91380&amp;spn=0.011598,0.004531&amp;z=17&amp;l=map&amp;pt=49.698307,52.91380", "52.913807//49.698307")</f>
        <v>52.913807//49.698307</v>
      </c>
      <c r="J705" s="5" t="s">
        <v>76</v>
      </c>
      <c r="K705" s="6" t="str">
        <f>HYPERLINK("http://maps.yandex.ru/?ll=45.81576,51.6403&amp;spn=0.011598,0.004531&amp;z=17&amp;l=map&amp;pt=45.81576,51.6403", "51.64036//45.81576")</f>
        <v>51.64036//45.81576</v>
      </c>
      <c r="L705" s="5" t="s">
        <v>213</v>
      </c>
      <c r="M705" s="5" t="s">
        <v>595</v>
      </c>
      <c r="N705" s="5" t="s">
        <v>1041</v>
      </c>
      <c r="O705" s="5" t="s">
        <v>1364</v>
      </c>
      <c r="P705" s="5">
        <v>19</v>
      </c>
      <c r="Q705" s="5">
        <v>27</v>
      </c>
      <c r="R705" s="5">
        <v>54</v>
      </c>
      <c r="S705" s="5">
        <v>328.08100000000002</v>
      </c>
      <c r="T705" s="5" t="s">
        <v>12</v>
      </c>
      <c r="U705" s="5" t="s">
        <v>12</v>
      </c>
      <c r="V705" s="5" t="s">
        <v>12</v>
      </c>
      <c r="W705" s="5">
        <v>13.67</v>
      </c>
      <c r="X705" s="5">
        <v>73.11</v>
      </c>
      <c r="Y705" s="5">
        <v>98</v>
      </c>
      <c r="Z705" s="5" t="s">
        <v>12</v>
      </c>
      <c r="AA705" s="5" t="s">
        <v>12</v>
      </c>
      <c r="AB705" s="5" t="s">
        <v>12</v>
      </c>
      <c r="AC705" s="5" t="s">
        <v>12</v>
      </c>
      <c r="AD705" s="5" t="s">
        <v>12</v>
      </c>
      <c r="AE705" s="5" t="s">
        <v>12</v>
      </c>
      <c r="AF705" s="5" t="s">
        <v>12</v>
      </c>
      <c r="AG705" s="5"/>
      <c r="AH705" s="5"/>
      <c r="AI705" s="5"/>
      <c r="AJ705" s="5"/>
      <c r="AK705" s="5"/>
      <c r="AL705" s="5" t="s">
        <v>12</v>
      </c>
      <c r="AM705" s="5" t="s">
        <v>12</v>
      </c>
      <c r="AN705" s="5" t="s">
        <v>12</v>
      </c>
      <c r="AO705" s="5" t="s">
        <v>11</v>
      </c>
      <c r="AP705" s="5" t="s">
        <v>11</v>
      </c>
      <c r="AQ705" s="5" t="s">
        <v>106</v>
      </c>
      <c r="AR705" s="5" t="s">
        <v>105</v>
      </c>
    </row>
    <row r="706" spans="1:44" ht="15.75" x14ac:dyDescent="0.25">
      <c r="A706" s="10">
        <v>46096</v>
      </c>
      <c r="B706" s="5" t="s">
        <v>753</v>
      </c>
      <c r="C706" s="5" t="s">
        <v>3067</v>
      </c>
      <c r="D706" s="5" t="s">
        <v>11</v>
      </c>
      <c r="E706" s="5" t="s">
        <v>3</v>
      </c>
      <c r="F706" s="5" t="s">
        <v>3</v>
      </c>
      <c r="G706" s="5" t="s">
        <v>11</v>
      </c>
      <c r="H706" s="5" t="s">
        <v>11</v>
      </c>
      <c r="I706" s="6" t="str">
        <f>HYPERLINK("http://maps.yandex.ru/?ll=,&amp;spn=0.011598,0.004531&amp;z=17&amp;l=map&amp;pt=,", "")</f>
        <v/>
      </c>
      <c r="J706" s="5" t="s">
        <v>84</v>
      </c>
      <c r="K706" s="6" t="str">
        <f>HYPERLINK("http://maps.yandex.ru/?ll=,&amp;spn=0.011598,0.004531&amp;z=17&amp;l=map&amp;pt=,", "")</f>
        <v/>
      </c>
      <c r="L706" s="5" t="s">
        <v>84</v>
      </c>
      <c r="M706" s="5" t="s">
        <v>13</v>
      </c>
      <c r="N706" s="5" t="s">
        <v>13</v>
      </c>
      <c r="O706" s="5" t="s">
        <v>58</v>
      </c>
      <c r="P706" s="5">
        <v>0</v>
      </c>
      <c r="Q706" s="5">
        <v>0</v>
      </c>
      <c r="R706" s="5">
        <v>100</v>
      </c>
      <c r="S706" s="5">
        <v>0</v>
      </c>
      <c r="T706" s="5" t="s">
        <v>12</v>
      </c>
      <c r="U706" s="5" t="s">
        <v>12</v>
      </c>
      <c r="V706" s="5" t="s">
        <v>12</v>
      </c>
      <c r="W706" s="5">
        <v>0</v>
      </c>
      <c r="X706" s="5">
        <v>0</v>
      </c>
      <c r="Y706" s="5">
        <v>0</v>
      </c>
      <c r="Z706" s="5" t="s">
        <v>12</v>
      </c>
      <c r="AA706" s="5" t="s">
        <v>12</v>
      </c>
      <c r="AB706" s="5" t="s">
        <v>19</v>
      </c>
      <c r="AC706" s="5" t="s">
        <v>19</v>
      </c>
      <c r="AD706" s="5" t="s">
        <v>19</v>
      </c>
      <c r="AE706" s="5" t="s">
        <v>12</v>
      </c>
      <c r="AF706" s="5" t="s">
        <v>12</v>
      </c>
      <c r="AG706" s="5"/>
      <c r="AH706" s="5"/>
      <c r="AI706" s="5"/>
      <c r="AJ706" s="5"/>
      <c r="AK706" s="5"/>
      <c r="AL706" s="5" t="s">
        <v>12</v>
      </c>
      <c r="AM706" s="5" t="s">
        <v>12</v>
      </c>
      <c r="AN706" s="5" t="s">
        <v>12</v>
      </c>
      <c r="AO706" s="5" t="s">
        <v>69</v>
      </c>
      <c r="AP706" s="5" t="s">
        <v>68</v>
      </c>
      <c r="AQ706" s="5" t="s">
        <v>99</v>
      </c>
      <c r="AR706" s="5" t="s">
        <v>98</v>
      </c>
    </row>
    <row r="707" spans="1:44" ht="31.5" x14ac:dyDescent="0.25">
      <c r="A707" s="10">
        <v>46096</v>
      </c>
      <c r="B707" s="5" t="s">
        <v>752</v>
      </c>
      <c r="C707" s="5" t="s">
        <v>3068</v>
      </c>
      <c r="D707" s="5" t="s">
        <v>11</v>
      </c>
      <c r="E707" s="5" t="s">
        <v>5</v>
      </c>
      <c r="F707" s="5" t="s">
        <v>5</v>
      </c>
      <c r="G707" s="5" t="s">
        <v>5475</v>
      </c>
      <c r="H707" s="5" t="s">
        <v>5476</v>
      </c>
      <c r="I707" s="6" t="str">
        <f>HYPERLINK("http://maps.yandex.ru/?ll=47.247715,56.05909&amp;spn=0.011598,0.004531&amp;z=17&amp;l=map&amp;pt=47.247715,56.05909", "56.059097//47.247715")</f>
        <v>56.059097//47.247715</v>
      </c>
      <c r="J707" s="5" t="s">
        <v>46</v>
      </c>
      <c r="K707" s="6" t="str">
        <f>HYPERLINK("http://maps.yandex.ru/?ll=43.919773,56.25418&amp;spn=0.011598,0.004531&amp;z=17&amp;l=map&amp;pt=43.919773,56.25418", "56.254185//43.919773")</f>
        <v>56.254185//43.919773</v>
      </c>
      <c r="L707" s="5" t="s">
        <v>15</v>
      </c>
      <c r="M707" s="5" t="s">
        <v>588</v>
      </c>
      <c r="N707" s="5" t="s">
        <v>1395</v>
      </c>
      <c r="O707" s="5" t="s">
        <v>1156</v>
      </c>
      <c r="P707" s="5">
        <v>15</v>
      </c>
      <c r="Q707" s="5">
        <v>66</v>
      </c>
      <c r="R707" s="5">
        <v>19</v>
      </c>
      <c r="S707" s="5">
        <v>237.697</v>
      </c>
      <c r="T707" s="5" t="s">
        <v>12</v>
      </c>
      <c r="U707" s="5" t="s">
        <v>12</v>
      </c>
      <c r="V707" s="5" t="s">
        <v>12</v>
      </c>
      <c r="W707" s="5">
        <v>9.9</v>
      </c>
      <c r="X707" s="5">
        <v>65.22</v>
      </c>
      <c r="Y707" s="5">
        <v>128</v>
      </c>
      <c r="Z707" s="5" t="s">
        <v>2136</v>
      </c>
      <c r="AA707" s="5" t="s">
        <v>2136</v>
      </c>
      <c r="AB707" s="5" t="s">
        <v>19</v>
      </c>
      <c r="AC707" s="5" t="s">
        <v>19</v>
      </c>
      <c r="AD707" s="5" t="s">
        <v>19</v>
      </c>
      <c r="AE707" s="5" t="s">
        <v>19</v>
      </c>
      <c r="AF707" s="5" t="s">
        <v>12</v>
      </c>
      <c r="AG707" s="5"/>
      <c r="AH707" s="5"/>
      <c r="AI707" s="5"/>
      <c r="AJ707" s="5"/>
      <c r="AK707" s="5"/>
      <c r="AL707" s="5" t="s">
        <v>12</v>
      </c>
      <c r="AM707" s="5" t="s">
        <v>12</v>
      </c>
      <c r="AN707" s="5" t="s">
        <v>12</v>
      </c>
      <c r="AO707" s="5" t="s">
        <v>69</v>
      </c>
      <c r="AP707" s="5" t="s">
        <v>68</v>
      </c>
      <c r="AQ707" s="5" t="s">
        <v>99</v>
      </c>
      <c r="AR707" s="5" t="s">
        <v>98</v>
      </c>
    </row>
    <row r="708" spans="1:44" ht="31.5" x14ac:dyDescent="0.25">
      <c r="A708" s="10">
        <v>46096</v>
      </c>
      <c r="B708" s="5" t="s">
        <v>750</v>
      </c>
      <c r="C708" s="5" t="s">
        <v>3069</v>
      </c>
      <c r="D708" s="5" t="s">
        <v>11</v>
      </c>
      <c r="E708" s="5" t="s">
        <v>11</v>
      </c>
      <c r="F708" s="5" t="s">
        <v>11</v>
      </c>
      <c r="G708" s="5" t="s">
        <v>3103</v>
      </c>
      <c r="H708" s="5" t="s">
        <v>5477</v>
      </c>
      <c r="I708" s="6" t="str">
        <f>HYPERLINK("http://maps.yandex.ru/?ll=30.404343,59.79710&amp;spn=0.011598,0.004531&amp;z=17&amp;l=map&amp;pt=30.404343,59.79710", "59.797104//30.404343")</f>
        <v>59.797104//30.404343</v>
      </c>
      <c r="J708" s="5" t="s">
        <v>23</v>
      </c>
      <c r="K708" s="6" t="str">
        <f>HYPERLINK("http://maps.yandex.ru/?ll=33.288795,58.34647&amp;spn=0.011598,0.004531&amp;z=17&amp;l=map&amp;pt=33.288795,58.34647", "58.346478//33.288795")</f>
        <v>58.346478//33.288795</v>
      </c>
      <c r="L708" s="5" t="s">
        <v>148</v>
      </c>
      <c r="M708" s="5" t="s">
        <v>1062</v>
      </c>
      <c r="N708" s="5" t="s">
        <v>741</v>
      </c>
      <c r="O708" s="5" t="s">
        <v>445</v>
      </c>
      <c r="P708" s="5">
        <v>24</v>
      </c>
      <c r="Q708" s="5">
        <v>46</v>
      </c>
      <c r="R708" s="5">
        <v>30</v>
      </c>
      <c r="S708" s="5">
        <v>333.78699999999998</v>
      </c>
      <c r="T708" s="5" t="s">
        <v>12</v>
      </c>
      <c r="U708" s="5" t="s">
        <v>12</v>
      </c>
      <c r="V708" s="5" t="s">
        <v>12</v>
      </c>
      <c r="W708" s="5">
        <v>13.91</v>
      </c>
      <c r="X708" s="5">
        <v>58.85</v>
      </c>
      <c r="Y708" s="5">
        <v>92</v>
      </c>
      <c r="Z708" s="5" t="s">
        <v>12</v>
      </c>
      <c r="AA708" s="5" t="s">
        <v>12</v>
      </c>
      <c r="AB708" s="5" t="s">
        <v>19</v>
      </c>
      <c r="AC708" s="5" t="s">
        <v>19</v>
      </c>
      <c r="AD708" s="5" t="s">
        <v>19</v>
      </c>
      <c r="AE708" s="5" t="s">
        <v>12</v>
      </c>
      <c r="AF708" s="5" t="s">
        <v>12</v>
      </c>
      <c r="AG708" s="5"/>
      <c r="AH708" s="5"/>
      <c r="AI708" s="5"/>
      <c r="AJ708" s="5"/>
      <c r="AK708" s="5"/>
      <c r="AL708" s="5" t="s">
        <v>5478</v>
      </c>
      <c r="AM708" s="5" t="s">
        <v>5479</v>
      </c>
      <c r="AN708" s="5" t="s">
        <v>1695</v>
      </c>
      <c r="AO708" s="5" t="s">
        <v>69</v>
      </c>
      <c r="AP708" s="5" t="s">
        <v>68</v>
      </c>
      <c r="AQ708" s="5" t="s">
        <v>67</v>
      </c>
      <c r="AR708" s="5" t="s">
        <v>407</v>
      </c>
    </row>
    <row r="709" spans="1:44" ht="31.5" x14ac:dyDescent="0.25">
      <c r="A709" s="10">
        <v>46096</v>
      </c>
      <c r="B709" s="5" t="s">
        <v>747</v>
      </c>
      <c r="C709" s="5" t="s">
        <v>3070</v>
      </c>
      <c r="D709" s="5" t="s">
        <v>11</v>
      </c>
      <c r="E709" s="5" t="s">
        <v>11</v>
      </c>
      <c r="F709" s="5" t="s">
        <v>11</v>
      </c>
      <c r="G709" s="5" t="s">
        <v>3103</v>
      </c>
      <c r="H709" s="5" t="s">
        <v>5480</v>
      </c>
      <c r="I709" s="6" t="str">
        <f>HYPERLINK("http://maps.yandex.ru/?ll=38.892727,44.94975&amp;spn=0.011598,0.004531&amp;z=17&amp;l=map&amp;pt=38.892727,44.94975", "44.949757//38.892727")</f>
        <v>44.949757//38.892727</v>
      </c>
      <c r="J709" s="5" t="s">
        <v>23</v>
      </c>
      <c r="K709" s="6" t="str">
        <f>HYPERLINK("http://maps.yandex.ru/?ll=39.652664,47.30978&amp;spn=0.011598,0.004531&amp;z=17&amp;l=map&amp;pt=39.652664,47.30978", "47.309784//39.652664")</f>
        <v>47.309784//39.652664</v>
      </c>
      <c r="L709" s="5" t="s">
        <v>64</v>
      </c>
      <c r="M709" s="5" t="s">
        <v>945</v>
      </c>
      <c r="N709" s="5" t="s">
        <v>496</v>
      </c>
      <c r="O709" s="5" t="s">
        <v>219</v>
      </c>
      <c r="P709" s="5">
        <v>45</v>
      </c>
      <c r="Q709" s="5">
        <v>19</v>
      </c>
      <c r="R709" s="5">
        <v>36</v>
      </c>
      <c r="S709" s="5">
        <v>652.75199999999995</v>
      </c>
      <c r="T709" s="5" t="s">
        <v>12</v>
      </c>
      <c r="U709" s="5" t="s">
        <v>12</v>
      </c>
      <c r="V709" s="5" t="s">
        <v>12</v>
      </c>
      <c r="W709" s="5">
        <v>27.2</v>
      </c>
      <c r="X709" s="5">
        <v>59.85</v>
      </c>
      <c r="Y709" s="5">
        <v>145</v>
      </c>
      <c r="Z709" s="5" t="s">
        <v>1858</v>
      </c>
      <c r="AA709" s="5" t="s">
        <v>1530</v>
      </c>
      <c r="AB709" s="5" t="s">
        <v>19</v>
      </c>
      <c r="AC709" s="5" t="s">
        <v>19</v>
      </c>
      <c r="AD709" s="5" t="s">
        <v>19</v>
      </c>
      <c r="AE709" s="5" t="s">
        <v>2418</v>
      </c>
      <c r="AF709" s="5" t="s">
        <v>12</v>
      </c>
      <c r="AG709" s="5"/>
      <c r="AH709" s="5"/>
      <c r="AI709" s="5"/>
      <c r="AJ709" s="5"/>
      <c r="AK709" s="5"/>
      <c r="AL709" s="5" t="s">
        <v>5481</v>
      </c>
      <c r="AM709" s="5" t="s">
        <v>5482</v>
      </c>
      <c r="AN709" s="5" t="s">
        <v>1718</v>
      </c>
      <c r="AO709" s="5" t="s">
        <v>69</v>
      </c>
      <c r="AP709" s="5" t="s">
        <v>68</v>
      </c>
      <c r="AQ709" s="5" t="s">
        <v>99</v>
      </c>
      <c r="AR709" s="5" t="s">
        <v>98</v>
      </c>
    </row>
    <row r="710" spans="1:44" ht="31.5" x14ac:dyDescent="0.25">
      <c r="A710" s="10">
        <v>46096</v>
      </c>
      <c r="B710" s="5" t="s">
        <v>745</v>
      </c>
      <c r="C710" s="5" t="s">
        <v>3071</v>
      </c>
      <c r="D710" s="5" t="s">
        <v>11</v>
      </c>
      <c r="E710" s="5" t="s">
        <v>11</v>
      </c>
      <c r="F710" s="5" t="s">
        <v>11</v>
      </c>
      <c r="G710" s="5" t="s">
        <v>5483</v>
      </c>
      <c r="H710" s="5" t="s">
        <v>5484</v>
      </c>
      <c r="I710" s="6" t="str">
        <f>HYPERLINK("http://maps.yandex.ru/?ll=39.499744,57.8525&amp;spn=0.011598,0.004531&amp;z=17&amp;l=map&amp;pt=39.499744,57.8525", "57.85256//39.499744")</f>
        <v>57.85256//39.499744</v>
      </c>
      <c r="J710" s="5" t="s">
        <v>560</v>
      </c>
      <c r="K710" s="6" t="str">
        <f>HYPERLINK("http://maps.yandex.ru/?ll=38.19425,56.42666&amp;spn=0.011598,0.004531&amp;z=17&amp;l=map&amp;pt=38.19425,56.42666", "56.426662//38.19425")</f>
        <v>56.426662//38.19425</v>
      </c>
      <c r="L710" s="5" t="s">
        <v>56</v>
      </c>
      <c r="M710" s="5" t="s">
        <v>910</v>
      </c>
      <c r="N710" s="5" t="s">
        <v>3633</v>
      </c>
      <c r="O710" s="5" t="s">
        <v>5485</v>
      </c>
      <c r="P710" s="5">
        <v>7</v>
      </c>
      <c r="Q710" s="5">
        <v>65</v>
      </c>
      <c r="R710" s="5">
        <v>28</v>
      </c>
      <c r="S710" s="5">
        <v>101.262</v>
      </c>
      <c r="T710" s="5" t="s">
        <v>1516</v>
      </c>
      <c r="U710" s="5" t="s">
        <v>5486</v>
      </c>
      <c r="V710" s="5" t="s">
        <v>5487</v>
      </c>
      <c r="W710" s="5">
        <v>4.22</v>
      </c>
      <c r="X710" s="5">
        <v>62.65</v>
      </c>
      <c r="Y710" s="5">
        <v>180</v>
      </c>
      <c r="Z710" s="5" t="s">
        <v>2281</v>
      </c>
      <c r="AA710" s="5" t="s">
        <v>2904</v>
      </c>
      <c r="AB710" s="5" t="s">
        <v>19</v>
      </c>
      <c r="AC710" s="5" t="s">
        <v>19</v>
      </c>
      <c r="AD710" s="5" t="s">
        <v>19</v>
      </c>
      <c r="AE710" s="5" t="s">
        <v>2133</v>
      </c>
      <c r="AF710" s="5" t="s">
        <v>5488</v>
      </c>
      <c r="AG710" s="5">
        <v>61</v>
      </c>
      <c r="AH710" s="5">
        <v>3</v>
      </c>
      <c r="AI710" s="5">
        <v>58</v>
      </c>
      <c r="AJ710" s="5">
        <v>35.26</v>
      </c>
      <c r="AK710" s="5">
        <v>33.53</v>
      </c>
      <c r="AL710" s="5" t="s">
        <v>12</v>
      </c>
      <c r="AM710" s="5" t="s">
        <v>12</v>
      </c>
      <c r="AN710" s="5" t="s">
        <v>12</v>
      </c>
      <c r="AO710" s="5" t="s">
        <v>11</v>
      </c>
      <c r="AP710" s="5" t="s">
        <v>11</v>
      </c>
      <c r="AQ710" s="5" t="s">
        <v>53</v>
      </c>
      <c r="AR710" s="5" t="s">
        <v>52</v>
      </c>
    </row>
    <row r="711" spans="1:44" ht="31.5" x14ac:dyDescent="0.25">
      <c r="A711" s="10">
        <v>46096</v>
      </c>
      <c r="B711" s="5" t="s">
        <v>744</v>
      </c>
      <c r="C711" s="5" t="s">
        <v>3072</v>
      </c>
      <c r="D711" s="5" t="s">
        <v>11</v>
      </c>
      <c r="E711" s="5" t="s">
        <v>11</v>
      </c>
      <c r="F711" s="5" t="s">
        <v>11</v>
      </c>
      <c r="G711" s="5" t="s">
        <v>5489</v>
      </c>
      <c r="H711" s="5" t="s">
        <v>5490</v>
      </c>
      <c r="I711" s="6" t="str">
        <f>HYPERLINK("http://maps.yandex.ru/?ll=65.12852,55.4634&amp;spn=0.011598,0.004531&amp;z=17&amp;l=map&amp;pt=65.12852,55.4634", "55.46348//65.12852")</f>
        <v>55.46348//65.12852</v>
      </c>
      <c r="J711" s="5" t="s">
        <v>361</v>
      </c>
      <c r="K711" s="6" t="str">
        <f>HYPERLINK("http://maps.yandex.ru/?ll=55.11914,55.19494&amp;spn=0.011598,0.004531&amp;z=17&amp;l=map&amp;pt=55.11914,55.19494", "55.194942//55.11914")</f>
        <v>55.194942//55.11914</v>
      </c>
      <c r="L711" s="5" t="s">
        <v>34</v>
      </c>
      <c r="M711" s="5" t="s">
        <v>492</v>
      </c>
      <c r="N711" s="5" t="s">
        <v>5491</v>
      </c>
      <c r="O711" s="5" t="s">
        <v>914</v>
      </c>
      <c r="P711" s="5">
        <v>39</v>
      </c>
      <c r="Q711" s="5">
        <v>52</v>
      </c>
      <c r="R711" s="5">
        <v>9</v>
      </c>
      <c r="S711" s="5">
        <v>623.5</v>
      </c>
      <c r="T711" s="5" t="s">
        <v>12</v>
      </c>
      <c r="U711" s="5" t="s">
        <v>12</v>
      </c>
      <c r="V711" s="5" t="s">
        <v>12</v>
      </c>
      <c r="W711" s="5">
        <v>25.98</v>
      </c>
      <c r="X711" s="5">
        <v>66.47</v>
      </c>
      <c r="Y711" s="5">
        <v>98</v>
      </c>
      <c r="Z711" s="5" t="s">
        <v>2130</v>
      </c>
      <c r="AA711" s="5" t="s">
        <v>1605</v>
      </c>
      <c r="AB711" s="5" t="s">
        <v>19</v>
      </c>
      <c r="AC711" s="5" t="s">
        <v>19</v>
      </c>
      <c r="AD711" s="5" t="s">
        <v>19</v>
      </c>
      <c r="AE711" s="5" t="s">
        <v>2257</v>
      </c>
      <c r="AF711" s="5" t="s">
        <v>12</v>
      </c>
      <c r="AG711" s="5"/>
      <c r="AH711" s="5"/>
      <c r="AI711" s="5"/>
      <c r="AJ711" s="5"/>
      <c r="AK711" s="5"/>
      <c r="AL711" s="5" t="s">
        <v>12</v>
      </c>
      <c r="AM711" s="5" t="s">
        <v>12</v>
      </c>
      <c r="AN711" s="5" t="s">
        <v>12</v>
      </c>
      <c r="AO711" s="5" t="s">
        <v>83</v>
      </c>
      <c r="AP711" s="5" t="s">
        <v>326</v>
      </c>
      <c r="AQ711" s="5" t="s">
        <v>106</v>
      </c>
      <c r="AR711" s="5" t="s">
        <v>407</v>
      </c>
    </row>
    <row r="712" spans="1:44" ht="15.75" x14ac:dyDescent="0.25">
      <c r="A712" s="10">
        <v>46096</v>
      </c>
      <c r="B712" s="5" t="s">
        <v>742</v>
      </c>
      <c r="C712" s="5" t="s">
        <v>3073</v>
      </c>
      <c r="D712" s="5" t="s">
        <v>11</v>
      </c>
      <c r="E712" s="5" t="s">
        <v>11</v>
      </c>
      <c r="F712" s="5" t="s">
        <v>11</v>
      </c>
      <c r="G712" s="5" t="s">
        <v>5492</v>
      </c>
      <c r="H712" s="5" t="s">
        <v>5493</v>
      </c>
      <c r="I712" s="6" t="str">
        <f>HYPERLINK("http://maps.yandex.ru/?ll=44.86789,48.7216&amp;spn=0.011598,0.004531&amp;z=17&amp;l=map&amp;pt=44.86789,48.7216", "48.72167//44.86789")</f>
        <v>48.72167//44.86789</v>
      </c>
      <c r="J712" s="5" t="s">
        <v>95</v>
      </c>
      <c r="K712" s="6" t="str">
        <f>HYPERLINK("http://maps.yandex.ru/?ll=41.15261,52.756&amp;spn=0.011598,0.004531&amp;z=17&amp;l=map&amp;pt=41.15261,52.756", "52.7568//41.15261")</f>
        <v>52.7568//41.15261</v>
      </c>
      <c r="L712" s="5" t="s">
        <v>284</v>
      </c>
      <c r="M712" s="5" t="s">
        <v>379</v>
      </c>
      <c r="N712" s="5" t="s">
        <v>4092</v>
      </c>
      <c r="O712" s="5" t="s">
        <v>1524</v>
      </c>
      <c r="P712" s="5">
        <v>32</v>
      </c>
      <c r="Q712" s="5">
        <v>17</v>
      </c>
      <c r="R712" s="5">
        <v>51</v>
      </c>
      <c r="S712" s="5">
        <v>518.98099999999999</v>
      </c>
      <c r="T712" s="5" t="s">
        <v>12</v>
      </c>
      <c r="U712" s="5" t="s">
        <v>12</v>
      </c>
      <c r="V712" s="5" t="s">
        <v>12</v>
      </c>
      <c r="W712" s="5">
        <v>21.62</v>
      </c>
      <c r="X712" s="5">
        <v>68.209999999999994</v>
      </c>
      <c r="Y712" s="5">
        <v>105</v>
      </c>
      <c r="Z712" s="5" t="s">
        <v>1776</v>
      </c>
      <c r="AA712" s="5" t="s">
        <v>1567</v>
      </c>
      <c r="AB712" s="5" t="s">
        <v>19</v>
      </c>
      <c r="AC712" s="5" t="s">
        <v>19</v>
      </c>
      <c r="AD712" s="5" t="s">
        <v>19</v>
      </c>
      <c r="AE712" s="5" t="s">
        <v>1671</v>
      </c>
      <c r="AF712" s="5" t="s">
        <v>12</v>
      </c>
      <c r="AG712" s="5"/>
      <c r="AH712" s="5"/>
      <c r="AI712" s="5"/>
      <c r="AJ712" s="5"/>
      <c r="AK712" s="5"/>
      <c r="AL712" s="5" t="s">
        <v>12</v>
      </c>
      <c r="AM712" s="5" t="s">
        <v>12</v>
      </c>
      <c r="AN712" s="5" t="s">
        <v>12</v>
      </c>
      <c r="AO712" s="5" t="s">
        <v>69</v>
      </c>
      <c r="AP712" s="5" t="s">
        <v>68</v>
      </c>
      <c r="AQ712" s="5" t="s">
        <v>99</v>
      </c>
      <c r="AR712" s="5" t="s">
        <v>407</v>
      </c>
    </row>
    <row r="713" spans="1:44" ht="31.5" x14ac:dyDescent="0.25">
      <c r="A713" s="10">
        <v>46096</v>
      </c>
      <c r="B713" s="5" t="s">
        <v>740</v>
      </c>
      <c r="C713" s="5" t="s">
        <v>3074</v>
      </c>
      <c r="D713" s="5" t="s">
        <v>11</v>
      </c>
      <c r="E713" s="5" t="s">
        <v>11</v>
      </c>
      <c r="F713" s="5" t="s">
        <v>11</v>
      </c>
      <c r="G713" s="5" t="s">
        <v>5494</v>
      </c>
      <c r="H713" s="5" t="s">
        <v>5495</v>
      </c>
      <c r="I713" s="6" t="str">
        <f>HYPERLINK("http://maps.yandex.ru/?ll=65.128685,55.46351&amp;spn=0.011598,0.004531&amp;z=17&amp;l=map&amp;pt=65.128685,55.46351", "55.463512//65.128685")</f>
        <v>55.463512//65.128685</v>
      </c>
      <c r="J713" s="5" t="s">
        <v>361</v>
      </c>
      <c r="K713" s="6" t="str">
        <f>HYPERLINK("http://maps.yandex.ru/?ll=55.119026,55.19498&amp;spn=0.011598,0.004531&amp;z=17&amp;l=map&amp;pt=55.119026,55.19498", "55.194984//55.119026")</f>
        <v>55.194984//55.119026</v>
      </c>
      <c r="L713" s="5" t="s">
        <v>34</v>
      </c>
      <c r="M713" s="5" t="s">
        <v>401</v>
      </c>
      <c r="N713" s="5" t="s">
        <v>563</v>
      </c>
      <c r="O713" s="5" t="s">
        <v>286</v>
      </c>
      <c r="P713" s="5">
        <v>46</v>
      </c>
      <c r="Q713" s="5">
        <v>52</v>
      </c>
      <c r="R713" s="5">
        <v>1</v>
      </c>
      <c r="S713" s="5">
        <v>743.89</v>
      </c>
      <c r="T713" s="5" t="s">
        <v>709</v>
      </c>
      <c r="U713" s="5" t="s">
        <v>5496</v>
      </c>
      <c r="V713" s="5" t="s">
        <v>5497</v>
      </c>
      <c r="W713" s="5">
        <v>31</v>
      </c>
      <c r="X713" s="5">
        <v>66.94</v>
      </c>
      <c r="Y713" s="5">
        <v>102</v>
      </c>
      <c r="Z713" s="5" t="s">
        <v>3076</v>
      </c>
      <c r="AA713" s="5" t="s">
        <v>5498</v>
      </c>
      <c r="AB713" s="5" t="s">
        <v>19</v>
      </c>
      <c r="AC713" s="5" t="s">
        <v>19</v>
      </c>
      <c r="AD713" s="5" t="s">
        <v>19</v>
      </c>
      <c r="AE713" s="5" t="s">
        <v>5499</v>
      </c>
      <c r="AF713" s="5" t="s">
        <v>5500</v>
      </c>
      <c r="AG713" s="5">
        <v>336</v>
      </c>
      <c r="AH713" s="5">
        <v>2</v>
      </c>
      <c r="AI713" s="5">
        <v>334</v>
      </c>
      <c r="AJ713" s="5">
        <v>41.48</v>
      </c>
      <c r="AK713" s="5">
        <v>41.23</v>
      </c>
      <c r="AL713" s="5" t="s">
        <v>12</v>
      </c>
      <c r="AM713" s="5" t="s">
        <v>12</v>
      </c>
      <c r="AN713" s="5" t="s">
        <v>12</v>
      </c>
      <c r="AO713" s="5" t="s">
        <v>11</v>
      </c>
      <c r="AP713" s="5" t="s">
        <v>11</v>
      </c>
      <c r="AQ713" s="5" t="s">
        <v>18</v>
      </c>
      <c r="AR713" s="5" t="s">
        <v>641</v>
      </c>
    </row>
    <row r="714" spans="1:44" ht="31.5" x14ac:dyDescent="0.25">
      <c r="A714" s="10">
        <v>46096</v>
      </c>
      <c r="B714" s="5" t="s">
        <v>738</v>
      </c>
      <c r="C714" s="5" t="s">
        <v>3077</v>
      </c>
      <c r="D714" s="5" t="s">
        <v>11</v>
      </c>
      <c r="E714" s="5" t="s">
        <v>11</v>
      </c>
      <c r="F714" s="5" t="s">
        <v>11</v>
      </c>
      <c r="G714" s="5" t="s">
        <v>5501</v>
      </c>
      <c r="H714" s="5" t="s">
        <v>5502</v>
      </c>
      <c r="I714" s="6" t="str">
        <f>HYPERLINK("http://maps.yandex.ru/?ll=43.788963,56.30459&amp;spn=0.011598,0.004531&amp;z=17&amp;l=map&amp;pt=43.788963,56.30459", "56.304596//43.788963")</f>
        <v>56.304596//43.788963</v>
      </c>
      <c r="J714" s="5" t="s">
        <v>15</v>
      </c>
      <c r="K714" s="6" t="str">
        <f>HYPERLINK("http://maps.yandex.ru/?ll=43.96989,53.16697&amp;spn=0.011598,0.004531&amp;z=17&amp;l=map&amp;pt=43.96989,53.16697", "53.166973//43.96989")</f>
        <v>53.166973//43.96989</v>
      </c>
      <c r="L714" s="5" t="s">
        <v>94</v>
      </c>
      <c r="M714" s="5" t="s">
        <v>133</v>
      </c>
      <c r="N714" s="5" t="s">
        <v>257</v>
      </c>
      <c r="O714" s="5" t="s">
        <v>1192</v>
      </c>
      <c r="P714" s="5">
        <v>29</v>
      </c>
      <c r="Q714" s="5">
        <v>66</v>
      </c>
      <c r="R714" s="5">
        <v>5</v>
      </c>
      <c r="S714" s="5">
        <v>475.00200000000001</v>
      </c>
      <c r="T714" s="5" t="s">
        <v>12</v>
      </c>
      <c r="U714" s="5" t="s">
        <v>12</v>
      </c>
      <c r="V714" s="5" t="s">
        <v>12</v>
      </c>
      <c r="W714" s="5">
        <v>19.79</v>
      </c>
      <c r="X714" s="5">
        <v>68.02</v>
      </c>
      <c r="Y714" s="5">
        <v>99</v>
      </c>
      <c r="Z714" s="5" t="s">
        <v>2033</v>
      </c>
      <c r="AA714" s="5" t="s">
        <v>2467</v>
      </c>
      <c r="AB714" s="5" t="s">
        <v>19</v>
      </c>
      <c r="AC714" s="5" t="s">
        <v>19</v>
      </c>
      <c r="AD714" s="5" t="s">
        <v>19</v>
      </c>
      <c r="AE714" s="5" t="s">
        <v>1689</v>
      </c>
      <c r="AF714" s="5" t="s">
        <v>12</v>
      </c>
      <c r="AG714" s="5"/>
      <c r="AH714" s="5"/>
      <c r="AI714" s="5"/>
      <c r="AJ714" s="5"/>
      <c r="AK714" s="5"/>
      <c r="AL714" s="5" t="s">
        <v>12</v>
      </c>
      <c r="AM714" s="5" t="s">
        <v>12</v>
      </c>
      <c r="AN714" s="5" t="s">
        <v>12</v>
      </c>
      <c r="AO714" s="5" t="s">
        <v>69</v>
      </c>
      <c r="AP714" s="5" t="s">
        <v>68</v>
      </c>
      <c r="AQ714" s="5" t="s">
        <v>99</v>
      </c>
      <c r="AR714" s="5" t="s">
        <v>407</v>
      </c>
    </row>
    <row r="715" spans="1:44" ht="15.75" x14ac:dyDescent="0.25">
      <c r="A715" s="10">
        <v>46096</v>
      </c>
      <c r="B715" s="5" t="s">
        <v>734</v>
      </c>
      <c r="C715" s="5" t="s">
        <v>3078</v>
      </c>
      <c r="D715" s="5" t="s">
        <v>11</v>
      </c>
      <c r="E715" s="5" t="s">
        <v>4</v>
      </c>
      <c r="F715" s="5" t="s">
        <v>4</v>
      </c>
      <c r="G715" s="5" t="s">
        <v>5503</v>
      </c>
      <c r="H715" s="5" t="s">
        <v>5504</v>
      </c>
      <c r="I715" s="6" t="str">
        <f>HYPERLINK("http://maps.yandex.ru/?ll=82.68006,54.9872&amp;spn=0.011598,0.004531&amp;z=17&amp;l=map&amp;pt=82.68006,54.9872", "54.98721//82.68006")</f>
        <v>54.98721//82.68006</v>
      </c>
      <c r="J715" s="5" t="s">
        <v>39</v>
      </c>
      <c r="K715" s="6" t="str">
        <f>HYPERLINK("http://maps.yandex.ru/?ll=82.67979,54.9872&amp;spn=0.011598,0.004531&amp;z=17&amp;l=map&amp;pt=82.67979,54.9872", "54.98728//82.67979")</f>
        <v>54.98728//82.67979</v>
      </c>
      <c r="L715" s="5" t="s">
        <v>39</v>
      </c>
      <c r="M715" s="5" t="s">
        <v>1260</v>
      </c>
      <c r="N715" s="5" t="s">
        <v>1506</v>
      </c>
      <c r="O715" s="5" t="s">
        <v>721</v>
      </c>
      <c r="P715" s="5">
        <v>1</v>
      </c>
      <c r="Q715" s="5">
        <v>76</v>
      </c>
      <c r="R715" s="5">
        <v>23</v>
      </c>
      <c r="S715" s="5">
        <v>3.0089999999999999</v>
      </c>
      <c r="T715" s="5" t="s">
        <v>12</v>
      </c>
      <c r="U715" s="5" t="s">
        <v>12</v>
      </c>
      <c r="V715" s="5" t="s">
        <v>12</v>
      </c>
      <c r="W715" s="5">
        <v>0.13</v>
      </c>
      <c r="X715" s="5">
        <v>12.97</v>
      </c>
      <c r="Y715" s="5">
        <v>55</v>
      </c>
      <c r="Z715" s="5" t="s">
        <v>2306</v>
      </c>
      <c r="AA715" s="5" t="s">
        <v>3512</v>
      </c>
      <c r="AB715" s="5" t="s">
        <v>19</v>
      </c>
      <c r="AC715" s="5" t="s">
        <v>19</v>
      </c>
      <c r="AD715" s="5" t="s">
        <v>19</v>
      </c>
      <c r="AE715" s="5" t="s">
        <v>1689</v>
      </c>
      <c r="AF715" s="5" t="s">
        <v>12</v>
      </c>
      <c r="AG715" s="5"/>
      <c r="AH715" s="5"/>
      <c r="AI715" s="5"/>
      <c r="AJ715" s="5"/>
      <c r="AK715" s="5"/>
      <c r="AL715" s="5" t="s">
        <v>12</v>
      </c>
      <c r="AM715" s="5" t="s">
        <v>12</v>
      </c>
      <c r="AN715" s="5" t="s">
        <v>12</v>
      </c>
      <c r="AO715" s="5" t="s">
        <v>69</v>
      </c>
      <c r="AP715" s="5" t="s">
        <v>68</v>
      </c>
      <c r="AQ715" s="5" t="s">
        <v>99</v>
      </c>
      <c r="AR715" s="5" t="s">
        <v>98</v>
      </c>
    </row>
    <row r="716" spans="1:44" ht="31.5" x14ac:dyDescent="0.25">
      <c r="A716" s="10">
        <v>46096</v>
      </c>
      <c r="B716" s="5" t="s">
        <v>733</v>
      </c>
      <c r="C716" s="5" t="s">
        <v>3079</v>
      </c>
      <c r="D716" s="5" t="s">
        <v>11</v>
      </c>
      <c r="E716" s="5" t="s">
        <v>6</v>
      </c>
      <c r="F716" s="5" t="s">
        <v>6</v>
      </c>
      <c r="G716" s="5" t="s">
        <v>5505</v>
      </c>
      <c r="H716" s="5" t="s">
        <v>5506</v>
      </c>
      <c r="I716" s="6" t="str">
        <f>HYPERLINK("http://maps.yandex.ru/?ll=41.511257,45.8266&amp;spn=0.011598,0.004531&amp;z=17&amp;l=map&amp;pt=41.511257,45.8266", "45.82662//41.511257")</f>
        <v>45.82662//41.511257</v>
      </c>
      <c r="J716" s="5" t="s">
        <v>208</v>
      </c>
      <c r="K716" s="6" t="str">
        <f>HYPERLINK("http://maps.yandex.ru/?ll=42.805904,44.0233&amp;spn=0.011598,0.004531&amp;z=17&amp;l=map&amp;pt=42.805904,44.0233", "44.02333//42.805904")</f>
        <v>44.02333//42.805904</v>
      </c>
      <c r="L716" s="5" t="s">
        <v>208</v>
      </c>
      <c r="M716" s="5" t="s">
        <v>628</v>
      </c>
      <c r="N716" s="5" t="s">
        <v>5507</v>
      </c>
      <c r="O716" s="5" t="s">
        <v>371</v>
      </c>
      <c r="P716" s="5">
        <v>22</v>
      </c>
      <c r="Q716" s="5">
        <v>72</v>
      </c>
      <c r="R716" s="5">
        <v>5</v>
      </c>
      <c r="S716" s="5">
        <v>330.20299999999997</v>
      </c>
      <c r="T716" s="5" t="s">
        <v>12</v>
      </c>
      <c r="U716" s="5" t="s">
        <v>12</v>
      </c>
      <c r="V716" s="5" t="s">
        <v>12</v>
      </c>
      <c r="W716" s="5">
        <v>13.76</v>
      </c>
      <c r="X716" s="5">
        <v>61.19</v>
      </c>
      <c r="Y716" s="5">
        <v>99</v>
      </c>
      <c r="Z716" s="5" t="s">
        <v>1710</v>
      </c>
      <c r="AA716" s="5" t="s">
        <v>1877</v>
      </c>
      <c r="AB716" s="5" t="s">
        <v>19</v>
      </c>
      <c r="AC716" s="5" t="s">
        <v>19</v>
      </c>
      <c r="AD716" s="5" t="s">
        <v>19</v>
      </c>
      <c r="AE716" s="5" t="s">
        <v>1689</v>
      </c>
      <c r="AF716" s="5" t="s">
        <v>12</v>
      </c>
      <c r="AG716" s="5"/>
      <c r="AH716" s="5"/>
      <c r="AI716" s="5"/>
      <c r="AJ716" s="5"/>
      <c r="AK716" s="5"/>
      <c r="AL716" s="5" t="s">
        <v>12</v>
      </c>
      <c r="AM716" s="5" t="s">
        <v>12</v>
      </c>
      <c r="AN716" s="5" t="s">
        <v>12</v>
      </c>
      <c r="AO716" s="5" t="s">
        <v>115</v>
      </c>
      <c r="AP716" s="5" t="s">
        <v>114</v>
      </c>
      <c r="AQ716" s="5" t="s">
        <v>99</v>
      </c>
      <c r="AR716" s="5" t="s">
        <v>98</v>
      </c>
    </row>
    <row r="717" spans="1:44" ht="31.5" x14ac:dyDescent="0.25">
      <c r="A717" s="10">
        <v>46096</v>
      </c>
      <c r="B717" s="5" t="s">
        <v>731</v>
      </c>
      <c r="C717" s="5" t="s">
        <v>3080</v>
      </c>
      <c r="D717" s="5" t="s">
        <v>11</v>
      </c>
      <c r="E717" s="5" t="s">
        <v>5</v>
      </c>
      <c r="F717" s="5" t="s">
        <v>5</v>
      </c>
      <c r="G717" s="5" t="s">
        <v>5508</v>
      </c>
      <c r="H717" s="5" t="s">
        <v>5509</v>
      </c>
      <c r="I717" s="6" t="str">
        <f>HYPERLINK("http://maps.yandex.ru/?ll=60.77645,56.9140&amp;spn=0.011598,0.004531&amp;z=17&amp;l=map&amp;pt=60.77645,56.9140", "56.91407//60.77645")</f>
        <v>56.91407//60.77645</v>
      </c>
      <c r="J717" s="5" t="s">
        <v>77</v>
      </c>
      <c r="K717" s="6" t="str">
        <f>HYPERLINK("http://maps.yandex.ru/?ll=56.757683,54.8153&amp;spn=0.011598,0.004531&amp;z=17&amp;l=map&amp;pt=56.757683,54.8153", "54.81536//56.757683")</f>
        <v>54.81536//56.757683</v>
      </c>
      <c r="L717" s="5" t="s">
        <v>34</v>
      </c>
      <c r="M717" s="5" t="s">
        <v>1408</v>
      </c>
      <c r="N717" s="5" t="s">
        <v>1368</v>
      </c>
      <c r="O717" s="5" t="s">
        <v>13</v>
      </c>
      <c r="P717" s="5">
        <v>40</v>
      </c>
      <c r="Q717" s="5">
        <v>60</v>
      </c>
      <c r="R717" s="5">
        <v>0</v>
      </c>
      <c r="S717" s="5">
        <v>630.12099999999998</v>
      </c>
      <c r="T717" s="5" t="s">
        <v>12</v>
      </c>
      <c r="U717" s="5" t="s">
        <v>12</v>
      </c>
      <c r="V717" s="5" t="s">
        <v>12</v>
      </c>
      <c r="W717" s="5">
        <v>26.26</v>
      </c>
      <c r="X717" s="5">
        <v>64.959999999999994</v>
      </c>
      <c r="Y717" s="5">
        <v>106</v>
      </c>
      <c r="Z717" s="5" t="s">
        <v>1620</v>
      </c>
      <c r="AA717" s="5" t="s">
        <v>1877</v>
      </c>
      <c r="AB717" s="5" t="s">
        <v>19</v>
      </c>
      <c r="AC717" s="5" t="s">
        <v>19</v>
      </c>
      <c r="AD717" s="5" t="s">
        <v>19</v>
      </c>
      <c r="AE717" s="5" t="s">
        <v>1720</v>
      </c>
      <c r="AF717" s="5" t="s">
        <v>12</v>
      </c>
      <c r="AG717" s="5"/>
      <c r="AH717" s="5"/>
      <c r="AI717" s="5"/>
      <c r="AJ717" s="5"/>
      <c r="AK717" s="5"/>
      <c r="AL717" s="5" t="s">
        <v>12</v>
      </c>
      <c r="AM717" s="5" t="s">
        <v>12</v>
      </c>
      <c r="AN717" s="5" t="s">
        <v>12</v>
      </c>
      <c r="AO717" s="5" t="s">
        <v>115</v>
      </c>
      <c r="AP717" s="5" t="s">
        <v>114</v>
      </c>
      <c r="AQ717" s="5" t="s">
        <v>99</v>
      </c>
      <c r="AR717" s="5" t="s">
        <v>98</v>
      </c>
    </row>
    <row r="718" spans="1:44" ht="31.5" x14ac:dyDescent="0.25">
      <c r="A718" s="10">
        <v>46096</v>
      </c>
      <c r="B718" s="5" t="s">
        <v>730</v>
      </c>
      <c r="C718" s="5" t="s">
        <v>3081</v>
      </c>
      <c r="D718" s="5" t="s">
        <v>11</v>
      </c>
      <c r="E718" s="5" t="s">
        <v>0</v>
      </c>
      <c r="F718" s="5" t="s">
        <v>0</v>
      </c>
      <c r="G718" s="5" t="s">
        <v>5510</v>
      </c>
      <c r="H718" s="5" t="s">
        <v>5511</v>
      </c>
      <c r="I718" s="6" t="str">
        <f>HYPERLINK("http://maps.yandex.ru/?ll=34.47792,57.61717&amp;spn=0.011598,0.004531&amp;z=17&amp;l=map&amp;pt=34.47792,57.61717", "57.617172//34.47792")</f>
        <v>57.617172//34.47792</v>
      </c>
      <c r="J718" s="5" t="s">
        <v>50</v>
      </c>
      <c r="K718" s="6" t="str">
        <f>HYPERLINK("http://maps.yandex.ru/?ll=30.402325,59.79721&amp;spn=0.011598,0.004531&amp;z=17&amp;l=map&amp;pt=30.402325,59.79721", "59.797215//30.402325")</f>
        <v>59.797215//30.402325</v>
      </c>
      <c r="L718" s="5" t="s">
        <v>23</v>
      </c>
      <c r="M718" s="5" t="s">
        <v>4534</v>
      </c>
      <c r="N718" s="5" t="s">
        <v>38</v>
      </c>
      <c r="O718" s="5" t="s">
        <v>13</v>
      </c>
      <c r="P718" s="5">
        <v>23</v>
      </c>
      <c r="Q718" s="5">
        <v>77</v>
      </c>
      <c r="R718" s="5">
        <v>0</v>
      </c>
      <c r="S718" s="5">
        <v>385.31099999999998</v>
      </c>
      <c r="T718" s="5" t="s">
        <v>12</v>
      </c>
      <c r="U718" s="5" t="s">
        <v>12</v>
      </c>
      <c r="V718" s="5" t="s">
        <v>12</v>
      </c>
      <c r="W718" s="5">
        <v>16.05</v>
      </c>
      <c r="X718" s="5">
        <v>68.39</v>
      </c>
      <c r="Y718" s="5">
        <v>101</v>
      </c>
      <c r="Z718" s="5" t="s">
        <v>1606</v>
      </c>
      <c r="AA718" s="5" t="s">
        <v>2866</v>
      </c>
      <c r="AB718" s="5" t="s">
        <v>19</v>
      </c>
      <c r="AC718" s="5" t="s">
        <v>19</v>
      </c>
      <c r="AD718" s="5" t="s">
        <v>19</v>
      </c>
      <c r="AE718" s="5" t="s">
        <v>1756</v>
      </c>
      <c r="AF718" s="5" t="s">
        <v>12</v>
      </c>
      <c r="AG718" s="5"/>
      <c r="AH718" s="5"/>
      <c r="AI718" s="5"/>
      <c r="AJ718" s="5"/>
      <c r="AK718" s="5"/>
      <c r="AL718" s="5" t="s">
        <v>3082</v>
      </c>
      <c r="AM718" s="5" t="s">
        <v>5512</v>
      </c>
      <c r="AN718" s="5" t="s">
        <v>1889</v>
      </c>
      <c r="AO718" s="5" t="s">
        <v>115</v>
      </c>
      <c r="AP718" s="5" t="s">
        <v>114</v>
      </c>
      <c r="AQ718" s="5" t="s">
        <v>99</v>
      </c>
      <c r="AR718" s="5" t="s">
        <v>98</v>
      </c>
    </row>
    <row r="719" spans="1:44" ht="31.5" x14ac:dyDescent="0.25">
      <c r="A719" s="10">
        <v>46096</v>
      </c>
      <c r="B719" s="5" t="s">
        <v>729</v>
      </c>
      <c r="C719" s="5" t="s">
        <v>3083</v>
      </c>
      <c r="D719" s="5" t="s">
        <v>11</v>
      </c>
      <c r="E719" s="5" t="s">
        <v>1</v>
      </c>
      <c r="F719" s="5" t="s">
        <v>1</v>
      </c>
      <c r="G719" s="5" t="s">
        <v>5513</v>
      </c>
      <c r="H719" s="5" t="s">
        <v>5514</v>
      </c>
      <c r="I719" s="6" t="str">
        <f>HYPERLINK("http://maps.yandex.ru/?ll=84.42053,55.64701&amp;spn=0.011598,0.004531&amp;z=17&amp;l=map&amp;pt=84.42053,55.64701", "55.647015//84.42053")</f>
        <v>55.647015//84.42053</v>
      </c>
      <c r="J719" s="5" t="s">
        <v>39</v>
      </c>
      <c r="K719" s="6" t="str">
        <f>HYPERLINK("http://maps.yandex.ru/?ll=92.34532,56.2089&amp;spn=0.011598,0.004531&amp;z=17&amp;l=map&amp;pt=92.34532,56.2089", "56.20893//92.34532")</f>
        <v>56.20893//92.34532</v>
      </c>
      <c r="L719" s="5" t="s">
        <v>162</v>
      </c>
      <c r="M719" s="5" t="s">
        <v>764</v>
      </c>
      <c r="N719" s="5" t="s">
        <v>1560</v>
      </c>
      <c r="O719" s="5" t="s">
        <v>13</v>
      </c>
      <c r="P719" s="5">
        <v>44</v>
      </c>
      <c r="Q719" s="5">
        <v>56</v>
      </c>
      <c r="R719" s="5">
        <v>0</v>
      </c>
      <c r="S719" s="5">
        <v>601.577</v>
      </c>
      <c r="T719" s="5" t="s">
        <v>1575</v>
      </c>
      <c r="U719" s="5" t="s">
        <v>5515</v>
      </c>
      <c r="V719" s="5" t="s">
        <v>5516</v>
      </c>
      <c r="W719" s="5">
        <v>25.07</v>
      </c>
      <c r="X719" s="5">
        <v>57.08</v>
      </c>
      <c r="Y719" s="5">
        <v>114</v>
      </c>
      <c r="Z719" s="5" t="s">
        <v>2032</v>
      </c>
      <c r="AA719" s="5" t="s">
        <v>5517</v>
      </c>
      <c r="AB719" s="5" t="s">
        <v>19</v>
      </c>
      <c r="AC719" s="5" t="s">
        <v>19</v>
      </c>
      <c r="AD719" s="5" t="s">
        <v>19</v>
      </c>
      <c r="AE719" s="5" t="s">
        <v>2130</v>
      </c>
      <c r="AF719" s="5" t="s">
        <v>5518</v>
      </c>
      <c r="AG719" s="5">
        <v>224</v>
      </c>
      <c r="AH719" s="5">
        <v>5</v>
      </c>
      <c r="AI719" s="5">
        <v>219</v>
      </c>
      <c r="AJ719" s="5">
        <v>35.22</v>
      </c>
      <c r="AK719" s="5">
        <v>34.43</v>
      </c>
      <c r="AL719" s="5" t="s">
        <v>12</v>
      </c>
      <c r="AM719" s="5" t="s">
        <v>12</v>
      </c>
      <c r="AN719" s="5" t="s">
        <v>12</v>
      </c>
      <c r="AO719" s="5" t="s">
        <v>11</v>
      </c>
      <c r="AP719" s="5" t="s">
        <v>11</v>
      </c>
      <c r="AQ719" s="5" t="s">
        <v>18</v>
      </c>
      <c r="AR719" s="5" t="s">
        <v>17</v>
      </c>
    </row>
    <row r="720" spans="1:44" ht="31.5" x14ac:dyDescent="0.25">
      <c r="A720" s="10">
        <v>46096</v>
      </c>
      <c r="B720" s="5" t="s">
        <v>728</v>
      </c>
      <c r="C720" s="5" t="s">
        <v>3085</v>
      </c>
      <c r="D720" s="5" t="s">
        <v>11</v>
      </c>
      <c r="E720" s="5" t="s">
        <v>40</v>
      </c>
      <c r="F720" s="5" t="s">
        <v>11</v>
      </c>
      <c r="G720" s="5" t="s">
        <v>5519</v>
      </c>
      <c r="H720" s="5" t="s">
        <v>5520</v>
      </c>
      <c r="I720" s="6" t="str">
        <f>HYPERLINK("http://maps.yandex.ru/?ll=43.023354,56.27913&amp;spn=0.011598,0.004531&amp;z=17&amp;l=map&amp;pt=43.023354,56.27913", "56.279133//43.023354")</f>
        <v>56.279133//43.023354</v>
      </c>
      <c r="J720" s="5" t="s">
        <v>15</v>
      </c>
      <c r="K720" s="6" t="str">
        <f>HYPERLINK("http://maps.yandex.ru/?ll=37.108288,56.10042&amp;spn=0.011598,0.004531&amp;z=17&amp;l=map&amp;pt=37.108288,56.10042", "56.100426//37.108288")</f>
        <v>56.100426//37.108288</v>
      </c>
      <c r="L720" s="5" t="s">
        <v>56</v>
      </c>
      <c r="M720" s="5" t="s">
        <v>5521</v>
      </c>
      <c r="N720" s="5" t="s">
        <v>1088</v>
      </c>
      <c r="O720" s="5" t="s">
        <v>13</v>
      </c>
      <c r="P720" s="5">
        <v>29</v>
      </c>
      <c r="Q720" s="5">
        <v>71</v>
      </c>
      <c r="R720" s="5">
        <v>0</v>
      </c>
      <c r="S720" s="5">
        <v>429.21300000000002</v>
      </c>
      <c r="T720" s="5" t="s">
        <v>2769</v>
      </c>
      <c r="U720" s="5" t="s">
        <v>5522</v>
      </c>
      <c r="V720" s="5" t="s">
        <v>5523</v>
      </c>
      <c r="W720" s="5">
        <v>17.88</v>
      </c>
      <c r="X720" s="5">
        <v>62.73</v>
      </c>
      <c r="Y720" s="5">
        <v>104</v>
      </c>
      <c r="Z720" s="5" t="s">
        <v>2037</v>
      </c>
      <c r="AA720" s="5" t="s">
        <v>3803</v>
      </c>
      <c r="AB720" s="5" t="s">
        <v>1584</v>
      </c>
      <c r="AC720" s="5" t="s">
        <v>1673</v>
      </c>
      <c r="AD720" s="5" t="s">
        <v>19</v>
      </c>
      <c r="AE720" s="5" t="s">
        <v>1823</v>
      </c>
      <c r="AF720" s="5" t="s">
        <v>5524</v>
      </c>
      <c r="AG720" s="5"/>
      <c r="AH720" s="5">
        <v>0</v>
      </c>
      <c r="AI720" s="5"/>
      <c r="AJ720" s="5">
        <v>0</v>
      </c>
      <c r="AK720" s="5">
        <v>0</v>
      </c>
      <c r="AL720" s="5" t="s">
        <v>12</v>
      </c>
      <c r="AM720" s="5" t="s">
        <v>12</v>
      </c>
      <c r="AN720" s="5" t="s">
        <v>12</v>
      </c>
      <c r="AO720" s="5" t="s">
        <v>11</v>
      </c>
      <c r="AP720" s="5" t="s">
        <v>11</v>
      </c>
      <c r="AQ720" s="5" t="s">
        <v>384</v>
      </c>
      <c r="AR720" s="5" t="s">
        <v>383</v>
      </c>
    </row>
    <row r="721" spans="1:44" ht="15.75" x14ac:dyDescent="0.25">
      <c r="A721" s="10">
        <v>46096</v>
      </c>
      <c r="B721" s="5" t="s">
        <v>727</v>
      </c>
      <c r="C721" s="5" t="s">
        <v>3086</v>
      </c>
      <c r="D721" s="5" t="s">
        <v>11</v>
      </c>
      <c r="E721" s="5" t="s">
        <v>40</v>
      </c>
      <c r="F721" s="5" t="s">
        <v>11</v>
      </c>
      <c r="G721" s="5" t="s">
        <v>3103</v>
      </c>
      <c r="H721" s="5" t="s">
        <v>5525</v>
      </c>
      <c r="I721" s="6" t="str">
        <f>HYPERLINK("http://maps.yandex.ru/?ll=48.15877,55.5893&amp;spn=0.011598,0.004531&amp;z=17&amp;l=map&amp;pt=48.15877,55.5893", "55.58936//48.15877")</f>
        <v>55.58936//48.15877</v>
      </c>
      <c r="J721" s="5" t="s">
        <v>28</v>
      </c>
      <c r="K721" s="6" t="str">
        <f>HYPERLINK("http://maps.yandex.ru/?ll=40.88391,56.1315&amp;spn=0.011598,0.004531&amp;z=17&amp;l=map&amp;pt=40.88391,56.1315", "56.13157//40.88391")</f>
        <v>56.13157//40.88391</v>
      </c>
      <c r="L721" s="5" t="s">
        <v>49</v>
      </c>
      <c r="M721" s="5" t="s">
        <v>1394</v>
      </c>
      <c r="N721" s="5" t="s">
        <v>1364</v>
      </c>
      <c r="O721" s="5" t="s">
        <v>1413</v>
      </c>
      <c r="P721" s="5">
        <v>38</v>
      </c>
      <c r="Q721" s="5">
        <v>54</v>
      </c>
      <c r="R721" s="5">
        <v>8</v>
      </c>
      <c r="S721" s="5">
        <v>661.44399999999996</v>
      </c>
      <c r="T721" s="5" t="s">
        <v>3042</v>
      </c>
      <c r="U721" s="5" t="s">
        <v>5526</v>
      </c>
      <c r="V721" s="5" t="s">
        <v>5527</v>
      </c>
      <c r="W721" s="5">
        <v>27.56</v>
      </c>
      <c r="X721" s="5">
        <v>72.959999999999994</v>
      </c>
      <c r="Y721" s="5">
        <v>146</v>
      </c>
      <c r="Z721" s="5" t="s">
        <v>1526</v>
      </c>
      <c r="AA721" s="5" t="s">
        <v>1558</v>
      </c>
      <c r="AB721" s="5" t="s">
        <v>19</v>
      </c>
      <c r="AC721" s="5" t="s">
        <v>19</v>
      </c>
      <c r="AD721" s="5" t="s">
        <v>19</v>
      </c>
      <c r="AE721" s="5" t="s">
        <v>2200</v>
      </c>
      <c r="AF721" s="5" t="s">
        <v>5528</v>
      </c>
      <c r="AG721" s="5">
        <v>146</v>
      </c>
      <c r="AH721" s="5">
        <v>0</v>
      </c>
      <c r="AI721" s="5">
        <v>146</v>
      </c>
      <c r="AJ721" s="5">
        <v>27.6</v>
      </c>
      <c r="AK721" s="5">
        <v>27.6</v>
      </c>
      <c r="AL721" s="5" t="s">
        <v>12</v>
      </c>
      <c r="AM721" s="5" t="s">
        <v>12</v>
      </c>
      <c r="AN721" s="5" t="s">
        <v>12</v>
      </c>
      <c r="AO721" s="5" t="s">
        <v>11</v>
      </c>
      <c r="AP721" s="5" t="s">
        <v>11</v>
      </c>
      <c r="AQ721" s="5" t="s">
        <v>123</v>
      </c>
      <c r="AR721" s="5" t="s">
        <v>122</v>
      </c>
    </row>
    <row r="722" spans="1:44" ht="31.5" x14ac:dyDescent="0.25">
      <c r="A722" s="10">
        <v>46096</v>
      </c>
      <c r="B722" s="5" t="s">
        <v>725</v>
      </c>
      <c r="C722" s="5" t="s">
        <v>3087</v>
      </c>
      <c r="D722" s="5" t="s">
        <v>11</v>
      </c>
      <c r="E722" s="5" t="s">
        <v>8</v>
      </c>
      <c r="F722" s="5" t="s">
        <v>8</v>
      </c>
      <c r="G722" s="5" t="s">
        <v>5529</v>
      </c>
      <c r="H722" s="5" t="s">
        <v>5530</v>
      </c>
      <c r="I722" s="6" t="str">
        <f>HYPERLINK("http://maps.yandex.ru/?ll=37.53193,54.93871&amp;spn=0.011598,0.004531&amp;z=17&amp;l=map&amp;pt=37.53193,54.93871", "54.938713//37.53193")</f>
        <v>54.938713//37.53193</v>
      </c>
      <c r="J722" s="5" t="s">
        <v>56</v>
      </c>
      <c r="K722" s="6" t="str">
        <f>HYPERLINK("http://maps.yandex.ru/?ll=30.569513,59.70956&amp;spn=0.011598,0.004531&amp;z=17&amp;l=map&amp;pt=30.569513,59.70956", "59.709564//30.569513")</f>
        <v>59.709564//30.569513</v>
      </c>
      <c r="L722" s="5" t="s">
        <v>22</v>
      </c>
      <c r="M722" s="5" t="s">
        <v>479</v>
      </c>
      <c r="N722" s="5" t="s">
        <v>5531</v>
      </c>
      <c r="O722" s="5" t="s">
        <v>184</v>
      </c>
      <c r="P722" s="5">
        <v>39</v>
      </c>
      <c r="Q722" s="5">
        <v>56</v>
      </c>
      <c r="R722" s="5">
        <v>5</v>
      </c>
      <c r="S722" s="5">
        <v>703.59799999999996</v>
      </c>
      <c r="T722" s="5" t="s">
        <v>12</v>
      </c>
      <c r="U722" s="5" t="s">
        <v>12</v>
      </c>
      <c r="V722" s="5" t="s">
        <v>12</v>
      </c>
      <c r="W722" s="5">
        <v>29.32</v>
      </c>
      <c r="X722" s="5">
        <v>74.78</v>
      </c>
      <c r="Y722" s="5">
        <v>106</v>
      </c>
      <c r="Z722" s="5" t="s">
        <v>2607</v>
      </c>
      <c r="AA722" s="5" t="s">
        <v>1974</v>
      </c>
      <c r="AB722" s="5" t="s">
        <v>19</v>
      </c>
      <c r="AC722" s="5" t="s">
        <v>19</v>
      </c>
      <c r="AD722" s="5" t="s">
        <v>19</v>
      </c>
      <c r="AE722" s="5" t="s">
        <v>2365</v>
      </c>
      <c r="AF722" s="5" t="s">
        <v>12</v>
      </c>
      <c r="AG722" s="5"/>
      <c r="AH722" s="5"/>
      <c r="AI722" s="5"/>
      <c r="AJ722" s="5"/>
      <c r="AK722" s="5"/>
      <c r="AL722" s="5" t="s">
        <v>1518</v>
      </c>
      <c r="AM722" s="5" t="s">
        <v>5532</v>
      </c>
      <c r="AN722" s="5" t="s">
        <v>1720</v>
      </c>
      <c r="AO722" s="5" t="s">
        <v>115</v>
      </c>
      <c r="AP722" s="5" t="s">
        <v>114</v>
      </c>
      <c r="AQ722" s="5" t="s">
        <v>99</v>
      </c>
      <c r="AR722" s="5" t="s">
        <v>98</v>
      </c>
    </row>
    <row r="723" spans="1:44" ht="31.5" x14ac:dyDescent="0.25">
      <c r="A723" s="10">
        <v>46096</v>
      </c>
      <c r="B723" s="5" t="s">
        <v>720</v>
      </c>
      <c r="C723" s="5" t="s">
        <v>3094</v>
      </c>
      <c r="D723" s="5" t="s">
        <v>11</v>
      </c>
      <c r="E723" s="5" t="s">
        <v>0</v>
      </c>
      <c r="F723" s="5" t="s">
        <v>0</v>
      </c>
      <c r="G723" s="5" t="s">
        <v>4735</v>
      </c>
      <c r="H723" s="5" t="s">
        <v>5533</v>
      </c>
      <c r="I723" s="6" t="str">
        <f>HYPERLINK("http://maps.yandex.ru/?ll=36.67715,56.27927&amp;spn=0.011598,0.004531&amp;z=17&amp;l=map&amp;pt=36.67715,56.27927", "56.279278//36.67715")</f>
        <v>56.279278//36.67715</v>
      </c>
      <c r="J723" s="5" t="s">
        <v>56</v>
      </c>
      <c r="K723" s="6" t="str">
        <f>HYPERLINK("http://maps.yandex.ru/?ll=40.395573,56.15206&amp;spn=0.011598,0.004531&amp;z=17&amp;l=map&amp;pt=40.395573,56.15206", "56.152065//40.395573")</f>
        <v>56.152065//40.395573</v>
      </c>
      <c r="L723" s="5" t="s">
        <v>49</v>
      </c>
      <c r="M723" s="5" t="s">
        <v>1317</v>
      </c>
      <c r="N723" s="5" t="s">
        <v>5534</v>
      </c>
      <c r="O723" s="5" t="s">
        <v>1000</v>
      </c>
      <c r="P723" s="5">
        <v>15</v>
      </c>
      <c r="Q723" s="5">
        <v>82</v>
      </c>
      <c r="R723" s="5">
        <v>3</v>
      </c>
      <c r="S723" s="5">
        <v>209.76300000000001</v>
      </c>
      <c r="T723" s="5" t="s">
        <v>12</v>
      </c>
      <c r="U723" s="5" t="s">
        <v>12</v>
      </c>
      <c r="V723" s="5" t="s">
        <v>12</v>
      </c>
      <c r="W723" s="5">
        <v>8.74</v>
      </c>
      <c r="X723" s="5">
        <v>58.55</v>
      </c>
      <c r="Y723" s="5">
        <v>92</v>
      </c>
      <c r="Z723" s="5" t="s">
        <v>1371</v>
      </c>
      <c r="AA723" s="5" t="s">
        <v>1474</v>
      </c>
      <c r="AB723" s="5" t="s">
        <v>19</v>
      </c>
      <c r="AC723" s="5" t="s">
        <v>19</v>
      </c>
      <c r="AD723" s="5" t="s">
        <v>19</v>
      </c>
      <c r="AE723" s="5" t="s">
        <v>1807</v>
      </c>
      <c r="AF723" s="5" t="s">
        <v>12</v>
      </c>
      <c r="AG723" s="5"/>
      <c r="AH723" s="5"/>
      <c r="AI723" s="5"/>
      <c r="AJ723" s="5"/>
      <c r="AK723" s="5"/>
      <c r="AL723" s="5" t="s">
        <v>5535</v>
      </c>
      <c r="AM723" s="5" t="s">
        <v>5535</v>
      </c>
      <c r="AN723" s="5" t="s">
        <v>19</v>
      </c>
      <c r="AO723" s="5" t="s">
        <v>115</v>
      </c>
      <c r="AP723" s="5" t="s">
        <v>114</v>
      </c>
      <c r="AQ723" s="5" t="s">
        <v>99</v>
      </c>
      <c r="AR723" s="5" t="s">
        <v>98</v>
      </c>
    </row>
    <row r="724" spans="1:44" ht="15.75" x14ac:dyDescent="0.25">
      <c r="A724" s="10">
        <v>46096</v>
      </c>
      <c r="B724" s="5" t="s">
        <v>717</v>
      </c>
      <c r="C724" s="5" t="s">
        <v>3095</v>
      </c>
      <c r="D724" s="5" t="s">
        <v>11</v>
      </c>
      <c r="E724" s="5" t="s">
        <v>1</v>
      </c>
      <c r="F724" s="5" t="s">
        <v>1</v>
      </c>
      <c r="G724" s="5" t="s">
        <v>11</v>
      </c>
      <c r="H724" s="5" t="s">
        <v>11</v>
      </c>
      <c r="I724" s="6" t="str">
        <f>HYPERLINK("http://maps.yandex.ru/?ll=,&amp;spn=0.011598,0.004531&amp;z=17&amp;l=map&amp;pt=,", "")</f>
        <v/>
      </c>
      <c r="J724" s="5" t="s">
        <v>84</v>
      </c>
      <c r="K724" s="6" t="str">
        <f>HYPERLINK("http://maps.yandex.ru/?ll=,&amp;spn=0.011598,0.004531&amp;z=17&amp;l=map&amp;pt=,", "")</f>
        <v/>
      </c>
      <c r="L724" s="5" t="s">
        <v>84</v>
      </c>
      <c r="M724" s="5" t="s">
        <v>13</v>
      </c>
      <c r="N724" s="5" t="s">
        <v>58</v>
      </c>
      <c r="O724" s="5" t="s">
        <v>13</v>
      </c>
      <c r="P724" s="5">
        <v>0</v>
      </c>
      <c r="Q724" s="5">
        <v>100</v>
      </c>
      <c r="R724" s="5">
        <v>0</v>
      </c>
      <c r="S724" s="5">
        <v>0</v>
      </c>
      <c r="T724" s="5" t="s">
        <v>12</v>
      </c>
      <c r="U724" s="5" t="s">
        <v>12</v>
      </c>
      <c r="V724" s="5" t="s">
        <v>12</v>
      </c>
      <c r="W724" s="5">
        <v>0</v>
      </c>
      <c r="X724" s="5">
        <v>0</v>
      </c>
      <c r="Y724" s="5">
        <v>0</v>
      </c>
      <c r="Z724" s="5" t="s">
        <v>2315</v>
      </c>
      <c r="AA724" s="5" t="s">
        <v>2315</v>
      </c>
      <c r="AB724" s="5" t="s">
        <v>19</v>
      </c>
      <c r="AC724" s="5" t="s">
        <v>19</v>
      </c>
      <c r="AD724" s="5" t="s">
        <v>19</v>
      </c>
      <c r="AE724" s="5" t="s">
        <v>19</v>
      </c>
      <c r="AF724" s="5" t="s">
        <v>12</v>
      </c>
      <c r="AG724" s="5"/>
      <c r="AH724" s="5"/>
      <c r="AI724" s="5"/>
      <c r="AJ724" s="5"/>
      <c r="AK724" s="5"/>
      <c r="AL724" s="5" t="s">
        <v>12</v>
      </c>
      <c r="AM724" s="5" t="s">
        <v>12</v>
      </c>
      <c r="AN724" s="5" t="s">
        <v>12</v>
      </c>
      <c r="AO724" s="5" t="s">
        <v>115</v>
      </c>
      <c r="AP724" s="5" t="s">
        <v>114</v>
      </c>
      <c r="AQ724" s="5" t="s">
        <v>99</v>
      </c>
      <c r="AR724" s="5" t="s">
        <v>98</v>
      </c>
    </row>
    <row r="725" spans="1:44" ht="31.5" x14ac:dyDescent="0.25">
      <c r="A725" s="10">
        <v>46096</v>
      </c>
      <c r="B725" s="5" t="s">
        <v>715</v>
      </c>
      <c r="C725" s="5" t="s">
        <v>1668</v>
      </c>
      <c r="D725" s="5" t="s">
        <v>11</v>
      </c>
      <c r="E725" s="5" t="s">
        <v>0</v>
      </c>
      <c r="F725" s="5" t="s">
        <v>0</v>
      </c>
      <c r="G725" s="5" t="s">
        <v>5536</v>
      </c>
      <c r="H725" s="5" t="s">
        <v>3121</v>
      </c>
      <c r="I725" s="6" t="str">
        <f>HYPERLINK("http://maps.yandex.ru/?ll=40.429028,51.8850&amp;spn=0.011598,0.004531&amp;z=17&amp;l=map&amp;pt=40.429028,51.8850", "51.88502//40.429028")</f>
        <v>51.88502//40.429028</v>
      </c>
      <c r="J725" s="5" t="s">
        <v>101</v>
      </c>
      <c r="K725" s="6" t="str">
        <f>HYPERLINK("http://maps.yandex.ru/?ll=38.26433,51.56422&amp;spn=0.011598,0.004531&amp;z=17&amp;l=map&amp;pt=38.26433,51.56422", "51.564228//38.26433")</f>
        <v>51.564228//38.26433</v>
      </c>
      <c r="L725" s="5" t="s">
        <v>101</v>
      </c>
      <c r="M725" s="5" t="s">
        <v>1229</v>
      </c>
      <c r="N725" s="5" t="s">
        <v>1199</v>
      </c>
      <c r="O725" s="5" t="s">
        <v>566</v>
      </c>
      <c r="P725" s="5">
        <v>30</v>
      </c>
      <c r="Q725" s="5">
        <v>61</v>
      </c>
      <c r="R725" s="5">
        <v>9</v>
      </c>
      <c r="S725" s="5">
        <v>470.846</v>
      </c>
      <c r="T725" s="5" t="s">
        <v>12</v>
      </c>
      <c r="U725" s="5" t="s">
        <v>12</v>
      </c>
      <c r="V725" s="5" t="s">
        <v>12</v>
      </c>
      <c r="W725" s="5">
        <v>19.62</v>
      </c>
      <c r="X725" s="5">
        <v>64.97</v>
      </c>
      <c r="Y725" s="5">
        <v>100</v>
      </c>
      <c r="Z725" s="5" t="s">
        <v>1670</v>
      </c>
      <c r="AA725" s="5" t="s">
        <v>3427</v>
      </c>
      <c r="AB725" s="5" t="s">
        <v>19</v>
      </c>
      <c r="AC725" s="5" t="s">
        <v>19</v>
      </c>
      <c r="AD725" s="5" t="s">
        <v>19</v>
      </c>
      <c r="AE725" s="5" t="s">
        <v>1695</v>
      </c>
      <c r="AF725" s="5" t="s">
        <v>12</v>
      </c>
      <c r="AG725" s="5"/>
      <c r="AH725" s="5"/>
      <c r="AI725" s="5"/>
      <c r="AJ725" s="5"/>
      <c r="AK725" s="5"/>
      <c r="AL725" s="5" t="s">
        <v>1672</v>
      </c>
      <c r="AM725" s="5" t="s">
        <v>5537</v>
      </c>
      <c r="AN725" s="5" t="s">
        <v>1807</v>
      </c>
      <c r="AO725" s="5" t="s">
        <v>115</v>
      </c>
      <c r="AP725" s="5" t="s">
        <v>114</v>
      </c>
      <c r="AQ725" s="5" t="s">
        <v>99</v>
      </c>
      <c r="AR725" s="5" t="s">
        <v>98</v>
      </c>
    </row>
    <row r="726" spans="1:44" ht="15.75" x14ac:dyDescent="0.25">
      <c r="A726" s="10">
        <v>46096</v>
      </c>
      <c r="B726" s="5" t="s">
        <v>714</v>
      </c>
      <c r="C726" s="5" t="s">
        <v>1674</v>
      </c>
      <c r="D726" s="5" t="s">
        <v>11</v>
      </c>
      <c r="E726" s="5" t="s">
        <v>0</v>
      </c>
      <c r="F726" s="5" t="s">
        <v>0</v>
      </c>
      <c r="G726" s="5" t="s">
        <v>5538</v>
      </c>
      <c r="H726" s="5" t="s">
        <v>5539</v>
      </c>
      <c r="I726" s="6" t="str">
        <f>HYPERLINK("http://maps.yandex.ru/?ll=39.52393,53.9244&amp;spn=0.011598,0.004531&amp;z=17&amp;l=map&amp;pt=39.52393,53.9244", "53.92446//39.52393")</f>
        <v>53.92446//39.52393</v>
      </c>
      <c r="J726" s="5" t="s">
        <v>118</v>
      </c>
      <c r="K726" s="6" t="str">
        <f>HYPERLINK("http://maps.yandex.ru/?ll=37.23102,55.7736&amp;spn=0.011598,0.004531&amp;z=17&amp;l=map&amp;pt=37.23102,55.7736", "55.77368//37.23102")</f>
        <v>55.77368//37.23102</v>
      </c>
      <c r="L726" s="5" t="s">
        <v>56</v>
      </c>
      <c r="M726" s="5" t="s">
        <v>5540</v>
      </c>
      <c r="N726" s="5" t="s">
        <v>3987</v>
      </c>
      <c r="O726" s="5" t="s">
        <v>13</v>
      </c>
      <c r="P726" s="5">
        <v>23</v>
      </c>
      <c r="Q726" s="5">
        <v>77</v>
      </c>
      <c r="R726" s="5">
        <v>0</v>
      </c>
      <c r="S726" s="5">
        <v>352.786</v>
      </c>
      <c r="T726" s="5" t="s">
        <v>2712</v>
      </c>
      <c r="U726" s="5" t="s">
        <v>5541</v>
      </c>
      <c r="V726" s="5" t="s">
        <v>5542</v>
      </c>
      <c r="W726" s="5">
        <v>14.7</v>
      </c>
      <c r="X726" s="5">
        <v>63.81</v>
      </c>
      <c r="Y726" s="5">
        <v>97</v>
      </c>
      <c r="Z726" s="5" t="s">
        <v>158</v>
      </c>
      <c r="AA726" s="5" t="s">
        <v>2031</v>
      </c>
      <c r="AB726" s="5" t="s">
        <v>2107</v>
      </c>
      <c r="AC726" s="5" t="s">
        <v>1671</v>
      </c>
      <c r="AD726" s="5" t="s">
        <v>5543</v>
      </c>
      <c r="AE726" s="5" t="s">
        <v>1898</v>
      </c>
      <c r="AF726" s="5" t="s">
        <v>5544</v>
      </c>
      <c r="AG726" s="5">
        <v>104</v>
      </c>
      <c r="AH726" s="5">
        <v>4</v>
      </c>
      <c r="AI726" s="5">
        <v>100</v>
      </c>
      <c r="AJ726" s="5">
        <v>29.13</v>
      </c>
      <c r="AK726" s="5">
        <v>28.01</v>
      </c>
      <c r="AL726" s="5" t="s">
        <v>12</v>
      </c>
      <c r="AM726" s="5" t="s">
        <v>12</v>
      </c>
      <c r="AN726" s="5" t="s">
        <v>12</v>
      </c>
      <c r="AO726" s="5" t="s">
        <v>11</v>
      </c>
      <c r="AP726" s="5" t="s">
        <v>11</v>
      </c>
      <c r="AQ726" s="5" t="s">
        <v>53</v>
      </c>
      <c r="AR726" s="5" t="s">
        <v>52</v>
      </c>
    </row>
    <row r="727" spans="1:44" ht="31.5" x14ac:dyDescent="0.25">
      <c r="A727" s="10">
        <v>46096</v>
      </c>
      <c r="B727" s="5" t="s">
        <v>713</v>
      </c>
      <c r="C727" s="5" t="s">
        <v>1679</v>
      </c>
      <c r="D727" s="5" t="s">
        <v>11</v>
      </c>
      <c r="E727" s="5" t="s">
        <v>6</v>
      </c>
      <c r="F727" s="5" t="s">
        <v>6</v>
      </c>
      <c r="G727" s="5" t="s">
        <v>3103</v>
      </c>
      <c r="H727" s="5" t="s">
        <v>5545</v>
      </c>
      <c r="I727" s="6" t="str">
        <f>HYPERLINK("http://maps.yandex.ru/?ll=39.079304,44.79435&amp;spn=0.011598,0.004531&amp;z=17&amp;l=map&amp;pt=39.079304,44.79435", "44.794353//39.079304")</f>
        <v>44.794353//39.079304</v>
      </c>
      <c r="J727" s="5" t="s">
        <v>88</v>
      </c>
      <c r="K727" s="6" t="str">
        <f>HYPERLINK("http://maps.yandex.ru/?ll=38.01078,45.00452&amp;spn=0.011598,0.004531&amp;z=17&amp;l=map&amp;pt=38.01078,45.00452", "45.004524//38.01078")</f>
        <v>45.004524//38.01078</v>
      </c>
      <c r="L727" s="5" t="s">
        <v>88</v>
      </c>
      <c r="M727" s="5" t="s">
        <v>1358</v>
      </c>
      <c r="N727" s="5" t="s">
        <v>487</v>
      </c>
      <c r="O727" s="5" t="s">
        <v>324</v>
      </c>
      <c r="P727" s="5">
        <v>42</v>
      </c>
      <c r="Q727" s="5">
        <v>17</v>
      </c>
      <c r="R727" s="5">
        <v>41</v>
      </c>
      <c r="S727" s="5">
        <v>630.69500000000005</v>
      </c>
      <c r="T727" s="5" t="s">
        <v>1763</v>
      </c>
      <c r="U727" s="5" t="s">
        <v>5546</v>
      </c>
      <c r="V727" s="5" t="s">
        <v>5547</v>
      </c>
      <c r="W727" s="5">
        <v>26.28</v>
      </c>
      <c r="X727" s="5">
        <v>62.18</v>
      </c>
      <c r="Y727" s="5">
        <v>152</v>
      </c>
      <c r="Z727" s="5" t="s">
        <v>1682</v>
      </c>
      <c r="AA727" s="5" t="s">
        <v>2006</v>
      </c>
      <c r="AB727" s="5" t="s">
        <v>19</v>
      </c>
      <c r="AC727" s="5" t="s">
        <v>19</v>
      </c>
      <c r="AD727" s="5" t="s">
        <v>19</v>
      </c>
      <c r="AE727" s="5" t="s">
        <v>2440</v>
      </c>
      <c r="AF727" s="5" t="s">
        <v>5548</v>
      </c>
      <c r="AG727" s="5">
        <v>79</v>
      </c>
      <c r="AH727" s="5">
        <v>0</v>
      </c>
      <c r="AI727" s="5">
        <v>79</v>
      </c>
      <c r="AJ727" s="5">
        <v>30.74</v>
      </c>
      <c r="AK727" s="5">
        <v>30.74</v>
      </c>
      <c r="AL727" s="5" t="s">
        <v>12</v>
      </c>
      <c r="AM727" s="5" t="s">
        <v>12</v>
      </c>
      <c r="AN727" s="5" t="s">
        <v>12</v>
      </c>
      <c r="AO727" s="5" t="s">
        <v>11</v>
      </c>
      <c r="AP727" s="5" t="s">
        <v>11</v>
      </c>
      <c r="AQ727" s="5" t="s">
        <v>53</v>
      </c>
      <c r="AR727" s="5" t="s">
        <v>52</v>
      </c>
    </row>
    <row r="728" spans="1:44" ht="31.5" x14ac:dyDescent="0.25">
      <c r="A728" s="10">
        <v>46096</v>
      </c>
      <c r="B728" s="5" t="s">
        <v>710</v>
      </c>
      <c r="C728" s="5" t="s">
        <v>1684</v>
      </c>
      <c r="D728" s="5" t="s">
        <v>11</v>
      </c>
      <c r="E728" s="5" t="s">
        <v>8</v>
      </c>
      <c r="F728" s="5" t="s">
        <v>8</v>
      </c>
      <c r="G728" s="5" t="s">
        <v>5549</v>
      </c>
      <c r="H728" s="5" t="s">
        <v>5550</v>
      </c>
      <c r="I728" s="6" t="str">
        <f>HYPERLINK("http://maps.yandex.ru/?ll=58.821766,54.88321&amp;spn=0.011598,0.004531&amp;z=17&amp;l=map&amp;pt=58.821766,54.88321", "54.883217//58.821766")</f>
        <v>54.883217//58.821766</v>
      </c>
      <c r="J728" s="5" t="s">
        <v>227</v>
      </c>
      <c r="K728" s="6" t="str">
        <f>HYPERLINK("http://maps.yandex.ru/?ll=51.994457,54.04503&amp;spn=0.011598,0.004531&amp;z=17&amp;l=map&amp;pt=51.994457,54.04503", "54.045036//51.994457")</f>
        <v>54.045036//51.994457</v>
      </c>
      <c r="L728" s="5" t="s">
        <v>76</v>
      </c>
      <c r="M728" s="5" t="s">
        <v>797</v>
      </c>
      <c r="N728" s="5" t="s">
        <v>5551</v>
      </c>
      <c r="O728" s="5" t="s">
        <v>13</v>
      </c>
      <c r="P728" s="5">
        <v>30</v>
      </c>
      <c r="Q728" s="5">
        <v>70</v>
      </c>
      <c r="R728" s="5">
        <v>0</v>
      </c>
      <c r="S728" s="5">
        <v>496.238</v>
      </c>
      <c r="T728" s="5" t="s">
        <v>12</v>
      </c>
      <c r="U728" s="5" t="s">
        <v>12</v>
      </c>
      <c r="V728" s="5" t="s">
        <v>12</v>
      </c>
      <c r="W728" s="5">
        <v>20.68</v>
      </c>
      <c r="X728" s="5">
        <v>68.2</v>
      </c>
      <c r="Y728" s="5">
        <v>97</v>
      </c>
      <c r="Z728" s="5" t="s">
        <v>1685</v>
      </c>
      <c r="AA728" s="5" t="s">
        <v>1545</v>
      </c>
      <c r="AB728" s="5" t="s">
        <v>1567</v>
      </c>
      <c r="AC728" s="5" t="s">
        <v>1673</v>
      </c>
      <c r="AD728" s="5" t="s">
        <v>19</v>
      </c>
      <c r="AE728" s="5" t="s">
        <v>2201</v>
      </c>
      <c r="AF728" s="5" t="s">
        <v>12</v>
      </c>
      <c r="AG728" s="5"/>
      <c r="AH728" s="5"/>
      <c r="AI728" s="5"/>
      <c r="AJ728" s="5"/>
      <c r="AK728" s="5"/>
      <c r="AL728" s="5" t="s">
        <v>12</v>
      </c>
      <c r="AM728" s="5" t="s">
        <v>12</v>
      </c>
      <c r="AN728" s="5" t="s">
        <v>12</v>
      </c>
      <c r="AO728" s="5" t="s">
        <v>115</v>
      </c>
      <c r="AP728" s="5" t="s">
        <v>114</v>
      </c>
      <c r="AQ728" s="5" t="s">
        <v>99</v>
      </c>
      <c r="AR728" s="5" t="s">
        <v>98</v>
      </c>
    </row>
    <row r="729" spans="1:44" ht="15.75" x14ac:dyDescent="0.25">
      <c r="A729" s="10">
        <v>46096</v>
      </c>
      <c r="B729" s="5" t="s">
        <v>708</v>
      </c>
      <c r="C729" s="5" t="s">
        <v>1686</v>
      </c>
      <c r="D729" s="5" t="s">
        <v>11</v>
      </c>
      <c r="E729" s="5" t="s">
        <v>0</v>
      </c>
      <c r="F729" s="5" t="s">
        <v>0</v>
      </c>
      <c r="G729" s="5" t="s">
        <v>11</v>
      </c>
      <c r="H729" s="5" t="s">
        <v>11</v>
      </c>
      <c r="I729" s="6" t="str">
        <f>HYPERLINK("http://maps.yandex.ru/?ll=,&amp;spn=0.011598,0.004531&amp;z=17&amp;l=map&amp;pt=,", "")</f>
        <v/>
      </c>
      <c r="J729" s="5" t="s">
        <v>84</v>
      </c>
      <c r="K729" s="6" t="str">
        <f>HYPERLINK("http://maps.yandex.ru/?ll=,&amp;spn=0.011598,0.004531&amp;z=17&amp;l=map&amp;pt=,", "")</f>
        <v/>
      </c>
      <c r="L729" s="5" t="s">
        <v>84</v>
      </c>
      <c r="M729" s="5" t="s">
        <v>13</v>
      </c>
      <c r="N729" s="5" t="s">
        <v>161</v>
      </c>
      <c r="O729" s="5" t="s">
        <v>210</v>
      </c>
      <c r="P729" s="5">
        <v>0</v>
      </c>
      <c r="Q729" s="5">
        <v>36</v>
      </c>
      <c r="R729" s="5">
        <v>64</v>
      </c>
      <c r="S729" s="5">
        <v>0</v>
      </c>
      <c r="T729" s="5" t="s">
        <v>12</v>
      </c>
      <c r="U729" s="5" t="s">
        <v>12</v>
      </c>
      <c r="V729" s="5" t="s">
        <v>12</v>
      </c>
      <c r="W729" s="5">
        <v>0</v>
      </c>
      <c r="X729" s="5">
        <v>0</v>
      </c>
      <c r="Y729" s="5">
        <v>0</v>
      </c>
      <c r="Z729" s="5" t="s">
        <v>1688</v>
      </c>
      <c r="AA729" s="5" t="s">
        <v>1688</v>
      </c>
      <c r="AB729" s="5" t="s">
        <v>19</v>
      </c>
      <c r="AC729" s="5" t="s">
        <v>19</v>
      </c>
      <c r="AD729" s="5" t="s">
        <v>19</v>
      </c>
      <c r="AE729" s="5" t="s">
        <v>19</v>
      </c>
      <c r="AF729" s="5" t="s">
        <v>12</v>
      </c>
      <c r="AG729" s="5"/>
      <c r="AH729" s="5"/>
      <c r="AI729" s="5"/>
      <c r="AJ729" s="5"/>
      <c r="AK729" s="5"/>
      <c r="AL729" s="5" t="s">
        <v>5552</v>
      </c>
      <c r="AM729" s="5" t="s">
        <v>5552</v>
      </c>
      <c r="AN729" s="5" t="s">
        <v>19</v>
      </c>
      <c r="AO729" s="5" t="s">
        <v>115</v>
      </c>
      <c r="AP729" s="5" t="s">
        <v>114</v>
      </c>
      <c r="AQ729" s="5" t="s">
        <v>99</v>
      </c>
      <c r="AR729" s="5" t="s">
        <v>98</v>
      </c>
    </row>
    <row r="730" spans="1:44" ht="31.5" x14ac:dyDescent="0.25">
      <c r="A730" s="10">
        <v>46096</v>
      </c>
      <c r="B730" s="5" t="s">
        <v>707</v>
      </c>
      <c r="C730" s="5" t="s">
        <v>1690</v>
      </c>
      <c r="D730" s="5" t="s">
        <v>11</v>
      </c>
      <c r="E730" s="5" t="s">
        <v>40</v>
      </c>
      <c r="F730" s="5" t="s">
        <v>11</v>
      </c>
      <c r="G730" s="5" t="s">
        <v>5553</v>
      </c>
      <c r="H730" s="5" t="s">
        <v>3121</v>
      </c>
      <c r="I730" s="6" t="str">
        <f>HYPERLINK("http://maps.yandex.ru/?ll=31.151085,59.39066&amp;spn=0.011598,0.004531&amp;z=17&amp;l=map&amp;pt=31.151085,59.39066", "59.390663//31.151085")</f>
        <v>59.390663//31.151085</v>
      </c>
      <c r="J730" s="5" t="s">
        <v>22</v>
      </c>
      <c r="K730" s="6" t="str">
        <f>HYPERLINK("http://maps.yandex.ru/?ll=38.16815,54.567&amp;spn=0.011598,0.004531&amp;z=17&amp;l=map&amp;pt=38.16815,54.567", "54.5671//38.16815")</f>
        <v>54.5671//38.16815</v>
      </c>
      <c r="L730" s="5" t="s">
        <v>168</v>
      </c>
      <c r="M730" s="5" t="s">
        <v>532</v>
      </c>
      <c r="N730" s="5" t="s">
        <v>5554</v>
      </c>
      <c r="O730" s="5" t="s">
        <v>957</v>
      </c>
      <c r="P730" s="5">
        <v>40</v>
      </c>
      <c r="Q730" s="5">
        <v>46</v>
      </c>
      <c r="R730" s="5">
        <v>14</v>
      </c>
      <c r="S730" s="5">
        <v>684.01099999999997</v>
      </c>
      <c r="T730" s="5" t="s">
        <v>1772</v>
      </c>
      <c r="U730" s="5" t="s">
        <v>5555</v>
      </c>
      <c r="V730" s="5" t="s">
        <v>5556</v>
      </c>
      <c r="W730" s="5">
        <v>28.5</v>
      </c>
      <c r="X730" s="5">
        <v>70.61</v>
      </c>
      <c r="Y730" s="5">
        <v>152</v>
      </c>
      <c r="Z730" s="5" t="s">
        <v>1692</v>
      </c>
      <c r="AA730" s="5" t="s">
        <v>3129</v>
      </c>
      <c r="AB730" s="5" t="s">
        <v>3560</v>
      </c>
      <c r="AC730" s="5" t="s">
        <v>1673</v>
      </c>
      <c r="AD730" s="5" t="s">
        <v>19</v>
      </c>
      <c r="AE730" s="5" t="s">
        <v>2138</v>
      </c>
      <c r="AF730" s="5" t="s">
        <v>5557</v>
      </c>
      <c r="AG730" s="5">
        <v>295</v>
      </c>
      <c r="AH730" s="5">
        <v>3</v>
      </c>
      <c r="AI730" s="5">
        <v>292</v>
      </c>
      <c r="AJ730" s="5">
        <v>34.14</v>
      </c>
      <c r="AK730" s="5">
        <v>33.799999999999997</v>
      </c>
      <c r="AL730" s="5" t="s">
        <v>12</v>
      </c>
      <c r="AM730" s="5" t="s">
        <v>12</v>
      </c>
      <c r="AN730" s="5" t="s">
        <v>12</v>
      </c>
      <c r="AO730" s="5" t="s">
        <v>11</v>
      </c>
      <c r="AP730" s="5" t="s">
        <v>11</v>
      </c>
      <c r="AQ730" s="5" t="s">
        <v>53</v>
      </c>
      <c r="AR730" s="5" t="s">
        <v>52</v>
      </c>
    </row>
    <row r="731" spans="1:44" ht="31.5" x14ac:dyDescent="0.25">
      <c r="A731" s="10">
        <v>46096</v>
      </c>
      <c r="B731" s="5" t="s">
        <v>706</v>
      </c>
      <c r="C731" s="5" t="s">
        <v>1694</v>
      </c>
      <c r="D731" s="5" t="s">
        <v>11</v>
      </c>
      <c r="E731" s="5" t="s">
        <v>6</v>
      </c>
      <c r="F731" s="5" t="s">
        <v>6</v>
      </c>
      <c r="G731" s="5" t="s">
        <v>5558</v>
      </c>
      <c r="H731" s="5" t="s">
        <v>5559</v>
      </c>
      <c r="I731" s="6" t="str">
        <f>HYPERLINK("http://maps.yandex.ru/?ll=55.931847,53.66418&amp;spn=0.011598,0.004531&amp;z=17&amp;l=map&amp;pt=55.931847,53.66418", "53.664185//55.931847")</f>
        <v>53.664185//55.931847</v>
      </c>
      <c r="J731" s="5" t="s">
        <v>34</v>
      </c>
      <c r="K731" s="6" t="str">
        <f>HYPERLINK("http://maps.yandex.ru/?ll=51.251957,53.8900&amp;spn=0.011598,0.004531&amp;z=17&amp;l=map&amp;pt=51.251957,53.8900", "53.89009//51.251957")</f>
        <v>53.89009//51.251957</v>
      </c>
      <c r="L731" s="5" t="s">
        <v>76</v>
      </c>
      <c r="M731" s="5" t="s">
        <v>692</v>
      </c>
      <c r="N731" s="5" t="s">
        <v>4018</v>
      </c>
      <c r="O731" s="5" t="s">
        <v>13</v>
      </c>
      <c r="P731" s="5">
        <v>32</v>
      </c>
      <c r="Q731" s="5">
        <v>68</v>
      </c>
      <c r="R731" s="5">
        <v>0</v>
      </c>
      <c r="S731" s="5">
        <v>524.88900000000001</v>
      </c>
      <c r="T731" s="5" t="s">
        <v>2749</v>
      </c>
      <c r="U731" s="5" t="s">
        <v>5560</v>
      </c>
      <c r="V731" s="5" t="s">
        <v>5561</v>
      </c>
      <c r="W731" s="5">
        <v>21.87</v>
      </c>
      <c r="X731" s="5">
        <v>68.59</v>
      </c>
      <c r="Y731" s="5">
        <v>106</v>
      </c>
      <c r="Z731" s="5" t="s">
        <v>1697</v>
      </c>
      <c r="AA731" s="5" t="s">
        <v>1904</v>
      </c>
      <c r="AB731" s="5" t="s">
        <v>19</v>
      </c>
      <c r="AC731" s="5" t="s">
        <v>19</v>
      </c>
      <c r="AD731" s="5" t="s">
        <v>19</v>
      </c>
      <c r="AE731" s="5" t="s">
        <v>1489</v>
      </c>
      <c r="AF731" s="5" t="s">
        <v>5562</v>
      </c>
      <c r="AG731" s="5">
        <v>187</v>
      </c>
      <c r="AH731" s="5">
        <v>7</v>
      </c>
      <c r="AI731" s="5">
        <v>180</v>
      </c>
      <c r="AJ731" s="5">
        <v>35.22</v>
      </c>
      <c r="AK731" s="5">
        <v>33.9</v>
      </c>
      <c r="AL731" s="5" t="s">
        <v>12</v>
      </c>
      <c r="AM731" s="5" t="s">
        <v>12</v>
      </c>
      <c r="AN731" s="5" t="s">
        <v>12</v>
      </c>
      <c r="AO731" s="5" t="s">
        <v>11</v>
      </c>
      <c r="AP731" s="5" t="s">
        <v>11</v>
      </c>
      <c r="AQ731" s="5" t="s">
        <v>53</v>
      </c>
      <c r="AR731" s="5" t="s">
        <v>52</v>
      </c>
    </row>
    <row r="732" spans="1:44" ht="31.5" x14ac:dyDescent="0.25">
      <c r="A732" s="10">
        <v>46096</v>
      </c>
      <c r="B732" s="5" t="s">
        <v>705</v>
      </c>
      <c r="C732" s="5" t="s">
        <v>1699</v>
      </c>
      <c r="D732" s="5" t="s">
        <v>11</v>
      </c>
      <c r="E732" s="5" t="s">
        <v>6</v>
      </c>
      <c r="F732" s="5" t="s">
        <v>6</v>
      </c>
      <c r="G732" s="5" t="s">
        <v>3103</v>
      </c>
      <c r="H732" s="5" t="s">
        <v>5563</v>
      </c>
      <c r="I732" s="6" t="str">
        <f>HYPERLINK("http://maps.yandex.ru/?ll=36.985527,56.27476&amp;spn=0.011598,0.004531&amp;z=17&amp;l=map&amp;pt=36.985527,56.27476", "56.274765//36.985527")</f>
        <v>56.274765//36.985527</v>
      </c>
      <c r="J732" s="5" t="s">
        <v>56</v>
      </c>
      <c r="K732" s="6" t="str">
        <f>HYPERLINK("http://maps.yandex.ru/?ll=32.55497,58.2455&amp;spn=0.011598,0.004531&amp;z=17&amp;l=map&amp;pt=32.55497,58.2455", "58.24558//32.55497")</f>
        <v>58.24558//32.55497</v>
      </c>
      <c r="L732" s="5" t="s">
        <v>148</v>
      </c>
      <c r="M732" s="5" t="s">
        <v>1421</v>
      </c>
      <c r="N732" s="5" t="s">
        <v>3363</v>
      </c>
      <c r="O732" s="5" t="s">
        <v>5564</v>
      </c>
      <c r="P732" s="5">
        <v>33</v>
      </c>
      <c r="Q732" s="5">
        <v>46</v>
      </c>
      <c r="R732" s="5">
        <v>21</v>
      </c>
      <c r="S732" s="5">
        <v>444.76299999999998</v>
      </c>
      <c r="T732" s="5" t="s">
        <v>2228</v>
      </c>
      <c r="U732" s="5" t="s">
        <v>5565</v>
      </c>
      <c r="V732" s="5" t="s">
        <v>5566</v>
      </c>
      <c r="W732" s="5">
        <v>18.53</v>
      </c>
      <c r="X732" s="5">
        <v>56.61</v>
      </c>
      <c r="Y732" s="5">
        <v>111</v>
      </c>
      <c r="Z732" s="5" t="s">
        <v>1700</v>
      </c>
      <c r="AA732" s="5" t="s">
        <v>3583</v>
      </c>
      <c r="AB732" s="5" t="s">
        <v>19</v>
      </c>
      <c r="AC732" s="5" t="s">
        <v>19</v>
      </c>
      <c r="AD732" s="5" t="s">
        <v>19</v>
      </c>
      <c r="AE732" s="5" t="s">
        <v>2190</v>
      </c>
      <c r="AF732" s="5" t="s">
        <v>5567</v>
      </c>
      <c r="AG732" s="5">
        <v>116</v>
      </c>
      <c r="AH732" s="5">
        <v>3</v>
      </c>
      <c r="AI732" s="5">
        <v>113</v>
      </c>
      <c r="AJ732" s="5">
        <v>28.43</v>
      </c>
      <c r="AK732" s="5">
        <v>27.7</v>
      </c>
      <c r="AL732" s="5" t="s">
        <v>12</v>
      </c>
      <c r="AM732" s="5" t="s">
        <v>12</v>
      </c>
      <c r="AN732" s="5" t="s">
        <v>12</v>
      </c>
      <c r="AO732" s="5" t="s">
        <v>11</v>
      </c>
      <c r="AP732" s="5" t="s">
        <v>11</v>
      </c>
      <c r="AQ732" s="5" t="s">
        <v>53</v>
      </c>
      <c r="AR732" s="5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46"/>
  <sheetViews>
    <sheetView topLeftCell="A19" workbookViewId="0">
      <selection activeCell="A27" sqref="A27"/>
    </sheetView>
  </sheetViews>
  <sheetFormatPr defaultRowHeight="15" x14ac:dyDescent="0.25"/>
  <cols>
    <col min="1" max="1" width="17.85546875" customWidth="1"/>
    <col min="2" max="2" width="31.85546875" customWidth="1"/>
    <col min="3" max="3" width="14.5703125" bestFit="1" customWidth="1"/>
    <col min="4" max="4" width="16.85546875" customWidth="1"/>
    <col min="5" max="5" width="17.28515625" customWidth="1"/>
    <col min="6" max="6" width="18.85546875" customWidth="1"/>
  </cols>
  <sheetData>
    <row r="1" spans="1:3" x14ac:dyDescent="0.25">
      <c r="A1" s="1"/>
      <c r="B1" s="1"/>
      <c r="C1" s="1"/>
    </row>
    <row r="2" spans="1:3" x14ac:dyDescent="0.25">
      <c r="A2" s="2"/>
      <c r="B2" s="3"/>
    </row>
    <row r="3" spans="1:3" x14ac:dyDescent="0.25">
      <c r="B3" s="3"/>
    </row>
    <row r="4" spans="1:3" x14ac:dyDescent="0.25">
      <c r="B4" s="3"/>
    </row>
    <row r="5" spans="1:3" x14ac:dyDescent="0.25">
      <c r="B5" s="2"/>
    </row>
    <row r="6" spans="1:3" x14ac:dyDescent="0.25">
      <c r="B6" s="2"/>
    </row>
    <row r="7" spans="1:3" x14ac:dyDescent="0.25">
      <c r="B7" s="2"/>
    </row>
    <row r="8" spans="1:3" x14ac:dyDescent="0.25">
      <c r="B8" s="2"/>
    </row>
    <row r="9" spans="1:3" x14ac:dyDescent="0.25">
      <c r="B9" s="2"/>
    </row>
    <row r="10" spans="1:3" x14ac:dyDescent="0.25">
      <c r="B10" s="2"/>
    </row>
    <row r="11" spans="1:3" x14ac:dyDescent="0.25">
      <c r="B11" s="2"/>
    </row>
    <row r="12" spans="1:3" x14ac:dyDescent="0.25">
      <c r="B12" s="2"/>
    </row>
    <row r="13" spans="1:3" x14ac:dyDescent="0.25">
      <c r="B13" s="3"/>
    </row>
    <row r="14" spans="1:3" x14ac:dyDescent="0.25">
      <c r="B14" s="3"/>
    </row>
    <row r="15" spans="1:3" x14ac:dyDescent="0.25">
      <c r="B15" s="3"/>
    </row>
    <row r="16" spans="1:3" x14ac:dyDescent="0.25">
      <c r="B16" s="2"/>
    </row>
    <row r="17" spans="2:3" x14ac:dyDescent="0.25">
      <c r="B17" s="2"/>
    </row>
    <row r="18" spans="2:3" x14ac:dyDescent="0.25">
      <c r="B18" s="3"/>
    </row>
    <row r="19" spans="2:3" x14ac:dyDescent="0.25">
      <c r="B19" s="3"/>
    </row>
    <row r="20" spans="2:3" x14ac:dyDescent="0.25">
      <c r="B20" s="3"/>
    </row>
    <row r="21" spans="2:3" x14ac:dyDescent="0.25">
      <c r="B21" s="3"/>
    </row>
    <row r="22" spans="2:3" x14ac:dyDescent="0.25">
      <c r="B22" s="2"/>
    </row>
    <row r="23" spans="2:3" x14ac:dyDescent="0.25">
      <c r="B23" s="3"/>
    </row>
    <row r="24" spans="2:3" x14ac:dyDescent="0.25">
      <c r="B24" s="3"/>
    </row>
    <row r="25" spans="2:3" x14ac:dyDescent="0.25">
      <c r="B25" s="3"/>
    </row>
    <row r="26" spans="2:3" x14ac:dyDescent="0.25">
      <c r="B26" s="3"/>
      <c r="C26" s="4"/>
    </row>
    <row r="27" spans="2:3" x14ac:dyDescent="0.25">
      <c r="B27" s="3"/>
    </row>
    <row r="28" spans="2:3" x14ac:dyDescent="0.25">
      <c r="B28" s="3"/>
    </row>
    <row r="29" spans="2:3" x14ac:dyDescent="0.25">
      <c r="B29" s="3"/>
      <c r="C29" s="4"/>
    </row>
    <row r="30" spans="2:3" x14ac:dyDescent="0.25">
      <c r="B30" s="3"/>
    </row>
    <row r="31" spans="2:3" x14ac:dyDescent="0.25">
      <c r="B31" s="3"/>
    </row>
    <row r="32" spans="2:3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2"/>
    </row>
    <row r="41" spans="2:2" x14ac:dyDescent="0.25">
      <c r="B41" s="2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0653A2-C7D8-47D5-B973-62D36F2FB3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In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Коноплев</dc:creator>
  <cp:lastModifiedBy>Александр Коноплев</cp:lastModifiedBy>
  <dcterms:created xsi:type="dcterms:W3CDTF">2015-06-05T18:19:34Z</dcterms:created>
  <dcterms:modified xsi:type="dcterms:W3CDTF">2026-04-29T10:26:49Z</dcterms:modified>
</cp:coreProperties>
</file>